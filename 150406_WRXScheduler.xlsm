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0520" windowHeight="3465" activeTab="4"/>
  </bookViews>
  <sheets>
    <sheet name="Pit Inventory" sheetId="10" r:id="rId1"/>
    <sheet name="Setup" sheetId="21" r:id="rId2"/>
    <sheet name="Inventory" sheetId="8" r:id="rId3"/>
    <sheet name="Precedence" sheetId="7" r:id="rId4"/>
    <sheet name="Schedule" sheetId="1" r:id="rId5"/>
    <sheet name="Results" sheetId="20" r:id="rId6"/>
  </sheets>
  <functionGroups builtInGroupCount="17"/>
  <definedNames>
    <definedName name="_xlnm._FilterDatabase" localSheetId="2" hidden="1">Inventory!$D$1:$D$659</definedName>
    <definedName name="_xlnm._FilterDatabase" localSheetId="5" hidden="1">Results!$B$1:$B$289</definedName>
  </definedNames>
  <calcPr calcId="145621"/>
</workbook>
</file>

<file path=xl/calcChain.xml><?xml version="1.0" encoding="utf-8"?>
<calcChain xmlns="http://schemas.openxmlformats.org/spreadsheetml/2006/main">
  <c r="C33" i="1" l="1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03" i="8"/>
  <c r="D28" i="1"/>
  <c r="D27" i="1"/>
  <c r="K33" i="1"/>
  <c r="J33" i="1"/>
  <c r="I33" i="1"/>
  <c r="H33" i="1"/>
  <c r="G33" i="1"/>
  <c r="F33" i="1"/>
  <c r="E33" i="1"/>
  <c r="D33" i="1"/>
  <c r="K29" i="1"/>
  <c r="J29" i="1"/>
  <c r="I29" i="1"/>
  <c r="G29" i="1"/>
  <c r="F29" i="1"/>
  <c r="E29" i="1"/>
  <c r="D29" i="1"/>
  <c r="C7" i="8" l="1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4" i="8"/>
  <c r="C95" i="8"/>
  <c r="C96" i="8"/>
  <c r="C97" i="8"/>
  <c r="C98" i="8"/>
  <c r="C99" i="8"/>
  <c r="C100" i="8"/>
  <c r="C101" i="8"/>
  <c r="C102" i="8"/>
  <c r="L33" i="1" l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GD33" i="1"/>
  <c r="GE33" i="1"/>
  <c r="GF33" i="1"/>
  <c r="GG33" i="1"/>
  <c r="GH33" i="1"/>
  <c r="GI33" i="1"/>
  <c r="GJ33" i="1"/>
  <c r="GK33" i="1"/>
  <c r="GL33" i="1"/>
  <c r="GM33" i="1"/>
  <c r="GN33" i="1"/>
  <c r="GO33" i="1"/>
  <c r="GP33" i="1"/>
  <c r="GQ33" i="1"/>
  <c r="GR33" i="1"/>
  <c r="GS33" i="1"/>
  <c r="GT33" i="1"/>
  <c r="D26" i="1" l="1"/>
  <c r="F28" i="1" l="1"/>
  <c r="E27" i="1"/>
  <c r="F27" i="1"/>
  <c r="G27" i="1"/>
  <c r="E28" i="1"/>
  <c r="G28" i="1"/>
  <c r="H28" i="1"/>
  <c r="I28" i="1"/>
  <c r="H27" i="1"/>
  <c r="I27" i="1"/>
  <c r="A79" i="1"/>
  <c r="A80" i="1"/>
  <c r="A81" i="1"/>
  <c r="K27" i="1" l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FL27" i="1"/>
  <c r="FM27" i="1"/>
  <c r="FN27" i="1"/>
  <c r="FO27" i="1"/>
  <c r="FP27" i="1"/>
  <c r="FQ27" i="1"/>
  <c r="FR27" i="1"/>
  <c r="FS27" i="1"/>
  <c r="FT27" i="1"/>
  <c r="FU27" i="1"/>
  <c r="FV27" i="1"/>
  <c r="FW27" i="1"/>
  <c r="FX27" i="1"/>
  <c r="FY27" i="1"/>
  <c r="FZ27" i="1"/>
  <c r="GA27" i="1"/>
  <c r="GB27" i="1"/>
  <c r="GC27" i="1"/>
  <c r="GD27" i="1"/>
  <c r="GE27" i="1"/>
  <c r="GF27" i="1"/>
  <c r="GG27" i="1"/>
  <c r="GH27" i="1"/>
  <c r="GI27" i="1"/>
  <c r="GJ27" i="1"/>
  <c r="GK27" i="1"/>
  <c r="GL27" i="1"/>
  <c r="GM27" i="1"/>
  <c r="GN27" i="1"/>
  <c r="GO27" i="1"/>
  <c r="GP27" i="1"/>
  <c r="GQ27" i="1"/>
  <c r="GR27" i="1"/>
  <c r="GS27" i="1"/>
  <c r="GT27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GT28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FL29" i="1"/>
  <c r="FM29" i="1"/>
  <c r="FN29" i="1"/>
  <c r="FO29" i="1"/>
  <c r="FP29" i="1"/>
  <c r="FQ29" i="1"/>
  <c r="FR29" i="1"/>
  <c r="FS29" i="1"/>
  <c r="FT29" i="1"/>
  <c r="FU29" i="1"/>
  <c r="FV29" i="1"/>
  <c r="FW29" i="1"/>
  <c r="FX29" i="1"/>
  <c r="FY29" i="1"/>
  <c r="FZ29" i="1"/>
  <c r="GA29" i="1"/>
  <c r="GB29" i="1"/>
  <c r="GC29" i="1"/>
  <c r="GD29" i="1"/>
  <c r="GE29" i="1"/>
  <c r="GF29" i="1"/>
  <c r="GG29" i="1"/>
  <c r="GH29" i="1"/>
  <c r="GI29" i="1"/>
  <c r="GJ29" i="1"/>
  <c r="GK29" i="1"/>
  <c r="GL29" i="1"/>
  <c r="GM29" i="1"/>
  <c r="GN29" i="1"/>
  <c r="GO29" i="1"/>
  <c r="GP29" i="1"/>
  <c r="GQ29" i="1"/>
  <c r="GR29" i="1"/>
  <c r="GS29" i="1"/>
  <c r="GT29" i="1"/>
  <c r="J28" i="1"/>
  <c r="J27" i="1"/>
  <c r="B35" i="1"/>
  <c r="B79" i="1" s="1"/>
  <c r="B36" i="1"/>
  <c r="B80" i="1" s="1"/>
  <c r="B37" i="1"/>
  <c r="B81" i="1" s="1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2" i="8"/>
  <c r="J26" i="1" l="1"/>
  <c r="K26" i="1"/>
  <c r="A75" i="1"/>
  <c r="A76" i="1"/>
  <c r="A97" i="1" s="1"/>
  <c r="A77" i="1"/>
  <c r="A78" i="1"/>
  <c r="A74" i="1"/>
  <c r="B34" i="1"/>
  <c r="B78" i="1" s="1"/>
  <c r="A96" i="1"/>
  <c r="B33" i="1"/>
  <c r="B77" i="1" s="1"/>
  <c r="B31" i="1" l="1"/>
  <c r="B75" i="1" s="1"/>
  <c r="B32" i="1"/>
  <c r="B76" i="1" s="1"/>
  <c r="A92" i="8" l="1"/>
  <c r="B92" i="8"/>
  <c r="E92" i="8"/>
  <c r="F92" i="8"/>
  <c r="G92" i="8"/>
  <c r="J92" i="8" s="1"/>
  <c r="H92" i="8"/>
  <c r="I92" i="8"/>
  <c r="A93" i="8"/>
  <c r="B93" i="8"/>
  <c r="E93" i="8"/>
  <c r="F93" i="8"/>
  <c r="G93" i="8"/>
  <c r="J93" i="8" s="1"/>
  <c r="H93" i="8"/>
  <c r="I93" i="8"/>
  <c r="A94" i="8"/>
  <c r="B94" i="8"/>
  <c r="E94" i="8"/>
  <c r="F94" i="8"/>
  <c r="G94" i="8"/>
  <c r="J94" i="8" s="1"/>
  <c r="H94" i="8"/>
  <c r="I94" i="8"/>
  <c r="A95" i="8"/>
  <c r="B95" i="8"/>
  <c r="E95" i="8"/>
  <c r="F95" i="8"/>
  <c r="G95" i="8"/>
  <c r="J95" i="8" s="1"/>
  <c r="H95" i="8"/>
  <c r="I95" i="8"/>
  <c r="A96" i="8"/>
  <c r="B96" i="8"/>
  <c r="E96" i="8"/>
  <c r="F96" i="8"/>
  <c r="G96" i="8"/>
  <c r="J96" i="8" s="1"/>
  <c r="H96" i="8"/>
  <c r="I96" i="8"/>
  <c r="A97" i="8"/>
  <c r="B97" i="8"/>
  <c r="E97" i="8"/>
  <c r="F97" i="8"/>
  <c r="G97" i="8"/>
  <c r="J97" i="8" s="1"/>
  <c r="H97" i="8"/>
  <c r="I97" i="8"/>
  <c r="A98" i="8"/>
  <c r="B98" i="8"/>
  <c r="E98" i="8"/>
  <c r="F98" i="8"/>
  <c r="G98" i="8"/>
  <c r="J98" i="8" s="1"/>
  <c r="H98" i="8"/>
  <c r="I98" i="8"/>
  <c r="A99" i="8"/>
  <c r="B99" i="8"/>
  <c r="E99" i="8"/>
  <c r="F99" i="8"/>
  <c r="G99" i="8"/>
  <c r="J99" i="8" s="1"/>
  <c r="H99" i="8"/>
  <c r="I99" i="8"/>
  <c r="A100" i="8"/>
  <c r="B100" i="8"/>
  <c r="E100" i="8"/>
  <c r="F100" i="8"/>
  <c r="G100" i="8"/>
  <c r="J100" i="8" s="1"/>
  <c r="H100" i="8"/>
  <c r="I100" i="8"/>
  <c r="A101" i="8"/>
  <c r="B101" i="8"/>
  <c r="E101" i="8"/>
  <c r="F101" i="8"/>
  <c r="G101" i="8"/>
  <c r="J101" i="8" s="1"/>
  <c r="H101" i="8"/>
  <c r="I101" i="8"/>
  <c r="A102" i="8"/>
  <c r="B102" i="8"/>
  <c r="E102" i="8"/>
  <c r="F102" i="8"/>
  <c r="G102" i="8"/>
  <c r="J102" i="8" s="1"/>
  <c r="H102" i="8"/>
  <c r="I102" i="8"/>
  <c r="A103" i="8"/>
  <c r="B103" i="8"/>
  <c r="E103" i="8"/>
  <c r="F103" i="8"/>
  <c r="G103" i="8"/>
  <c r="J103" i="8" s="1"/>
  <c r="H103" i="8"/>
  <c r="I103" i="8"/>
  <c r="A104" i="8"/>
  <c r="B104" i="8"/>
  <c r="E104" i="8"/>
  <c r="F104" i="8"/>
  <c r="G104" i="8"/>
  <c r="J104" i="8" s="1"/>
  <c r="H104" i="8"/>
  <c r="I104" i="8"/>
  <c r="A105" i="8"/>
  <c r="B105" i="8"/>
  <c r="E105" i="8"/>
  <c r="F105" i="8"/>
  <c r="G105" i="8"/>
  <c r="J105" i="8" s="1"/>
  <c r="H105" i="8"/>
  <c r="I105" i="8"/>
  <c r="A106" i="8"/>
  <c r="B106" i="8"/>
  <c r="E106" i="8"/>
  <c r="F106" i="8"/>
  <c r="G106" i="8"/>
  <c r="J106" i="8" s="1"/>
  <c r="H106" i="8"/>
  <c r="I106" i="8"/>
  <c r="A107" i="8"/>
  <c r="B107" i="8"/>
  <c r="E107" i="8"/>
  <c r="F107" i="8"/>
  <c r="G107" i="8"/>
  <c r="J107" i="8" s="1"/>
  <c r="H107" i="8"/>
  <c r="I107" i="8"/>
  <c r="A108" i="8"/>
  <c r="B108" i="8"/>
  <c r="E108" i="8"/>
  <c r="F108" i="8"/>
  <c r="G108" i="8"/>
  <c r="J108" i="8" s="1"/>
  <c r="H108" i="8"/>
  <c r="I108" i="8"/>
  <c r="A109" i="8"/>
  <c r="B109" i="8"/>
  <c r="E109" i="8"/>
  <c r="F109" i="8"/>
  <c r="G109" i="8"/>
  <c r="J109" i="8" s="1"/>
  <c r="H109" i="8"/>
  <c r="I109" i="8"/>
  <c r="A110" i="8"/>
  <c r="B110" i="8"/>
  <c r="E110" i="8"/>
  <c r="F110" i="8"/>
  <c r="G110" i="8"/>
  <c r="J110" i="8" s="1"/>
  <c r="H110" i="8"/>
  <c r="I110" i="8"/>
  <c r="A111" i="8"/>
  <c r="B111" i="8"/>
  <c r="E111" i="8"/>
  <c r="F111" i="8"/>
  <c r="G111" i="8"/>
  <c r="J111" i="8" s="1"/>
  <c r="H111" i="8"/>
  <c r="I111" i="8"/>
  <c r="A112" i="8"/>
  <c r="B112" i="8"/>
  <c r="E112" i="8"/>
  <c r="F112" i="8"/>
  <c r="G112" i="8"/>
  <c r="J112" i="8" s="1"/>
  <c r="H112" i="8"/>
  <c r="I112" i="8"/>
  <c r="A113" i="8"/>
  <c r="B113" i="8"/>
  <c r="E113" i="8"/>
  <c r="F113" i="8"/>
  <c r="G113" i="8"/>
  <c r="J113" i="8" s="1"/>
  <c r="H113" i="8"/>
  <c r="I113" i="8"/>
  <c r="A114" i="8"/>
  <c r="B114" i="8"/>
  <c r="E114" i="8"/>
  <c r="F114" i="8"/>
  <c r="G114" i="8"/>
  <c r="J114" i="8" s="1"/>
  <c r="H114" i="8"/>
  <c r="I114" i="8"/>
  <c r="A115" i="8"/>
  <c r="B115" i="8"/>
  <c r="E115" i="8"/>
  <c r="F115" i="8"/>
  <c r="G115" i="8"/>
  <c r="J115" i="8" s="1"/>
  <c r="H115" i="8"/>
  <c r="I115" i="8"/>
  <c r="A116" i="8"/>
  <c r="B116" i="8"/>
  <c r="E116" i="8"/>
  <c r="F116" i="8"/>
  <c r="G116" i="8"/>
  <c r="J116" i="8" s="1"/>
  <c r="H116" i="8"/>
  <c r="I116" i="8"/>
  <c r="A117" i="8"/>
  <c r="B117" i="8"/>
  <c r="E117" i="8"/>
  <c r="F117" i="8"/>
  <c r="G117" i="8"/>
  <c r="J117" i="8" s="1"/>
  <c r="H117" i="8"/>
  <c r="I117" i="8"/>
  <c r="A118" i="8"/>
  <c r="B118" i="8"/>
  <c r="E118" i="8"/>
  <c r="F118" i="8"/>
  <c r="G118" i="8"/>
  <c r="J118" i="8" s="1"/>
  <c r="H118" i="8"/>
  <c r="I118" i="8"/>
  <c r="A119" i="8"/>
  <c r="B119" i="8"/>
  <c r="E119" i="8"/>
  <c r="F119" i="8"/>
  <c r="G119" i="8"/>
  <c r="J119" i="8" s="1"/>
  <c r="H119" i="8"/>
  <c r="I119" i="8"/>
  <c r="A120" i="8"/>
  <c r="B120" i="8"/>
  <c r="E120" i="8"/>
  <c r="F120" i="8"/>
  <c r="G120" i="8"/>
  <c r="J120" i="8" s="1"/>
  <c r="H120" i="8"/>
  <c r="I120" i="8"/>
  <c r="A121" i="8"/>
  <c r="B121" i="8"/>
  <c r="E121" i="8"/>
  <c r="F121" i="8"/>
  <c r="G121" i="8"/>
  <c r="J121" i="8" s="1"/>
  <c r="H121" i="8"/>
  <c r="I121" i="8"/>
  <c r="A122" i="8"/>
  <c r="B122" i="8"/>
  <c r="E122" i="8"/>
  <c r="F122" i="8"/>
  <c r="G122" i="8"/>
  <c r="J122" i="8" s="1"/>
  <c r="H122" i="8"/>
  <c r="I122" i="8"/>
  <c r="A123" i="8"/>
  <c r="B123" i="8"/>
  <c r="E123" i="8"/>
  <c r="F123" i="8"/>
  <c r="G123" i="8"/>
  <c r="J123" i="8" s="1"/>
  <c r="H123" i="8"/>
  <c r="I123" i="8"/>
  <c r="A124" i="8"/>
  <c r="B124" i="8"/>
  <c r="E124" i="8"/>
  <c r="F124" i="8"/>
  <c r="G124" i="8"/>
  <c r="J124" i="8" s="1"/>
  <c r="H124" i="8"/>
  <c r="I124" i="8"/>
  <c r="A125" i="8"/>
  <c r="B125" i="8"/>
  <c r="E125" i="8"/>
  <c r="F125" i="8"/>
  <c r="G125" i="8"/>
  <c r="J125" i="8" s="1"/>
  <c r="H125" i="8"/>
  <c r="I125" i="8"/>
  <c r="A126" i="8"/>
  <c r="B126" i="8"/>
  <c r="E126" i="8"/>
  <c r="F126" i="8"/>
  <c r="G126" i="8"/>
  <c r="J126" i="8" s="1"/>
  <c r="H126" i="8"/>
  <c r="I126" i="8"/>
  <c r="A127" i="8"/>
  <c r="B127" i="8"/>
  <c r="E127" i="8"/>
  <c r="F127" i="8"/>
  <c r="G127" i="8"/>
  <c r="J127" i="8" s="1"/>
  <c r="H127" i="8"/>
  <c r="I127" i="8"/>
  <c r="A128" i="8"/>
  <c r="B128" i="8"/>
  <c r="E128" i="8"/>
  <c r="F128" i="8"/>
  <c r="G128" i="8"/>
  <c r="J128" i="8" s="1"/>
  <c r="H128" i="8"/>
  <c r="I128" i="8"/>
  <c r="A129" i="8"/>
  <c r="B129" i="8"/>
  <c r="E129" i="8"/>
  <c r="F129" i="8"/>
  <c r="G129" i="8"/>
  <c r="J129" i="8" s="1"/>
  <c r="H129" i="8"/>
  <c r="I129" i="8"/>
  <c r="A130" i="8"/>
  <c r="B130" i="8"/>
  <c r="E130" i="8"/>
  <c r="F130" i="8"/>
  <c r="G130" i="8"/>
  <c r="J130" i="8" s="1"/>
  <c r="H130" i="8"/>
  <c r="I130" i="8"/>
  <c r="A131" i="8"/>
  <c r="B131" i="8"/>
  <c r="E131" i="8"/>
  <c r="F131" i="8"/>
  <c r="G131" i="8"/>
  <c r="J131" i="8" s="1"/>
  <c r="H131" i="8"/>
  <c r="I131" i="8"/>
  <c r="A132" i="8"/>
  <c r="B132" i="8"/>
  <c r="E132" i="8"/>
  <c r="F132" i="8"/>
  <c r="G132" i="8"/>
  <c r="J132" i="8" s="1"/>
  <c r="H132" i="8"/>
  <c r="I132" i="8"/>
  <c r="A133" i="8"/>
  <c r="B133" i="8"/>
  <c r="E133" i="8"/>
  <c r="F133" i="8"/>
  <c r="G133" i="8"/>
  <c r="J133" i="8" s="1"/>
  <c r="H133" i="8"/>
  <c r="I133" i="8"/>
  <c r="A134" i="8"/>
  <c r="B134" i="8"/>
  <c r="E134" i="8"/>
  <c r="F134" i="8"/>
  <c r="G134" i="8"/>
  <c r="J134" i="8" s="1"/>
  <c r="H134" i="8"/>
  <c r="I134" i="8"/>
  <c r="A135" i="8"/>
  <c r="B135" i="8"/>
  <c r="E135" i="8"/>
  <c r="F135" i="8"/>
  <c r="G135" i="8"/>
  <c r="J135" i="8" s="1"/>
  <c r="H135" i="8"/>
  <c r="I135" i="8"/>
  <c r="A136" i="8"/>
  <c r="B136" i="8"/>
  <c r="E136" i="8"/>
  <c r="F136" i="8"/>
  <c r="G136" i="8"/>
  <c r="J136" i="8" s="1"/>
  <c r="H136" i="8"/>
  <c r="I136" i="8"/>
  <c r="A137" i="8"/>
  <c r="B137" i="8"/>
  <c r="E137" i="8"/>
  <c r="F137" i="8"/>
  <c r="G137" i="8"/>
  <c r="J137" i="8" s="1"/>
  <c r="H137" i="8"/>
  <c r="I137" i="8"/>
  <c r="A138" i="8"/>
  <c r="B138" i="8"/>
  <c r="E138" i="8"/>
  <c r="F138" i="8"/>
  <c r="G138" i="8"/>
  <c r="J138" i="8" s="1"/>
  <c r="H138" i="8"/>
  <c r="I138" i="8"/>
  <c r="A139" i="8"/>
  <c r="B139" i="8"/>
  <c r="E139" i="8"/>
  <c r="F139" i="8"/>
  <c r="G139" i="8"/>
  <c r="J139" i="8" s="1"/>
  <c r="H139" i="8"/>
  <c r="I139" i="8"/>
  <c r="A140" i="8"/>
  <c r="B140" i="8"/>
  <c r="E140" i="8"/>
  <c r="F140" i="8"/>
  <c r="G140" i="8"/>
  <c r="J140" i="8" s="1"/>
  <c r="H140" i="8"/>
  <c r="I140" i="8"/>
  <c r="A141" i="8"/>
  <c r="B141" i="8"/>
  <c r="E141" i="8"/>
  <c r="F141" i="8"/>
  <c r="G141" i="8"/>
  <c r="J141" i="8" s="1"/>
  <c r="H141" i="8"/>
  <c r="I141" i="8"/>
  <c r="A142" i="8"/>
  <c r="B142" i="8"/>
  <c r="E142" i="8"/>
  <c r="F142" i="8"/>
  <c r="G142" i="8"/>
  <c r="J142" i="8" s="1"/>
  <c r="H142" i="8"/>
  <c r="I142" i="8"/>
  <c r="A143" i="8"/>
  <c r="B143" i="8"/>
  <c r="E143" i="8"/>
  <c r="F143" i="8"/>
  <c r="G143" i="8"/>
  <c r="J143" i="8" s="1"/>
  <c r="H143" i="8"/>
  <c r="I143" i="8"/>
  <c r="A144" i="8"/>
  <c r="B144" i="8"/>
  <c r="E144" i="8"/>
  <c r="F144" i="8"/>
  <c r="G144" i="8"/>
  <c r="J144" i="8" s="1"/>
  <c r="H144" i="8"/>
  <c r="I144" i="8"/>
  <c r="A145" i="8"/>
  <c r="B145" i="8"/>
  <c r="E145" i="8"/>
  <c r="F145" i="8"/>
  <c r="G145" i="8"/>
  <c r="J145" i="8" s="1"/>
  <c r="H145" i="8"/>
  <c r="I145" i="8"/>
  <c r="A146" i="8"/>
  <c r="B146" i="8"/>
  <c r="E146" i="8"/>
  <c r="F146" i="8"/>
  <c r="G146" i="8"/>
  <c r="J146" i="8" s="1"/>
  <c r="H146" i="8"/>
  <c r="I146" i="8"/>
  <c r="A147" i="8"/>
  <c r="B147" i="8"/>
  <c r="E147" i="8"/>
  <c r="F147" i="8"/>
  <c r="G147" i="8"/>
  <c r="J147" i="8" s="1"/>
  <c r="H147" i="8"/>
  <c r="I147" i="8"/>
  <c r="A148" i="8"/>
  <c r="B148" i="8"/>
  <c r="E148" i="8"/>
  <c r="F148" i="8"/>
  <c r="G148" i="8"/>
  <c r="J148" i="8" s="1"/>
  <c r="H148" i="8"/>
  <c r="I148" i="8"/>
  <c r="A149" i="8"/>
  <c r="B149" i="8"/>
  <c r="E149" i="8"/>
  <c r="F149" i="8"/>
  <c r="G149" i="8"/>
  <c r="J149" i="8" s="1"/>
  <c r="H149" i="8"/>
  <c r="I149" i="8"/>
  <c r="A150" i="8"/>
  <c r="B150" i="8"/>
  <c r="E150" i="8"/>
  <c r="F150" i="8"/>
  <c r="G150" i="8"/>
  <c r="J150" i="8" s="1"/>
  <c r="H150" i="8"/>
  <c r="I150" i="8"/>
  <c r="A151" i="8"/>
  <c r="B151" i="8"/>
  <c r="E151" i="8"/>
  <c r="F151" i="8"/>
  <c r="G151" i="8"/>
  <c r="J151" i="8" s="1"/>
  <c r="H151" i="8"/>
  <c r="I151" i="8"/>
  <c r="A152" i="8"/>
  <c r="B152" i="8"/>
  <c r="E152" i="8"/>
  <c r="F152" i="8"/>
  <c r="G152" i="8"/>
  <c r="J152" i="8" s="1"/>
  <c r="H152" i="8"/>
  <c r="I152" i="8"/>
  <c r="A153" i="8"/>
  <c r="B153" i="8"/>
  <c r="E153" i="8"/>
  <c r="F153" i="8"/>
  <c r="G153" i="8"/>
  <c r="J153" i="8" s="1"/>
  <c r="H153" i="8"/>
  <c r="I153" i="8"/>
  <c r="A154" i="8"/>
  <c r="B154" i="8"/>
  <c r="E154" i="8"/>
  <c r="F154" i="8"/>
  <c r="G154" i="8"/>
  <c r="J154" i="8" s="1"/>
  <c r="H154" i="8"/>
  <c r="I154" i="8"/>
  <c r="A155" i="8"/>
  <c r="B155" i="8"/>
  <c r="E155" i="8"/>
  <c r="F155" i="8"/>
  <c r="G155" i="8"/>
  <c r="J155" i="8" s="1"/>
  <c r="H155" i="8"/>
  <c r="I155" i="8"/>
  <c r="A156" i="8"/>
  <c r="B156" i="8"/>
  <c r="E156" i="8"/>
  <c r="F156" i="8"/>
  <c r="G156" i="8"/>
  <c r="J156" i="8" s="1"/>
  <c r="H156" i="8"/>
  <c r="I156" i="8"/>
  <c r="A157" i="8"/>
  <c r="B157" i="8"/>
  <c r="E157" i="8"/>
  <c r="F157" i="8"/>
  <c r="G157" i="8"/>
  <c r="J157" i="8" s="1"/>
  <c r="H157" i="8"/>
  <c r="I157" i="8"/>
  <c r="A158" i="8"/>
  <c r="B158" i="8"/>
  <c r="E158" i="8"/>
  <c r="F158" i="8"/>
  <c r="G158" i="8"/>
  <c r="J158" i="8" s="1"/>
  <c r="H158" i="8"/>
  <c r="I158" i="8"/>
  <c r="A159" i="8"/>
  <c r="B159" i="8"/>
  <c r="E159" i="8"/>
  <c r="F159" i="8"/>
  <c r="G159" i="8"/>
  <c r="J159" i="8" s="1"/>
  <c r="H159" i="8"/>
  <c r="I159" i="8"/>
  <c r="A160" i="8"/>
  <c r="B160" i="8"/>
  <c r="E160" i="8"/>
  <c r="F160" i="8"/>
  <c r="G160" i="8"/>
  <c r="J160" i="8" s="1"/>
  <c r="H160" i="8"/>
  <c r="I160" i="8"/>
  <c r="A161" i="8"/>
  <c r="B161" i="8"/>
  <c r="E161" i="8"/>
  <c r="F161" i="8"/>
  <c r="G161" i="8"/>
  <c r="J161" i="8" s="1"/>
  <c r="H161" i="8"/>
  <c r="I161" i="8"/>
  <c r="A162" i="8"/>
  <c r="B162" i="8"/>
  <c r="E162" i="8"/>
  <c r="F162" i="8"/>
  <c r="G162" i="8"/>
  <c r="J162" i="8" s="1"/>
  <c r="H162" i="8"/>
  <c r="I162" i="8"/>
  <c r="A163" i="8"/>
  <c r="B163" i="8"/>
  <c r="E163" i="8"/>
  <c r="F163" i="8"/>
  <c r="G163" i="8"/>
  <c r="J163" i="8" s="1"/>
  <c r="H163" i="8"/>
  <c r="I163" i="8"/>
  <c r="A164" i="8"/>
  <c r="B164" i="8"/>
  <c r="E164" i="8"/>
  <c r="F164" i="8"/>
  <c r="G164" i="8"/>
  <c r="J164" i="8" s="1"/>
  <c r="H164" i="8"/>
  <c r="I164" i="8"/>
  <c r="A165" i="8"/>
  <c r="B165" i="8"/>
  <c r="E165" i="8"/>
  <c r="F165" i="8"/>
  <c r="G165" i="8"/>
  <c r="J165" i="8" s="1"/>
  <c r="H165" i="8"/>
  <c r="I165" i="8"/>
  <c r="A166" i="8"/>
  <c r="B166" i="8"/>
  <c r="E166" i="8"/>
  <c r="F166" i="8"/>
  <c r="G166" i="8"/>
  <c r="J166" i="8" s="1"/>
  <c r="H166" i="8"/>
  <c r="I166" i="8"/>
  <c r="A167" i="8"/>
  <c r="B167" i="8"/>
  <c r="E167" i="8"/>
  <c r="F167" i="8"/>
  <c r="G167" i="8"/>
  <c r="J167" i="8" s="1"/>
  <c r="H167" i="8"/>
  <c r="I167" i="8"/>
  <c r="A168" i="8"/>
  <c r="B168" i="8"/>
  <c r="E168" i="8"/>
  <c r="F168" i="8"/>
  <c r="G168" i="8"/>
  <c r="J168" i="8" s="1"/>
  <c r="H168" i="8"/>
  <c r="I168" i="8"/>
  <c r="A169" i="8"/>
  <c r="B169" i="8"/>
  <c r="E169" i="8"/>
  <c r="F169" i="8"/>
  <c r="G169" i="8"/>
  <c r="J169" i="8" s="1"/>
  <c r="H169" i="8"/>
  <c r="I169" i="8"/>
  <c r="A170" i="8"/>
  <c r="B170" i="8"/>
  <c r="E170" i="8"/>
  <c r="F170" i="8"/>
  <c r="G170" i="8"/>
  <c r="J170" i="8" s="1"/>
  <c r="H170" i="8"/>
  <c r="I170" i="8"/>
  <c r="A171" i="8"/>
  <c r="B171" i="8"/>
  <c r="E171" i="8"/>
  <c r="F171" i="8"/>
  <c r="G171" i="8"/>
  <c r="J171" i="8" s="1"/>
  <c r="H171" i="8"/>
  <c r="I171" i="8"/>
  <c r="A172" i="8"/>
  <c r="B172" i="8"/>
  <c r="E172" i="8"/>
  <c r="F172" i="8"/>
  <c r="G172" i="8"/>
  <c r="J172" i="8" s="1"/>
  <c r="H172" i="8"/>
  <c r="I172" i="8"/>
  <c r="A173" i="8"/>
  <c r="B173" i="8"/>
  <c r="E173" i="8"/>
  <c r="F173" i="8"/>
  <c r="G173" i="8"/>
  <c r="J173" i="8" s="1"/>
  <c r="H173" i="8"/>
  <c r="I173" i="8"/>
  <c r="A174" i="8"/>
  <c r="B174" i="8"/>
  <c r="E174" i="8"/>
  <c r="F174" i="8"/>
  <c r="G174" i="8"/>
  <c r="J174" i="8" s="1"/>
  <c r="H174" i="8"/>
  <c r="I174" i="8"/>
  <c r="A175" i="8"/>
  <c r="B175" i="8"/>
  <c r="E175" i="8"/>
  <c r="F175" i="8"/>
  <c r="G175" i="8"/>
  <c r="J175" i="8" s="1"/>
  <c r="H175" i="8"/>
  <c r="I175" i="8"/>
  <c r="A176" i="8"/>
  <c r="B176" i="8"/>
  <c r="E176" i="8"/>
  <c r="F176" i="8"/>
  <c r="G176" i="8"/>
  <c r="J176" i="8" s="1"/>
  <c r="H176" i="8"/>
  <c r="I176" i="8"/>
  <c r="A177" i="8"/>
  <c r="B177" i="8"/>
  <c r="E177" i="8"/>
  <c r="F177" i="8"/>
  <c r="G177" i="8"/>
  <c r="J177" i="8" s="1"/>
  <c r="H177" i="8"/>
  <c r="I177" i="8"/>
  <c r="A178" i="8"/>
  <c r="B178" i="8"/>
  <c r="E178" i="8"/>
  <c r="F178" i="8"/>
  <c r="G178" i="8"/>
  <c r="J178" i="8" s="1"/>
  <c r="H178" i="8"/>
  <c r="I178" i="8"/>
  <c r="A179" i="8"/>
  <c r="B179" i="8"/>
  <c r="E179" i="8"/>
  <c r="F179" i="8"/>
  <c r="G179" i="8"/>
  <c r="J179" i="8" s="1"/>
  <c r="H179" i="8"/>
  <c r="I179" i="8"/>
  <c r="A180" i="8"/>
  <c r="B180" i="8"/>
  <c r="E180" i="8"/>
  <c r="F180" i="8"/>
  <c r="G180" i="8"/>
  <c r="J180" i="8" s="1"/>
  <c r="H180" i="8"/>
  <c r="I180" i="8"/>
  <c r="A181" i="8"/>
  <c r="B181" i="8"/>
  <c r="E181" i="8"/>
  <c r="F181" i="8"/>
  <c r="G181" i="8"/>
  <c r="J181" i="8" s="1"/>
  <c r="H181" i="8"/>
  <c r="I181" i="8"/>
  <c r="A182" i="8"/>
  <c r="B182" i="8"/>
  <c r="E182" i="8"/>
  <c r="F182" i="8"/>
  <c r="G182" i="8"/>
  <c r="J182" i="8" s="1"/>
  <c r="H182" i="8"/>
  <c r="I182" i="8"/>
  <c r="A183" i="8"/>
  <c r="B183" i="8"/>
  <c r="E183" i="8"/>
  <c r="F183" i="8"/>
  <c r="G183" i="8"/>
  <c r="J183" i="8" s="1"/>
  <c r="H183" i="8"/>
  <c r="I183" i="8"/>
  <c r="A184" i="8"/>
  <c r="B184" i="8"/>
  <c r="E184" i="8"/>
  <c r="F184" i="8"/>
  <c r="G184" i="8"/>
  <c r="J184" i="8" s="1"/>
  <c r="H184" i="8"/>
  <c r="I184" i="8"/>
  <c r="A185" i="8"/>
  <c r="B185" i="8"/>
  <c r="E185" i="8"/>
  <c r="F185" i="8"/>
  <c r="G185" i="8"/>
  <c r="J185" i="8" s="1"/>
  <c r="H185" i="8"/>
  <c r="I185" i="8"/>
  <c r="A3" i="8"/>
  <c r="B3" i="8"/>
  <c r="E3" i="8"/>
  <c r="F3" i="8"/>
  <c r="G3" i="8"/>
  <c r="J3" i="8" s="1"/>
  <c r="H3" i="8"/>
  <c r="I3" i="8"/>
  <c r="A4" i="8"/>
  <c r="B4" i="8"/>
  <c r="E4" i="8"/>
  <c r="F4" i="8"/>
  <c r="G4" i="8"/>
  <c r="J4" i="8" s="1"/>
  <c r="H4" i="8"/>
  <c r="I4" i="8"/>
  <c r="A5" i="8"/>
  <c r="B5" i="8"/>
  <c r="E5" i="8"/>
  <c r="F5" i="8"/>
  <c r="G5" i="8"/>
  <c r="J5" i="8" s="1"/>
  <c r="H5" i="8"/>
  <c r="I5" i="8"/>
  <c r="A6" i="8"/>
  <c r="B6" i="8"/>
  <c r="E6" i="8"/>
  <c r="F6" i="8"/>
  <c r="G6" i="8"/>
  <c r="J6" i="8" s="1"/>
  <c r="H6" i="8"/>
  <c r="I6" i="8"/>
  <c r="A7" i="8"/>
  <c r="B7" i="8"/>
  <c r="E7" i="8"/>
  <c r="F7" i="8"/>
  <c r="D7" i="8" s="1"/>
  <c r="G7" i="8"/>
  <c r="J7" i="8" s="1"/>
  <c r="H7" i="8"/>
  <c r="I7" i="8"/>
  <c r="A8" i="8"/>
  <c r="B8" i="8"/>
  <c r="E8" i="8"/>
  <c r="F8" i="8"/>
  <c r="G8" i="8"/>
  <c r="J8" i="8" s="1"/>
  <c r="H8" i="8"/>
  <c r="I8" i="8"/>
  <c r="A9" i="8"/>
  <c r="B9" i="8"/>
  <c r="E9" i="8"/>
  <c r="F9" i="8"/>
  <c r="D9" i="8" s="1"/>
  <c r="G9" i="8"/>
  <c r="J9" i="8" s="1"/>
  <c r="H9" i="8"/>
  <c r="I9" i="8"/>
  <c r="A10" i="8"/>
  <c r="B10" i="8"/>
  <c r="E10" i="8"/>
  <c r="F10" i="8"/>
  <c r="G10" i="8"/>
  <c r="J10" i="8" s="1"/>
  <c r="H10" i="8"/>
  <c r="I10" i="8"/>
  <c r="A11" i="8"/>
  <c r="B11" i="8"/>
  <c r="E11" i="8"/>
  <c r="F11" i="8"/>
  <c r="G11" i="8"/>
  <c r="J11" i="8" s="1"/>
  <c r="H11" i="8"/>
  <c r="I11" i="8"/>
  <c r="A12" i="8"/>
  <c r="B12" i="8"/>
  <c r="E12" i="8"/>
  <c r="F12" i="8"/>
  <c r="G12" i="8"/>
  <c r="J12" i="8" s="1"/>
  <c r="H12" i="8"/>
  <c r="I12" i="8"/>
  <c r="A13" i="8"/>
  <c r="B13" i="8"/>
  <c r="E13" i="8"/>
  <c r="F13" i="8"/>
  <c r="G13" i="8"/>
  <c r="J13" i="8" s="1"/>
  <c r="H13" i="8"/>
  <c r="I13" i="8"/>
  <c r="A14" i="8"/>
  <c r="B14" i="8"/>
  <c r="E14" i="8"/>
  <c r="F14" i="8"/>
  <c r="G14" i="8"/>
  <c r="J14" i="8" s="1"/>
  <c r="H14" i="8"/>
  <c r="I14" i="8"/>
  <c r="A15" i="8"/>
  <c r="B15" i="8"/>
  <c r="E15" i="8"/>
  <c r="F15" i="8"/>
  <c r="G15" i="8"/>
  <c r="J15" i="8" s="1"/>
  <c r="H15" i="8"/>
  <c r="I15" i="8"/>
  <c r="A16" i="8"/>
  <c r="B16" i="8"/>
  <c r="E16" i="8"/>
  <c r="F16" i="8"/>
  <c r="G16" i="8"/>
  <c r="J16" i="8" s="1"/>
  <c r="H16" i="8"/>
  <c r="I16" i="8"/>
  <c r="A17" i="8"/>
  <c r="B17" i="8"/>
  <c r="E17" i="8"/>
  <c r="F17" i="8"/>
  <c r="D17" i="8" s="1"/>
  <c r="G17" i="8"/>
  <c r="J17" i="8" s="1"/>
  <c r="H17" i="8"/>
  <c r="I17" i="8"/>
  <c r="A18" i="8"/>
  <c r="B18" i="8"/>
  <c r="E18" i="8"/>
  <c r="F18" i="8"/>
  <c r="G18" i="8"/>
  <c r="J18" i="8" s="1"/>
  <c r="H18" i="8"/>
  <c r="I18" i="8"/>
  <c r="A19" i="8"/>
  <c r="B19" i="8"/>
  <c r="E19" i="8"/>
  <c r="F19" i="8"/>
  <c r="G19" i="8"/>
  <c r="J19" i="8" s="1"/>
  <c r="H19" i="8"/>
  <c r="I19" i="8"/>
  <c r="A20" i="8"/>
  <c r="B20" i="8"/>
  <c r="E20" i="8"/>
  <c r="F20" i="8"/>
  <c r="G20" i="8"/>
  <c r="J20" i="8" s="1"/>
  <c r="H20" i="8"/>
  <c r="I20" i="8"/>
  <c r="A21" i="8"/>
  <c r="B21" i="8"/>
  <c r="E21" i="8"/>
  <c r="F21" i="8"/>
  <c r="G21" i="8"/>
  <c r="J21" i="8" s="1"/>
  <c r="H21" i="8"/>
  <c r="I21" i="8"/>
  <c r="A22" i="8"/>
  <c r="B22" i="8"/>
  <c r="E22" i="8"/>
  <c r="F22" i="8"/>
  <c r="G22" i="8"/>
  <c r="J22" i="8" s="1"/>
  <c r="H22" i="8"/>
  <c r="I22" i="8"/>
  <c r="A23" i="8"/>
  <c r="B23" i="8"/>
  <c r="E23" i="8"/>
  <c r="F23" i="8"/>
  <c r="G23" i="8"/>
  <c r="J23" i="8" s="1"/>
  <c r="H23" i="8"/>
  <c r="I23" i="8"/>
  <c r="A24" i="8"/>
  <c r="B24" i="8"/>
  <c r="E24" i="8"/>
  <c r="F24" i="8"/>
  <c r="G24" i="8"/>
  <c r="J24" i="8" s="1"/>
  <c r="H24" i="8"/>
  <c r="I24" i="8"/>
  <c r="A25" i="8"/>
  <c r="B25" i="8"/>
  <c r="E25" i="8"/>
  <c r="F25" i="8"/>
  <c r="G25" i="8"/>
  <c r="J25" i="8" s="1"/>
  <c r="H25" i="8"/>
  <c r="I25" i="8"/>
  <c r="A26" i="8"/>
  <c r="B26" i="8"/>
  <c r="E26" i="8"/>
  <c r="F26" i="8"/>
  <c r="G26" i="8"/>
  <c r="J26" i="8" s="1"/>
  <c r="H26" i="8"/>
  <c r="I26" i="8"/>
  <c r="A27" i="8"/>
  <c r="B27" i="8"/>
  <c r="E27" i="8"/>
  <c r="F27" i="8"/>
  <c r="G27" i="8"/>
  <c r="J27" i="8" s="1"/>
  <c r="H27" i="8"/>
  <c r="I27" i="8"/>
  <c r="A28" i="8"/>
  <c r="B28" i="8"/>
  <c r="E28" i="8"/>
  <c r="F28" i="8"/>
  <c r="G28" i="8"/>
  <c r="J28" i="8" s="1"/>
  <c r="H28" i="8"/>
  <c r="I28" i="8"/>
  <c r="A29" i="8"/>
  <c r="B29" i="8"/>
  <c r="E29" i="8"/>
  <c r="F29" i="8"/>
  <c r="G29" i="8"/>
  <c r="J29" i="8" s="1"/>
  <c r="H29" i="8"/>
  <c r="I29" i="8"/>
  <c r="A30" i="8"/>
  <c r="B30" i="8"/>
  <c r="E30" i="8"/>
  <c r="F30" i="8"/>
  <c r="G30" i="8"/>
  <c r="J30" i="8" s="1"/>
  <c r="H30" i="8"/>
  <c r="I30" i="8"/>
  <c r="A31" i="8"/>
  <c r="B31" i="8"/>
  <c r="E31" i="8"/>
  <c r="F31" i="8"/>
  <c r="G31" i="8"/>
  <c r="J31" i="8" s="1"/>
  <c r="H31" i="8"/>
  <c r="I31" i="8"/>
  <c r="A32" i="8"/>
  <c r="B32" i="8"/>
  <c r="E32" i="8"/>
  <c r="F32" i="8"/>
  <c r="G32" i="8"/>
  <c r="J32" i="8" s="1"/>
  <c r="H32" i="8"/>
  <c r="I32" i="8"/>
  <c r="A33" i="8"/>
  <c r="B33" i="8"/>
  <c r="E33" i="8"/>
  <c r="F33" i="8"/>
  <c r="G33" i="8"/>
  <c r="J33" i="8" s="1"/>
  <c r="H33" i="8"/>
  <c r="I33" i="8"/>
  <c r="A34" i="8"/>
  <c r="B34" i="8"/>
  <c r="E34" i="8"/>
  <c r="F34" i="8"/>
  <c r="G34" i="8"/>
  <c r="J34" i="8" s="1"/>
  <c r="H34" i="8"/>
  <c r="I34" i="8"/>
  <c r="A35" i="8"/>
  <c r="B35" i="8"/>
  <c r="E35" i="8"/>
  <c r="F35" i="8"/>
  <c r="G35" i="8"/>
  <c r="J35" i="8" s="1"/>
  <c r="H35" i="8"/>
  <c r="I35" i="8"/>
  <c r="A36" i="8"/>
  <c r="B36" i="8"/>
  <c r="E36" i="8"/>
  <c r="F36" i="8"/>
  <c r="G36" i="8"/>
  <c r="J36" i="8" s="1"/>
  <c r="H36" i="8"/>
  <c r="I36" i="8"/>
  <c r="A37" i="8"/>
  <c r="B37" i="8"/>
  <c r="E37" i="8"/>
  <c r="F37" i="8"/>
  <c r="G37" i="8"/>
  <c r="J37" i="8" s="1"/>
  <c r="H37" i="8"/>
  <c r="I37" i="8"/>
  <c r="A38" i="8"/>
  <c r="B38" i="8"/>
  <c r="E38" i="8"/>
  <c r="F38" i="8"/>
  <c r="G38" i="8"/>
  <c r="J38" i="8" s="1"/>
  <c r="H38" i="8"/>
  <c r="I38" i="8"/>
  <c r="A39" i="8"/>
  <c r="B39" i="8"/>
  <c r="E39" i="8"/>
  <c r="F39" i="8"/>
  <c r="G39" i="8"/>
  <c r="J39" i="8" s="1"/>
  <c r="H39" i="8"/>
  <c r="I39" i="8"/>
  <c r="A40" i="8"/>
  <c r="B40" i="8"/>
  <c r="E40" i="8"/>
  <c r="F40" i="8"/>
  <c r="G40" i="8"/>
  <c r="J40" i="8" s="1"/>
  <c r="H40" i="8"/>
  <c r="I40" i="8"/>
  <c r="A41" i="8"/>
  <c r="B41" i="8"/>
  <c r="E41" i="8"/>
  <c r="F41" i="8"/>
  <c r="G41" i="8"/>
  <c r="J41" i="8" s="1"/>
  <c r="H41" i="8"/>
  <c r="I41" i="8"/>
  <c r="A42" i="8"/>
  <c r="B42" i="8"/>
  <c r="E42" i="8"/>
  <c r="F42" i="8"/>
  <c r="G42" i="8"/>
  <c r="J42" i="8" s="1"/>
  <c r="H42" i="8"/>
  <c r="I42" i="8"/>
  <c r="A43" i="8"/>
  <c r="B43" i="8"/>
  <c r="E43" i="8"/>
  <c r="F43" i="8"/>
  <c r="G43" i="8"/>
  <c r="J43" i="8" s="1"/>
  <c r="H43" i="8"/>
  <c r="I43" i="8"/>
  <c r="A44" i="8"/>
  <c r="B44" i="8"/>
  <c r="E44" i="8"/>
  <c r="F44" i="8"/>
  <c r="G44" i="8"/>
  <c r="J44" i="8" s="1"/>
  <c r="H44" i="8"/>
  <c r="I44" i="8"/>
  <c r="A45" i="8"/>
  <c r="B45" i="8"/>
  <c r="E45" i="8"/>
  <c r="F45" i="8"/>
  <c r="G45" i="8"/>
  <c r="J45" i="8" s="1"/>
  <c r="H45" i="8"/>
  <c r="I45" i="8"/>
  <c r="A46" i="8"/>
  <c r="B46" i="8"/>
  <c r="E46" i="8"/>
  <c r="F46" i="8"/>
  <c r="G46" i="8"/>
  <c r="J46" i="8" s="1"/>
  <c r="H46" i="8"/>
  <c r="I46" i="8"/>
  <c r="A47" i="8"/>
  <c r="B47" i="8"/>
  <c r="E47" i="8"/>
  <c r="F47" i="8"/>
  <c r="G47" i="8"/>
  <c r="J47" i="8" s="1"/>
  <c r="H47" i="8"/>
  <c r="I47" i="8"/>
  <c r="A48" i="8"/>
  <c r="B48" i="8"/>
  <c r="E48" i="8"/>
  <c r="F48" i="8"/>
  <c r="G48" i="8"/>
  <c r="J48" i="8" s="1"/>
  <c r="H48" i="8"/>
  <c r="I48" i="8"/>
  <c r="A49" i="8"/>
  <c r="B49" i="8"/>
  <c r="E49" i="8"/>
  <c r="F49" i="8"/>
  <c r="G49" i="8"/>
  <c r="J49" i="8" s="1"/>
  <c r="H49" i="8"/>
  <c r="I49" i="8"/>
  <c r="A50" i="8"/>
  <c r="B50" i="8"/>
  <c r="E50" i="8"/>
  <c r="F50" i="8"/>
  <c r="G50" i="8"/>
  <c r="J50" i="8" s="1"/>
  <c r="H50" i="8"/>
  <c r="I50" i="8"/>
  <c r="A51" i="8"/>
  <c r="B51" i="8"/>
  <c r="E51" i="8"/>
  <c r="F51" i="8"/>
  <c r="G51" i="8"/>
  <c r="J51" i="8" s="1"/>
  <c r="H51" i="8"/>
  <c r="I51" i="8"/>
  <c r="A52" i="8"/>
  <c r="B52" i="8"/>
  <c r="E52" i="8"/>
  <c r="F52" i="8"/>
  <c r="G52" i="8"/>
  <c r="J52" i="8" s="1"/>
  <c r="H52" i="8"/>
  <c r="I52" i="8"/>
  <c r="A53" i="8"/>
  <c r="B53" i="8"/>
  <c r="E53" i="8"/>
  <c r="F53" i="8"/>
  <c r="G53" i="8"/>
  <c r="J53" i="8" s="1"/>
  <c r="H53" i="8"/>
  <c r="I53" i="8"/>
  <c r="A54" i="8"/>
  <c r="B54" i="8"/>
  <c r="E54" i="8"/>
  <c r="F54" i="8"/>
  <c r="G54" i="8"/>
  <c r="J54" i="8" s="1"/>
  <c r="H54" i="8"/>
  <c r="I54" i="8"/>
  <c r="A55" i="8"/>
  <c r="B55" i="8"/>
  <c r="E55" i="8"/>
  <c r="F55" i="8"/>
  <c r="G55" i="8"/>
  <c r="J55" i="8" s="1"/>
  <c r="H55" i="8"/>
  <c r="I55" i="8"/>
  <c r="A56" i="8"/>
  <c r="B56" i="8"/>
  <c r="E56" i="8"/>
  <c r="F56" i="8"/>
  <c r="G56" i="8"/>
  <c r="J56" i="8" s="1"/>
  <c r="H56" i="8"/>
  <c r="I56" i="8"/>
  <c r="A57" i="8"/>
  <c r="B57" i="8"/>
  <c r="E57" i="8"/>
  <c r="F57" i="8"/>
  <c r="G57" i="8"/>
  <c r="J57" i="8" s="1"/>
  <c r="H57" i="8"/>
  <c r="I57" i="8"/>
  <c r="A58" i="8"/>
  <c r="B58" i="8"/>
  <c r="E58" i="8"/>
  <c r="F58" i="8"/>
  <c r="G58" i="8"/>
  <c r="J58" i="8" s="1"/>
  <c r="H58" i="8"/>
  <c r="I58" i="8"/>
  <c r="A59" i="8"/>
  <c r="B59" i="8"/>
  <c r="E59" i="8"/>
  <c r="F59" i="8"/>
  <c r="G59" i="8"/>
  <c r="J59" i="8" s="1"/>
  <c r="H59" i="8"/>
  <c r="I59" i="8"/>
  <c r="A60" i="8"/>
  <c r="B60" i="8"/>
  <c r="E60" i="8"/>
  <c r="F60" i="8"/>
  <c r="G60" i="8"/>
  <c r="J60" i="8" s="1"/>
  <c r="H60" i="8"/>
  <c r="I60" i="8"/>
  <c r="A61" i="8"/>
  <c r="B61" i="8"/>
  <c r="E61" i="8"/>
  <c r="F61" i="8"/>
  <c r="G61" i="8"/>
  <c r="J61" i="8" s="1"/>
  <c r="H61" i="8"/>
  <c r="I61" i="8"/>
  <c r="A62" i="8"/>
  <c r="B62" i="8"/>
  <c r="E62" i="8"/>
  <c r="F62" i="8"/>
  <c r="G62" i="8"/>
  <c r="J62" i="8" s="1"/>
  <c r="H62" i="8"/>
  <c r="I62" i="8"/>
  <c r="A63" i="8"/>
  <c r="B63" i="8"/>
  <c r="E63" i="8"/>
  <c r="F63" i="8"/>
  <c r="G63" i="8"/>
  <c r="J63" i="8" s="1"/>
  <c r="H63" i="8"/>
  <c r="I63" i="8"/>
  <c r="A64" i="8"/>
  <c r="B64" i="8"/>
  <c r="E64" i="8"/>
  <c r="F64" i="8"/>
  <c r="G64" i="8"/>
  <c r="J64" i="8" s="1"/>
  <c r="H64" i="8"/>
  <c r="I64" i="8"/>
  <c r="A65" i="8"/>
  <c r="B65" i="8"/>
  <c r="E65" i="8"/>
  <c r="F65" i="8"/>
  <c r="G65" i="8"/>
  <c r="J65" i="8" s="1"/>
  <c r="H65" i="8"/>
  <c r="I65" i="8"/>
  <c r="A66" i="8"/>
  <c r="B66" i="8"/>
  <c r="E66" i="8"/>
  <c r="F66" i="8"/>
  <c r="G66" i="8"/>
  <c r="J66" i="8" s="1"/>
  <c r="H66" i="8"/>
  <c r="I66" i="8"/>
  <c r="A67" i="8"/>
  <c r="B67" i="8"/>
  <c r="E67" i="8"/>
  <c r="F67" i="8"/>
  <c r="G67" i="8"/>
  <c r="J67" i="8" s="1"/>
  <c r="H67" i="8"/>
  <c r="I67" i="8"/>
  <c r="A68" i="8"/>
  <c r="B68" i="8"/>
  <c r="E68" i="8"/>
  <c r="F68" i="8"/>
  <c r="G68" i="8"/>
  <c r="J68" i="8" s="1"/>
  <c r="H68" i="8"/>
  <c r="I68" i="8"/>
  <c r="A69" i="8"/>
  <c r="B69" i="8"/>
  <c r="E69" i="8"/>
  <c r="F69" i="8"/>
  <c r="G69" i="8"/>
  <c r="J69" i="8" s="1"/>
  <c r="H69" i="8"/>
  <c r="I69" i="8"/>
  <c r="A70" i="8"/>
  <c r="B70" i="8"/>
  <c r="E70" i="8"/>
  <c r="F70" i="8"/>
  <c r="G70" i="8"/>
  <c r="J70" i="8" s="1"/>
  <c r="H70" i="8"/>
  <c r="I70" i="8"/>
  <c r="A71" i="8"/>
  <c r="B71" i="8"/>
  <c r="E71" i="8"/>
  <c r="F71" i="8"/>
  <c r="G71" i="8"/>
  <c r="J71" i="8" s="1"/>
  <c r="H71" i="8"/>
  <c r="I71" i="8"/>
  <c r="A72" i="8"/>
  <c r="B72" i="8"/>
  <c r="E72" i="8"/>
  <c r="F72" i="8"/>
  <c r="G72" i="8"/>
  <c r="J72" i="8" s="1"/>
  <c r="H72" i="8"/>
  <c r="I72" i="8"/>
  <c r="A73" i="8"/>
  <c r="B73" i="8"/>
  <c r="E73" i="8"/>
  <c r="F73" i="8"/>
  <c r="G73" i="8"/>
  <c r="J73" i="8" s="1"/>
  <c r="H73" i="8"/>
  <c r="I73" i="8"/>
  <c r="A74" i="8"/>
  <c r="B74" i="8"/>
  <c r="E74" i="8"/>
  <c r="F74" i="8"/>
  <c r="G74" i="8"/>
  <c r="J74" i="8" s="1"/>
  <c r="H74" i="8"/>
  <c r="I74" i="8"/>
  <c r="A75" i="8"/>
  <c r="B75" i="8"/>
  <c r="E75" i="8"/>
  <c r="F75" i="8"/>
  <c r="G75" i="8"/>
  <c r="J75" i="8" s="1"/>
  <c r="H75" i="8"/>
  <c r="I75" i="8"/>
  <c r="A76" i="8"/>
  <c r="B76" i="8"/>
  <c r="E76" i="8"/>
  <c r="F76" i="8"/>
  <c r="G76" i="8"/>
  <c r="J76" i="8" s="1"/>
  <c r="H76" i="8"/>
  <c r="I76" i="8"/>
  <c r="A77" i="8"/>
  <c r="B77" i="8"/>
  <c r="E77" i="8"/>
  <c r="F77" i="8"/>
  <c r="G77" i="8"/>
  <c r="J77" i="8" s="1"/>
  <c r="H77" i="8"/>
  <c r="I77" i="8"/>
  <c r="A78" i="8"/>
  <c r="B78" i="8"/>
  <c r="E78" i="8"/>
  <c r="F78" i="8"/>
  <c r="G78" i="8"/>
  <c r="J78" i="8" s="1"/>
  <c r="H78" i="8"/>
  <c r="I78" i="8"/>
  <c r="A79" i="8"/>
  <c r="B79" i="8"/>
  <c r="E79" i="8"/>
  <c r="F79" i="8"/>
  <c r="G79" i="8"/>
  <c r="J79" i="8" s="1"/>
  <c r="H79" i="8"/>
  <c r="I79" i="8"/>
  <c r="A80" i="8"/>
  <c r="B80" i="8"/>
  <c r="E80" i="8"/>
  <c r="F80" i="8"/>
  <c r="G80" i="8"/>
  <c r="J80" i="8" s="1"/>
  <c r="H80" i="8"/>
  <c r="I80" i="8"/>
  <c r="A81" i="8"/>
  <c r="B81" i="8"/>
  <c r="E81" i="8"/>
  <c r="F81" i="8"/>
  <c r="G81" i="8"/>
  <c r="J81" i="8" s="1"/>
  <c r="H81" i="8"/>
  <c r="I81" i="8"/>
  <c r="A82" i="8"/>
  <c r="B82" i="8"/>
  <c r="E82" i="8"/>
  <c r="F82" i="8"/>
  <c r="G82" i="8"/>
  <c r="J82" i="8" s="1"/>
  <c r="H82" i="8"/>
  <c r="I82" i="8"/>
  <c r="A83" i="8"/>
  <c r="B83" i="8"/>
  <c r="E83" i="8"/>
  <c r="F83" i="8"/>
  <c r="G83" i="8"/>
  <c r="J83" i="8" s="1"/>
  <c r="H83" i="8"/>
  <c r="I83" i="8"/>
  <c r="A84" i="8"/>
  <c r="B84" i="8"/>
  <c r="E84" i="8"/>
  <c r="F84" i="8"/>
  <c r="G84" i="8"/>
  <c r="J84" i="8" s="1"/>
  <c r="H84" i="8"/>
  <c r="I84" i="8"/>
  <c r="A85" i="8"/>
  <c r="B85" i="8"/>
  <c r="E85" i="8"/>
  <c r="F85" i="8"/>
  <c r="G85" i="8"/>
  <c r="J85" i="8" s="1"/>
  <c r="H85" i="8"/>
  <c r="I85" i="8"/>
  <c r="A86" i="8"/>
  <c r="B86" i="8"/>
  <c r="E86" i="8"/>
  <c r="F86" i="8"/>
  <c r="G86" i="8"/>
  <c r="J86" i="8" s="1"/>
  <c r="H86" i="8"/>
  <c r="I86" i="8"/>
  <c r="A87" i="8"/>
  <c r="B87" i="8"/>
  <c r="E87" i="8"/>
  <c r="F87" i="8"/>
  <c r="G87" i="8"/>
  <c r="J87" i="8" s="1"/>
  <c r="H87" i="8"/>
  <c r="I87" i="8"/>
  <c r="A88" i="8"/>
  <c r="B88" i="8"/>
  <c r="E88" i="8"/>
  <c r="F88" i="8"/>
  <c r="G88" i="8"/>
  <c r="J88" i="8" s="1"/>
  <c r="H88" i="8"/>
  <c r="I88" i="8"/>
  <c r="A89" i="8"/>
  <c r="B89" i="8"/>
  <c r="E89" i="8"/>
  <c r="F89" i="8"/>
  <c r="G89" i="8"/>
  <c r="J89" i="8" s="1"/>
  <c r="H89" i="8"/>
  <c r="I89" i="8"/>
  <c r="A90" i="8"/>
  <c r="B90" i="8"/>
  <c r="E90" i="8"/>
  <c r="F90" i="8"/>
  <c r="G90" i="8"/>
  <c r="J90" i="8" s="1"/>
  <c r="H90" i="8"/>
  <c r="I90" i="8"/>
  <c r="A91" i="8"/>
  <c r="B91" i="8"/>
  <c r="E91" i="8"/>
  <c r="F91" i="8"/>
  <c r="G91" i="8"/>
  <c r="J91" i="8" s="1"/>
  <c r="H91" i="8"/>
  <c r="I91" i="8"/>
  <c r="H2" i="8"/>
  <c r="I2" i="8"/>
  <c r="G2" i="8"/>
  <c r="J2" i="8" s="1"/>
  <c r="E2" i="8"/>
  <c r="F2" i="8"/>
  <c r="D19" i="8" l="1"/>
  <c r="D11" i="8"/>
  <c r="D3" i="8"/>
  <c r="D84" i="8"/>
  <c r="D76" i="8"/>
  <c r="D68" i="8"/>
  <c r="D60" i="8"/>
  <c r="D52" i="8"/>
  <c r="D44" i="8"/>
  <c r="D36" i="8"/>
  <c r="D28" i="8"/>
  <c r="D20" i="8"/>
  <c r="D13" i="8"/>
  <c r="D5" i="8"/>
  <c r="D179" i="8"/>
  <c r="D171" i="8"/>
  <c r="D86" i="8"/>
  <c r="D78" i="8"/>
  <c r="D70" i="8"/>
  <c r="D62" i="8"/>
  <c r="D54" i="8"/>
  <c r="D46" i="8"/>
  <c r="D38" i="8"/>
  <c r="D30" i="8"/>
  <c r="D22" i="8"/>
  <c r="D15" i="8"/>
  <c r="D181" i="8"/>
  <c r="N28" i="8"/>
  <c r="K28" i="8"/>
  <c r="M28" i="8"/>
  <c r="N123" i="8"/>
  <c r="K123" i="8"/>
  <c r="M123" i="8"/>
  <c r="D119" i="8"/>
  <c r="I187" i="8"/>
  <c r="G187" i="8"/>
  <c r="J187" i="8"/>
  <c r="F187" i="8"/>
  <c r="H187" i="8"/>
  <c r="K87" i="8"/>
  <c r="M87" i="8"/>
  <c r="N87" i="8"/>
  <c r="K55" i="8"/>
  <c r="M55" i="8"/>
  <c r="N55" i="8"/>
  <c r="K23" i="8"/>
  <c r="M23" i="8"/>
  <c r="N23" i="8"/>
  <c r="K15" i="8"/>
  <c r="N15" i="8"/>
  <c r="M15" i="8"/>
  <c r="K7" i="8"/>
  <c r="N7" i="8"/>
  <c r="M7" i="8"/>
  <c r="K182" i="8"/>
  <c r="N182" i="8"/>
  <c r="M182" i="8"/>
  <c r="K150" i="8"/>
  <c r="N150" i="8"/>
  <c r="M150" i="8"/>
  <c r="D2" i="8"/>
  <c r="M80" i="8"/>
  <c r="N80" i="8"/>
  <c r="K80" i="8"/>
  <c r="N72" i="8"/>
  <c r="M72" i="8"/>
  <c r="K72" i="8"/>
  <c r="N64" i="8"/>
  <c r="M64" i="8"/>
  <c r="K64" i="8"/>
  <c r="K56" i="8"/>
  <c r="M56" i="8"/>
  <c r="N56" i="8"/>
  <c r="D50" i="8"/>
  <c r="M48" i="8"/>
  <c r="K48" i="8"/>
  <c r="N48" i="8"/>
  <c r="D42" i="8"/>
  <c r="N40" i="8"/>
  <c r="K40" i="8"/>
  <c r="M40" i="8"/>
  <c r="D34" i="8"/>
  <c r="N32" i="8"/>
  <c r="M32" i="8"/>
  <c r="K32" i="8"/>
  <c r="D26" i="8"/>
  <c r="K24" i="8"/>
  <c r="M24" i="8"/>
  <c r="N24" i="8"/>
  <c r="M16" i="8"/>
  <c r="N16" i="8"/>
  <c r="K16" i="8"/>
  <c r="N8" i="8"/>
  <c r="K8" i="8"/>
  <c r="M8" i="8"/>
  <c r="D185" i="8"/>
  <c r="K183" i="8"/>
  <c r="M183" i="8"/>
  <c r="N183" i="8"/>
  <c r="K175" i="8"/>
  <c r="N175" i="8"/>
  <c r="M175" i="8"/>
  <c r="D169" i="8"/>
  <c r="K167" i="8"/>
  <c r="N167" i="8"/>
  <c r="M167" i="8"/>
  <c r="D161" i="8"/>
  <c r="K159" i="8"/>
  <c r="M159" i="8"/>
  <c r="N159" i="8"/>
  <c r="D153" i="8"/>
  <c r="K151" i="8"/>
  <c r="M151" i="8"/>
  <c r="N151" i="8"/>
  <c r="D145" i="8"/>
  <c r="K143" i="8"/>
  <c r="N143" i="8"/>
  <c r="M143" i="8"/>
  <c r="D137" i="8"/>
  <c r="K135" i="8"/>
  <c r="N135" i="8"/>
  <c r="M135" i="8"/>
  <c r="D129" i="8"/>
  <c r="K127" i="8"/>
  <c r="M127" i="8"/>
  <c r="N127" i="8"/>
  <c r="D121" i="8"/>
  <c r="K119" i="8"/>
  <c r="M119" i="8"/>
  <c r="N119" i="8"/>
  <c r="D113" i="8"/>
  <c r="K111" i="8"/>
  <c r="N111" i="8"/>
  <c r="M111" i="8"/>
  <c r="D105" i="8"/>
  <c r="K103" i="8"/>
  <c r="N103" i="8"/>
  <c r="M103" i="8"/>
  <c r="D97" i="8"/>
  <c r="K95" i="8"/>
  <c r="M95" i="8"/>
  <c r="N95" i="8"/>
  <c r="K76" i="8"/>
  <c r="N76" i="8"/>
  <c r="M76" i="8"/>
  <c r="K68" i="8"/>
  <c r="M68" i="8"/>
  <c r="N68" i="8"/>
  <c r="K44" i="8"/>
  <c r="M44" i="8"/>
  <c r="N44" i="8"/>
  <c r="N20" i="8"/>
  <c r="K20" i="8"/>
  <c r="M20" i="8"/>
  <c r="N131" i="8"/>
  <c r="K131" i="8"/>
  <c r="M131" i="8"/>
  <c r="N99" i="8"/>
  <c r="K99" i="8"/>
  <c r="M99" i="8"/>
  <c r="K77" i="8"/>
  <c r="N77" i="8"/>
  <c r="M77" i="8"/>
  <c r="K53" i="8"/>
  <c r="N53" i="8"/>
  <c r="M53" i="8"/>
  <c r="K45" i="8"/>
  <c r="N45" i="8"/>
  <c r="M45" i="8"/>
  <c r="K5" i="8"/>
  <c r="N5" i="8"/>
  <c r="M5" i="8"/>
  <c r="K140" i="8"/>
  <c r="N140" i="8"/>
  <c r="M140" i="8"/>
  <c r="N92" i="8"/>
  <c r="K92" i="8"/>
  <c r="M92" i="8"/>
  <c r="D80" i="8"/>
  <c r="K78" i="8"/>
  <c r="N78" i="8"/>
  <c r="M78" i="8"/>
  <c r="D64" i="8"/>
  <c r="K62" i="8"/>
  <c r="M62" i="8"/>
  <c r="N62" i="8"/>
  <c r="D48" i="8"/>
  <c r="D40" i="8"/>
  <c r="K38" i="8"/>
  <c r="N38" i="8"/>
  <c r="M38" i="8"/>
  <c r="D32" i="8"/>
  <c r="K30" i="8"/>
  <c r="M30" i="8"/>
  <c r="N30" i="8"/>
  <c r="K14" i="8"/>
  <c r="N14" i="8"/>
  <c r="M14" i="8"/>
  <c r="K6" i="8"/>
  <c r="M6" i="8"/>
  <c r="N6" i="8"/>
  <c r="K173" i="8"/>
  <c r="N173" i="8"/>
  <c r="M173" i="8"/>
  <c r="K165" i="8"/>
  <c r="N165" i="8"/>
  <c r="M165" i="8"/>
  <c r="K141" i="8"/>
  <c r="N141" i="8"/>
  <c r="M141" i="8"/>
  <c r="D127" i="8"/>
  <c r="K125" i="8"/>
  <c r="N125" i="8"/>
  <c r="M125" i="8"/>
  <c r="K117" i="8"/>
  <c r="N117" i="8"/>
  <c r="M117" i="8"/>
  <c r="K109" i="8"/>
  <c r="N109" i="8"/>
  <c r="M109" i="8"/>
  <c r="K101" i="8"/>
  <c r="N101" i="8"/>
  <c r="M101" i="8"/>
  <c r="K93" i="8"/>
  <c r="N93" i="8"/>
  <c r="M93" i="8"/>
  <c r="K79" i="8"/>
  <c r="N79" i="8"/>
  <c r="M79" i="8"/>
  <c r="K71" i="8"/>
  <c r="N71" i="8"/>
  <c r="M71" i="8"/>
  <c r="K63" i="8"/>
  <c r="M63" i="8"/>
  <c r="N63" i="8"/>
  <c r="K47" i="8"/>
  <c r="N47" i="8"/>
  <c r="M47" i="8"/>
  <c r="K39" i="8"/>
  <c r="N39" i="8"/>
  <c r="M39" i="8"/>
  <c r="K31" i="8"/>
  <c r="M31" i="8"/>
  <c r="N31" i="8"/>
  <c r="D184" i="8"/>
  <c r="K174" i="8"/>
  <c r="N174" i="8"/>
  <c r="M174" i="8"/>
  <c r="K166" i="8"/>
  <c r="N166" i="8"/>
  <c r="M166" i="8"/>
  <c r="K158" i="8"/>
  <c r="N158" i="8"/>
  <c r="M158" i="8"/>
  <c r="K142" i="8"/>
  <c r="N142" i="8"/>
  <c r="M142" i="8"/>
  <c r="K134" i="8"/>
  <c r="N134" i="8"/>
  <c r="M134" i="8"/>
  <c r="K126" i="8"/>
  <c r="N126" i="8"/>
  <c r="M126" i="8"/>
  <c r="K118" i="8"/>
  <c r="N118" i="8"/>
  <c r="M118" i="8"/>
  <c r="K110" i="8"/>
  <c r="N110" i="8"/>
  <c r="M110" i="8"/>
  <c r="K102" i="8"/>
  <c r="N102" i="8"/>
  <c r="M102" i="8"/>
  <c r="K94" i="8"/>
  <c r="M94" i="8"/>
  <c r="N94" i="8"/>
  <c r="D90" i="8"/>
  <c r="K88" i="8"/>
  <c r="M88" i="8"/>
  <c r="N88" i="8"/>
  <c r="D82" i="8"/>
  <c r="D74" i="8"/>
  <c r="D66" i="8"/>
  <c r="D58" i="8"/>
  <c r="E187" i="8"/>
  <c r="N89" i="8"/>
  <c r="K89" i="8"/>
  <c r="M89" i="8"/>
  <c r="N81" i="8"/>
  <c r="K81" i="8"/>
  <c r="M81" i="8"/>
  <c r="N73" i="8"/>
  <c r="K73" i="8"/>
  <c r="M73" i="8"/>
  <c r="N65" i="8"/>
  <c r="K65" i="8"/>
  <c r="M65" i="8"/>
  <c r="N57" i="8"/>
  <c r="K57" i="8"/>
  <c r="M57" i="8"/>
  <c r="N49" i="8"/>
  <c r="K49" i="8"/>
  <c r="M49" i="8"/>
  <c r="N41" i="8"/>
  <c r="K41" i="8"/>
  <c r="M41" i="8"/>
  <c r="N33" i="8"/>
  <c r="K33" i="8"/>
  <c r="M33" i="8"/>
  <c r="N25" i="8"/>
  <c r="K25" i="8"/>
  <c r="M25" i="8"/>
  <c r="N17" i="8"/>
  <c r="K17" i="8"/>
  <c r="M17" i="8"/>
  <c r="N9" i="8"/>
  <c r="K9" i="8"/>
  <c r="M9" i="8"/>
  <c r="M184" i="8"/>
  <c r="N184" i="8"/>
  <c r="K184" i="8"/>
  <c r="D178" i="8"/>
  <c r="M176" i="8"/>
  <c r="N176" i="8"/>
  <c r="K176" i="8"/>
  <c r="N168" i="8"/>
  <c r="M168" i="8"/>
  <c r="K168" i="8"/>
  <c r="N160" i="8"/>
  <c r="M160" i="8"/>
  <c r="K160" i="8"/>
  <c r="M152" i="8"/>
  <c r="N152" i="8"/>
  <c r="K152" i="8"/>
  <c r="M144" i="8"/>
  <c r="N144" i="8"/>
  <c r="K144" i="8"/>
  <c r="N136" i="8"/>
  <c r="K136" i="8"/>
  <c r="M136" i="8"/>
  <c r="N128" i="8"/>
  <c r="M128" i="8"/>
  <c r="K128" i="8"/>
  <c r="M120" i="8"/>
  <c r="N120" i="8"/>
  <c r="K120" i="8"/>
  <c r="M112" i="8"/>
  <c r="K112" i="8"/>
  <c r="N112" i="8"/>
  <c r="N104" i="8"/>
  <c r="M104" i="8"/>
  <c r="K104" i="8"/>
  <c r="N96" i="8"/>
  <c r="M96" i="8"/>
  <c r="K96" i="8"/>
  <c r="N84" i="8"/>
  <c r="K84" i="8"/>
  <c r="M84" i="8"/>
  <c r="N60" i="8"/>
  <c r="K60" i="8"/>
  <c r="M60" i="8"/>
  <c r="N52" i="8"/>
  <c r="K52" i="8"/>
  <c r="M52" i="8"/>
  <c r="K36" i="8"/>
  <c r="M36" i="8"/>
  <c r="N36" i="8"/>
  <c r="K12" i="8"/>
  <c r="N12" i="8"/>
  <c r="M12" i="8"/>
  <c r="K4" i="8"/>
  <c r="M4" i="8"/>
  <c r="N4" i="8"/>
  <c r="N179" i="8"/>
  <c r="K179" i="8"/>
  <c r="M179" i="8"/>
  <c r="N171" i="8"/>
  <c r="K171" i="8"/>
  <c r="M171" i="8"/>
  <c r="N163" i="8"/>
  <c r="K163" i="8"/>
  <c r="M163" i="8"/>
  <c r="N155" i="8"/>
  <c r="K155" i="8"/>
  <c r="M155" i="8"/>
  <c r="N147" i="8"/>
  <c r="K147" i="8"/>
  <c r="M147" i="8"/>
  <c r="N139" i="8"/>
  <c r="K139" i="8"/>
  <c r="M139" i="8"/>
  <c r="N115" i="8"/>
  <c r="K115" i="8"/>
  <c r="M115" i="8"/>
  <c r="N107" i="8"/>
  <c r="K107" i="8"/>
  <c r="M107" i="8"/>
  <c r="K85" i="8"/>
  <c r="N85" i="8"/>
  <c r="M85" i="8"/>
  <c r="K69" i="8"/>
  <c r="N69" i="8"/>
  <c r="M69" i="8"/>
  <c r="K61" i="8"/>
  <c r="N61" i="8"/>
  <c r="M61" i="8"/>
  <c r="K37" i="8"/>
  <c r="N37" i="8"/>
  <c r="M37" i="8"/>
  <c r="K29" i="8"/>
  <c r="N29" i="8"/>
  <c r="M29" i="8"/>
  <c r="K21" i="8"/>
  <c r="N21" i="8"/>
  <c r="M21" i="8"/>
  <c r="K13" i="8"/>
  <c r="N13" i="8"/>
  <c r="M13" i="8"/>
  <c r="D182" i="8"/>
  <c r="N180" i="8"/>
  <c r="K180" i="8"/>
  <c r="M180" i="8"/>
  <c r="K172" i="8"/>
  <c r="N172" i="8"/>
  <c r="M172" i="8"/>
  <c r="K164" i="8"/>
  <c r="M164" i="8"/>
  <c r="N164" i="8"/>
  <c r="N156" i="8"/>
  <c r="K156" i="8"/>
  <c r="M156" i="8"/>
  <c r="N148" i="8"/>
  <c r="K148" i="8"/>
  <c r="M148" i="8"/>
  <c r="K132" i="8"/>
  <c r="N132" i="8"/>
  <c r="M132" i="8"/>
  <c r="N124" i="8"/>
  <c r="K124" i="8"/>
  <c r="M124" i="8"/>
  <c r="N116" i="8"/>
  <c r="K116" i="8"/>
  <c r="M116" i="8"/>
  <c r="K108" i="8"/>
  <c r="N108" i="8"/>
  <c r="M108" i="8"/>
  <c r="K100" i="8"/>
  <c r="M100" i="8"/>
  <c r="N100" i="8"/>
  <c r="D88" i="8"/>
  <c r="K86" i="8"/>
  <c r="N86" i="8"/>
  <c r="M86" i="8"/>
  <c r="D72" i="8"/>
  <c r="K70" i="8"/>
  <c r="N70" i="8"/>
  <c r="M70" i="8"/>
  <c r="D56" i="8"/>
  <c r="K54" i="8"/>
  <c r="N54" i="8"/>
  <c r="M54" i="8"/>
  <c r="K46" i="8"/>
  <c r="N46" i="8"/>
  <c r="M46" i="8"/>
  <c r="D24" i="8"/>
  <c r="K22" i="8"/>
  <c r="N22" i="8"/>
  <c r="M22" i="8"/>
  <c r="D183" i="8"/>
  <c r="K181" i="8"/>
  <c r="N181" i="8"/>
  <c r="M181" i="8"/>
  <c r="D167" i="8"/>
  <c r="D159" i="8"/>
  <c r="K157" i="8"/>
  <c r="N157" i="8"/>
  <c r="M157" i="8"/>
  <c r="D151" i="8"/>
  <c r="K149" i="8"/>
  <c r="N149" i="8"/>
  <c r="M149" i="8"/>
  <c r="D143" i="8"/>
  <c r="D135" i="8"/>
  <c r="K133" i="8"/>
  <c r="N133" i="8"/>
  <c r="M133" i="8"/>
  <c r="D111" i="8"/>
  <c r="D103" i="8"/>
  <c r="D95" i="8"/>
  <c r="K90" i="8"/>
  <c r="N90" i="8"/>
  <c r="M90" i="8"/>
  <c r="K82" i="8"/>
  <c r="M82" i="8"/>
  <c r="N82" i="8"/>
  <c r="K74" i="8"/>
  <c r="M74" i="8"/>
  <c r="N74" i="8"/>
  <c r="K66" i="8"/>
  <c r="N66" i="8"/>
  <c r="M66" i="8"/>
  <c r="K58" i="8"/>
  <c r="N58" i="8"/>
  <c r="M58" i="8"/>
  <c r="K50" i="8"/>
  <c r="M50" i="8"/>
  <c r="N50" i="8"/>
  <c r="K42" i="8"/>
  <c r="M42" i="8"/>
  <c r="N42" i="8"/>
  <c r="K34" i="8"/>
  <c r="N34" i="8"/>
  <c r="M34" i="8"/>
  <c r="K26" i="8"/>
  <c r="N26" i="8"/>
  <c r="M26" i="8"/>
  <c r="K18" i="8"/>
  <c r="M18" i="8"/>
  <c r="N18" i="8"/>
  <c r="K10" i="8"/>
  <c r="M10" i="8"/>
  <c r="N10" i="8"/>
  <c r="N185" i="8"/>
  <c r="K185" i="8"/>
  <c r="M185" i="8"/>
  <c r="N177" i="8"/>
  <c r="K177" i="8"/>
  <c r="M177" i="8"/>
  <c r="N169" i="8"/>
  <c r="K169" i="8"/>
  <c r="M169" i="8"/>
  <c r="N161" i="8"/>
  <c r="K161" i="8"/>
  <c r="M161" i="8"/>
  <c r="N153" i="8"/>
  <c r="K153" i="8"/>
  <c r="M153" i="8"/>
  <c r="N145" i="8"/>
  <c r="K145" i="8"/>
  <c r="M145" i="8"/>
  <c r="N137" i="8"/>
  <c r="K137" i="8"/>
  <c r="M137" i="8"/>
  <c r="N129" i="8"/>
  <c r="K129" i="8"/>
  <c r="M129" i="8"/>
  <c r="N121" i="8"/>
  <c r="K121" i="8"/>
  <c r="M121" i="8"/>
  <c r="N113" i="8"/>
  <c r="K113" i="8"/>
  <c r="M113" i="8"/>
  <c r="N105" i="8"/>
  <c r="K105" i="8"/>
  <c r="M105" i="8"/>
  <c r="N97" i="8"/>
  <c r="K97" i="8"/>
  <c r="M97" i="8"/>
  <c r="N91" i="8"/>
  <c r="K91" i="8"/>
  <c r="M91" i="8"/>
  <c r="N83" i="8"/>
  <c r="K83" i="8"/>
  <c r="M83" i="8"/>
  <c r="N75" i="8"/>
  <c r="K75" i="8"/>
  <c r="M75" i="8"/>
  <c r="N67" i="8"/>
  <c r="K67" i="8"/>
  <c r="M67" i="8"/>
  <c r="N59" i="8"/>
  <c r="K59" i="8"/>
  <c r="M59" i="8"/>
  <c r="N51" i="8"/>
  <c r="K51" i="8"/>
  <c r="M51" i="8"/>
  <c r="N43" i="8"/>
  <c r="K43" i="8"/>
  <c r="M43" i="8"/>
  <c r="N35" i="8"/>
  <c r="K35" i="8"/>
  <c r="M35" i="8"/>
  <c r="N27" i="8"/>
  <c r="K27" i="8"/>
  <c r="M27" i="8"/>
  <c r="N19" i="8"/>
  <c r="K19" i="8"/>
  <c r="M19" i="8"/>
  <c r="N11" i="8"/>
  <c r="K11" i="8"/>
  <c r="M11" i="8"/>
  <c r="N3" i="8"/>
  <c r="K3" i="8"/>
  <c r="M3" i="8"/>
  <c r="D180" i="8"/>
  <c r="K178" i="8"/>
  <c r="M178" i="8"/>
  <c r="N178" i="8"/>
  <c r="K170" i="8"/>
  <c r="M170" i="8"/>
  <c r="N170" i="8"/>
  <c r="K162" i="8"/>
  <c r="N162" i="8"/>
  <c r="M162" i="8"/>
  <c r="K154" i="8"/>
  <c r="N154" i="8"/>
  <c r="M154" i="8"/>
  <c r="K146" i="8"/>
  <c r="M146" i="8"/>
  <c r="N146" i="8"/>
  <c r="K138" i="8"/>
  <c r="M138" i="8"/>
  <c r="N138" i="8"/>
  <c r="K130" i="8"/>
  <c r="N130" i="8"/>
  <c r="M130" i="8"/>
  <c r="K122" i="8"/>
  <c r="N122" i="8"/>
  <c r="M122" i="8"/>
  <c r="K114" i="8"/>
  <c r="M114" i="8"/>
  <c r="N114" i="8"/>
  <c r="K106" i="8"/>
  <c r="M106" i="8"/>
  <c r="N106" i="8"/>
  <c r="K98" i="8"/>
  <c r="N98" i="8"/>
  <c r="M98" i="8"/>
  <c r="D91" i="8"/>
  <c r="D89" i="8"/>
  <c r="D87" i="8"/>
  <c r="D85" i="8"/>
  <c r="D83" i="8"/>
  <c r="D81" i="8"/>
  <c r="D79" i="8"/>
  <c r="D77" i="8"/>
  <c r="D75" i="8"/>
  <c r="D73" i="8"/>
  <c r="D71" i="8"/>
  <c r="D69" i="8"/>
  <c r="D67" i="8"/>
  <c r="D65" i="8"/>
  <c r="D63" i="8"/>
  <c r="D61" i="8"/>
  <c r="D59" i="8"/>
  <c r="D57" i="8"/>
  <c r="D55" i="8"/>
  <c r="D53" i="8"/>
  <c r="D51" i="8"/>
  <c r="D49" i="8"/>
  <c r="D47" i="8"/>
  <c r="D45" i="8"/>
  <c r="D43" i="8"/>
  <c r="D41" i="8"/>
  <c r="D39" i="8"/>
  <c r="D37" i="8"/>
  <c r="D35" i="8"/>
  <c r="D33" i="8"/>
  <c r="D31" i="8"/>
  <c r="D29" i="8"/>
  <c r="D27" i="8"/>
  <c r="D25" i="8"/>
  <c r="D23" i="8"/>
  <c r="D21" i="8"/>
  <c r="D18" i="8"/>
  <c r="D16" i="8"/>
  <c r="D14" i="8"/>
  <c r="D12" i="8"/>
  <c r="D10" i="8"/>
  <c r="D8" i="8"/>
  <c r="D6" i="8"/>
  <c r="D4" i="8"/>
  <c r="D176" i="8"/>
  <c r="D177" i="8"/>
  <c r="D168" i="8"/>
  <c r="D160" i="8"/>
  <c r="D152" i="8"/>
  <c r="D144" i="8"/>
  <c r="D136" i="8"/>
  <c r="D128" i="8"/>
  <c r="D120" i="8"/>
  <c r="D112" i="8"/>
  <c r="D104" i="8"/>
  <c r="D96" i="8"/>
  <c r="D162" i="8"/>
  <c r="D131" i="8"/>
  <c r="D123" i="8"/>
  <c r="D173" i="8"/>
  <c r="D164" i="8"/>
  <c r="D156" i="8"/>
  <c r="D148" i="8"/>
  <c r="D140" i="8"/>
  <c r="D132" i="8"/>
  <c r="D124" i="8"/>
  <c r="D116" i="8"/>
  <c r="D108" i="8"/>
  <c r="D100" i="8"/>
  <c r="D92" i="8"/>
  <c r="D170" i="8"/>
  <c r="D138" i="8"/>
  <c r="D98" i="8"/>
  <c r="D155" i="8"/>
  <c r="D115" i="8"/>
  <c r="D107" i="8"/>
  <c r="D99" i="8"/>
  <c r="D174" i="8"/>
  <c r="D165" i="8"/>
  <c r="D157" i="8"/>
  <c r="D149" i="8"/>
  <c r="D141" i="8"/>
  <c r="D133" i="8"/>
  <c r="D125" i="8"/>
  <c r="D117" i="8"/>
  <c r="D109" i="8"/>
  <c r="D101" i="8"/>
  <c r="D93" i="8"/>
  <c r="D154" i="8"/>
  <c r="D146" i="8"/>
  <c r="D130" i="8"/>
  <c r="D122" i="8"/>
  <c r="D114" i="8"/>
  <c r="D106" i="8"/>
  <c r="D172" i="8"/>
  <c r="D163" i="8"/>
  <c r="D147" i="8"/>
  <c r="D139" i="8"/>
  <c r="D175" i="8"/>
  <c r="D166" i="8"/>
  <c r="D158" i="8"/>
  <c r="D150" i="8"/>
  <c r="D142" i="8"/>
  <c r="D134" i="8"/>
  <c r="D126" i="8"/>
  <c r="D118" i="8"/>
  <c r="D110" i="8"/>
  <c r="D102" i="8"/>
  <c r="D94" i="8"/>
  <c r="D187" i="8" l="1"/>
  <c r="BK26" i="1"/>
  <c r="BL26" i="1"/>
  <c r="BM26" i="1"/>
  <c r="BN26" i="1"/>
  <c r="BS26" i="1"/>
  <c r="BT26" i="1"/>
  <c r="BU26" i="1"/>
  <c r="BV26" i="1"/>
  <c r="CA26" i="1"/>
  <c r="CB26" i="1"/>
  <c r="CC26" i="1"/>
  <c r="CD26" i="1"/>
  <c r="CI26" i="1"/>
  <c r="CJ26" i="1"/>
  <c r="CK26" i="1"/>
  <c r="CL26" i="1"/>
  <c r="CQ26" i="1"/>
  <c r="CR26" i="1"/>
  <c r="CS26" i="1"/>
  <c r="CT26" i="1"/>
  <c r="CY26" i="1"/>
  <c r="CZ26" i="1"/>
  <c r="DA26" i="1"/>
  <c r="DB26" i="1"/>
  <c r="DG26" i="1"/>
  <c r="DH26" i="1"/>
  <c r="DI26" i="1"/>
  <c r="DJ26" i="1"/>
  <c r="DO26" i="1"/>
  <c r="DP26" i="1"/>
  <c r="DQ26" i="1"/>
  <c r="DR26" i="1"/>
  <c r="DW26" i="1"/>
  <c r="DX26" i="1"/>
  <c r="DY26" i="1"/>
  <c r="DZ26" i="1"/>
  <c r="EE26" i="1"/>
  <c r="EF26" i="1"/>
  <c r="EG26" i="1"/>
  <c r="EH26" i="1"/>
  <c r="EM26" i="1"/>
  <c r="EN26" i="1"/>
  <c r="EO26" i="1"/>
  <c r="EP26" i="1"/>
  <c r="EU26" i="1"/>
  <c r="EV26" i="1"/>
  <c r="EW26" i="1"/>
  <c r="EX26" i="1"/>
  <c r="FC26" i="1"/>
  <c r="FD26" i="1"/>
  <c r="FE26" i="1"/>
  <c r="FF26" i="1"/>
  <c r="FK26" i="1"/>
  <c r="FL26" i="1"/>
  <c r="FM26" i="1"/>
  <c r="FN26" i="1"/>
  <c r="FS26" i="1"/>
  <c r="FT26" i="1"/>
  <c r="FU26" i="1"/>
  <c r="FV26" i="1"/>
  <c r="GA26" i="1"/>
  <c r="GB26" i="1"/>
  <c r="GC26" i="1"/>
  <c r="GD26" i="1"/>
  <c r="GI26" i="1"/>
  <c r="GJ26" i="1"/>
  <c r="GK26" i="1"/>
  <c r="GL26" i="1"/>
  <c r="GQ26" i="1"/>
  <c r="GR26" i="1"/>
  <c r="GS26" i="1"/>
  <c r="GT26" i="1"/>
  <c r="GH26" i="1" l="1"/>
  <c r="GP26" i="1"/>
  <c r="FZ26" i="1"/>
  <c r="FR26" i="1"/>
  <c r="FJ26" i="1"/>
  <c r="FB26" i="1"/>
  <c r="ET26" i="1"/>
  <c r="EL26" i="1"/>
  <c r="ED26" i="1"/>
  <c r="DV26" i="1"/>
  <c r="DN26" i="1"/>
  <c r="DF26" i="1"/>
  <c r="CX26" i="1"/>
  <c r="CP26" i="1"/>
  <c r="CH26" i="1"/>
  <c r="BZ26" i="1"/>
  <c r="BR26" i="1"/>
  <c r="GO26" i="1"/>
  <c r="GG26" i="1"/>
  <c r="FY26" i="1"/>
  <c r="FQ26" i="1"/>
  <c r="FI26" i="1"/>
  <c r="FA26" i="1"/>
  <c r="ES26" i="1"/>
  <c r="EK26" i="1"/>
  <c r="EC26" i="1"/>
  <c r="DU26" i="1"/>
  <c r="DM26" i="1"/>
  <c r="DE26" i="1"/>
  <c r="CW26" i="1"/>
  <c r="CO26" i="1"/>
  <c r="CG26" i="1"/>
  <c r="BY26" i="1"/>
  <c r="BQ26" i="1"/>
  <c r="GN26" i="1"/>
  <c r="GF26" i="1"/>
  <c r="FX26" i="1"/>
  <c r="FP26" i="1"/>
  <c r="FH26" i="1"/>
  <c r="EZ26" i="1"/>
  <c r="ER26" i="1"/>
  <c r="EJ26" i="1"/>
  <c r="EB26" i="1"/>
  <c r="DT26" i="1"/>
  <c r="DL26" i="1"/>
  <c r="DD26" i="1"/>
  <c r="CV26" i="1"/>
  <c r="CN26" i="1"/>
  <c r="CF26" i="1"/>
  <c r="BX26" i="1"/>
  <c r="BP26" i="1"/>
  <c r="GM26" i="1"/>
  <c r="GE26" i="1"/>
  <c r="FW26" i="1"/>
  <c r="FO26" i="1"/>
  <c r="FG26" i="1"/>
  <c r="EY26" i="1"/>
  <c r="EQ26" i="1"/>
  <c r="EI26" i="1"/>
  <c r="EA26" i="1"/>
  <c r="DS26" i="1"/>
  <c r="DK26" i="1"/>
  <c r="DC26" i="1"/>
  <c r="CU26" i="1"/>
  <c r="CM26" i="1"/>
  <c r="CE26" i="1"/>
  <c r="BW26" i="1"/>
  <c r="BO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I26" i="1"/>
  <c r="H26" i="1"/>
  <c r="G26" i="1"/>
  <c r="F26" i="1"/>
  <c r="E26" i="1"/>
  <c r="C26" i="1"/>
  <c r="B30" i="1" l="1"/>
  <c r="B74" i="1" s="1"/>
  <c r="A95" i="1" l="1"/>
  <c r="BG41" i="1" l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E41" i="1"/>
  <c r="FF41" i="1"/>
  <c r="FG41" i="1"/>
  <c r="FH41" i="1"/>
  <c r="FI41" i="1"/>
  <c r="FJ41" i="1"/>
  <c r="FK41" i="1"/>
  <c r="FL41" i="1"/>
  <c r="FM41" i="1"/>
  <c r="FN41" i="1"/>
  <c r="FO41" i="1"/>
  <c r="FP41" i="1"/>
  <c r="FQ41" i="1"/>
  <c r="FR41" i="1"/>
  <c r="FS41" i="1"/>
  <c r="FT41" i="1"/>
  <c r="FU41" i="1"/>
  <c r="FV41" i="1"/>
  <c r="FW41" i="1"/>
  <c r="FX41" i="1"/>
  <c r="FY41" i="1"/>
  <c r="FZ41" i="1"/>
  <c r="GA41" i="1"/>
  <c r="GB41" i="1"/>
  <c r="GC41" i="1"/>
  <c r="GD41" i="1"/>
  <c r="GE41" i="1"/>
  <c r="GF41" i="1"/>
  <c r="GG41" i="1"/>
  <c r="GH41" i="1"/>
  <c r="GI41" i="1"/>
  <c r="GJ41" i="1"/>
  <c r="GK41" i="1"/>
  <c r="GL41" i="1"/>
  <c r="GM41" i="1"/>
  <c r="GN41" i="1"/>
  <c r="GO41" i="1"/>
  <c r="GP41" i="1"/>
  <c r="GQ41" i="1"/>
  <c r="GR41" i="1"/>
  <c r="GS41" i="1"/>
  <c r="GT41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E45" i="1"/>
  <c r="FF45" i="1"/>
  <c r="FG45" i="1"/>
  <c r="FH45" i="1"/>
  <c r="FI45" i="1"/>
  <c r="FJ45" i="1"/>
  <c r="FK45" i="1"/>
  <c r="FL45" i="1"/>
  <c r="FM45" i="1"/>
  <c r="FN45" i="1"/>
  <c r="FO45" i="1"/>
  <c r="FP45" i="1"/>
  <c r="FQ45" i="1"/>
  <c r="FR45" i="1"/>
  <c r="FS45" i="1"/>
  <c r="FT45" i="1"/>
  <c r="FU45" i="1"/>
  <c r="FV45" i="1"/>
  <c r="FW45" i="1"/>
  <c r="FX45" i="1"/>
  <c r="FY45" i="1"/>
  <c r="FZ45" i="1"/>
  <c r="GA45" i="1"/>
  <c r="GB45" i="1"/>
  <c r="GC45" i="1"/>
  <c r="GD45" i="1"/>
  <c r="GE45" i="1"/>
  <c r="GF45" i="1"/>
  <c r="GG45" i="1"/>
  <c r="GH45" i="1"/>
  <c r="GI45" i="1"/>
  <c r="GJ45" i="1"/>
  <c r="GK45" i="1"/>
  <c r="GL45" i="1"/>
  <c r="GM45" i="1"/>
  <c r="GN45" i="1"/>
  <c r="GO45" i="1"/>
  <c r="GP45" i="1"/>
  <c r="GQ45" i="1"/>
  <c r="GR45" i="1"/>
  <c r="GS45" i="1"/>
  <c r="GT45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EK69" i="1"/>
  <c r="EL69" i="1"/>
  <c r="EM69" i="1"/>
  <c r="EN69" i="1"/>
  <c r="EO69" i="1"/>
  <c r="EP69" i="1"/>
  <c r="EQ69" i="1"/>
  <c r="ER69" i="1"/>
  <c r="ES69" i="1"/>
  <c r="ET69" i="1"/>
  <c r="EU69" i="1"/>
  <c r="EV69" i="1"/>
  <c r="EW69" i="1"/>
  <c r="EX69" i="1"/>
  <c r="EY69" i="1"/>
  <c r="EZ69" i="1"/>
  <c r="FA69" i="1"/>
  <c r="FB69" i="1"/>
  <c r="FC69" i="1"/>
  <c r="FD69" i="1"/>
  <c r="FE69" i="1"/>
  <c r="FF69" i="1"/>
  <c r="FG69" i="1"/>
  <c r="FH69" i="1"/>
  <c r="FI69" i="1"/>
  <c r="FJ69" i="1"/>
  <c r="FK69" i="1"/>
  <c r="FL69" i="1"/>
  <c r="FM69" i="1"/>
  <c r="FN69" i="1"/>
  <c r="FO69" i="1"/>
  <c r="FP69" i="1"/>
  <c r="FQ69" i="1"/>
  <c r="FR69" i="1"/>
  <c r="FS69" i="1"/>
  <c r="FT69" i="1"/>
  <c r="FU69" i="1"/>
  <c r="FV69" i="1"/>
  <c r="FW69" i="1"/>
  <c r="FX69" i="1"/>
  <c r="FY69" i="1"/>
  <c r="FZ69" i="1"/>
  <c r="GA69" i="1"/>
  <c r="GB69" i="1"/>
  <c r="GC69" i="1"/>
  <c r="GD69" i="1"/>
  <c r="GE69" i="1"/>
  <c r="GF69" i="1"/>
  <c r="GG69" i="1"/>
  <c r="GH69" i="1"/>
  <c r="GI69" i="1"/>
  <c r="GJ69" i="1"/>
  <c r="GK69" i="1"/>
  <c r="GL69" i="1"/>
  <c r="GM69" i="1"/>
  <c r="GN69" i="1"/>
  <c r="GO69" i="1"/>
  <c r="GP69" i="1"/>
  <c r="GQ69" i="1"/>
  <c r="GR69" i="1"/>
  <c r="GS69" i="1"/>
  <c r="GT69" i="1"/>
  <c r="GU69" i="1" s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EK85" i="1"/>
  <c r="EL85" i="1"/>
  <c r="EM85" i="1"/>
  <c r="EN85" i="1"/>
  <c r="EO85" i="1"/>
  <c r="EP85" i="1"/>
  <c r="EQ85" i="1"/>
  <c r="ER85" i="1"/>
  <c r="ES85" i="1"/>
  <c r="ET85" i="1"/>
  <c r="EU85" i="1"/>
  <c r="EV85" i="1"/>
  <c r="EW85" i="1"/>
  <c r="EX85" i="1"/>
  <c r="EY85" i="1"/>
  <c r="EZ85" i="1"/>
  <c r="FA85" i="1"/>
  <c r="FB85" i="1"/>
  <c r="FC85" i="1"/>
  <c r="FD85" i="1"/>
  <c r="FE85" i="1"/>
  <c r="FF85" i="1"/>
  <c r="FG85" i="1"/>
  <c r="FH85" i="1"/>
  <c r="FI85" i="1"/>
  <c r="FJ85" i="1"/>
  <c r="FK85" i="1"/>
  <c r="FL85" i="1"/>
  <c r="FM85" i="1"/>
  <c r="FN85" i="1"/>
  <c r="FO85" i="1"/>
  <c r="FP85" i="1"/>
  <c r="FQ85" i="1"/>
  <c r="FR85" i="1"/>
  <c r="FS85" i="1"/>
  <c r="FT85" i="1"/>
  <c r="FU85" i="1"/>
  <c r="FV85" i="1"/>
  <c r="FW85" i="1"/>
  <c r="FX85" i="1"/>
  <c r="FY85" i="1"/>
  <c r="FZ85" i="1"/>
  <c r="GA85" i="1"/>
  <c r="GB85" i="1"/>
  <c r="GC85" i="1"/>
  <c r="GD85" i="1"/>
  <c r="GE85" i="1"/>
  <c r="GF85" i="1"/>
  <c r="GG85" i="1"/>
  <c r="GH85" i="1"/>
  <c r="GI85" i="1"/>
  <c r="GJ85" i="1"/>
  <c r="GK85" i="1"/>
  <c r="GL85" i="1"/>
  <c r="GM85" i="1"/>
  <c r="GN85" i="1"/>
  <c r="GO85" i="1"/>
  <c r="GP85" i="1"/>
  <c r="GQ85" i="1"/>
  <c r="GR85" i="1"/>
  <c r="GS85" i="1"/>
  <c r="GT85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EK93" i="1"/>
  <c r="EL93" i="1"/>
  <c r="EM93" i="1"/>
  <c r="EN93" i="1"/>
  <c r="EO93" i="1"/>
  <c r="EP93" i="1"/>
  <c r="EQ93" i="1"/>
  <c r="ER93" i="1"/>
  <c r="ES93" i="1"/>
  <c r="ET93" i="1"/>
  <c r="EU93" i="1"/>
  <c r="EV93" i="1"/>
  <c r="EW93" i="1"/>
  <c r="EX93" i="1"/>
  <c r="EY93" i="1"/>
  <c r="EZ93" i="1"/>
  <c r="FA93" i="1"/>
  <c r="FB93" i="1"/>
  <c r="FC93" i="1"/>
  <c r="FD93" i="1"/>
  <c r="FE93" i="1"/>
  <c r="FF93" i="1"/>
  <c r="FG93" i="1"/>
  <c r="FH93" i="1"/>
  <c r="FI93" i="1"/>
  <c r="FJ93" i="1"/>
  <c r="FK93" i="1"/>
  <c r="FL93" i="1"/>
  <c r="FM93" i="1"/>
  <c r="FN93" i="1"/>
  <c r="FO93" i="1"/>
  <c r="FP93" i="1"/>
  <c r="FQ93" i="1"/>
  <c r="FR93" i="1"/>
  <c r="FS93" i="1"/>
  <c r="FT93" i="1"/>
  <c r="FU93" i="1"/>
  <c r="FV93" i="1"/>
  <c r="FW93" i="1"/>
  <c r="FX93" i="1"/>
  <c r="FY93" i="1"/>
  <c r="FZ93" i="1"/>
  <c r="GA93" i="1"/>
  <c r="GB93" i="1"/>
  <c r="GC93" i="1"/>
  <c r="GD93" i="1"/>
  <c r="GE93" i="1"/>
  <c r="GF93" i="1"/>
  <c r="GG93" i="1"/>
  <c r="GH93" i="1"/>
  <c r="GI93" i="1"/>
  <c r="GJ93" i="1"/>
  <c r="GK93" i="1"/>
  <c r="GL93" i="1"/>
  <c r="GM93" i="1"/>
  <c r="GN93" i="1"/>
  <c r="GO93" i="1"/>
  <c r="GP93" i="1"/>
  <c r="GQ93" i="1"/>
  <c r="GR93" i="1"/>
  <c r="GS93" i="1"/>
  <c r="GT93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M101" i="1"/>
  <c r="EN101" i="1"/>
  <c r="EO101" i="1"/>
  <c r="EP101" i="1"/>
  <c r="EQ101" i="1"/>
  <c r="ER101" i="1"/>
  <c r="ES101" i="1"/>
  <c r="ET101" i="1"/>
  <c r="EU101" i="1"/>
  <c r="EV101" i="1"/>
  <c r="EW101" i="1"/>
  <c r="EX101" i="1"/>
  <c r="EY101" i="1"/>
  <c r="EZ101" i="1"/>
  <c r="FA101" i="1"/>
  <c r="FB101" i="1"/>
  <c r="FC101" i="1"/>
  <c r="FD101" i="1"/>
  <c r="FE101" i="1"/>
  <c r="FF101" i="1"/>
  <c r="FG101" i="1"/>
  <c r="FH101" i="1"/>
  <c r="FI101" i="1"/>
  <c r="FJ101" i="1"/>
  <c r="FK101" i="1"/>
  <c r="FL101" i="1"/>
  <c r="FM101" i="1"/>
  <c r="FN101" i="1"/>
  <c r="FO101" i="1"/>
  <c r="FP101" i="1"/>
  <c r="FQ101" i="1"/>
  <c r="FR101" i="1"/>
  <c r="FS101" i="1"/>
  <c r="FT101" i="1"/>
  <c r="FU101" i="1"/>
  <c r="FV101" i="1"/>
  <c r="FW101" i="1"/>
  <c r="FX101" i="1"/>
  <c r="FY101" i="1"/>
  <c r="FZ101" i="1"/>
  <c r="GA101" i="1"/>
  <c r="GB101" i="1"/>
  <c r="GC101" i="1"/>
  <c r="GD101" i="1"/>
  <c r="GE101" i="1"/>
  <c r="GF101" i="1"/>
  <c r="GG101" i="1"/>
  <c r="GH101" i="1"/>
  <c r="GI101" i="1"/>
  <c r="GJ101" i="1"/>
  <c r="GK101" i="1"/>
  <c r="GL101" i="1"/>
  <c r="GM101" i="1"/>
  <c r="GN101" i="1"/>
  <c r="GO101" i="1"/>
  <c r="GP101" i="1"/>
  <c r="GQ101" i="1"/>
  <c r="GR101" i="1"/>
  <c r="GS101" i="1"/>
  <c r="GT101" i="1"/>
  <c r="BB41" i="1"/>
  <c r="BC41" i="1"/>
  <c r="BD41" i="1"/>
  <c r="BE41" i="1"/>
  <c r="BF41" i="1"/>
  <c r="BB45" i="1"/>
  <c r="BC45" i="1"/>
  <c r="BD45" i="1"/>
  <c r="BE45" i="1"/>
  <c r="BF45" i="1"/>
  <c r="BB69" i="1"/>
  <c r="BC69" i="1"/>
  <c r="BD69" i="1"/>
  <c r="BE69" i="1"/>
  <c r="BF69" i="1"/>
  <c r="BB85" i="1"/>
  <c r="BC85" i="1"/>
  <c r="BD85" i="1"/>
  <c r="BE85" i="1"/>
  <c r="BF85" i="1"/>
  <c r="BB93" i="1"/>
  <c r="BC93" i="1"/>
  <c r="BD93" i="1"/>
  <c r="BE93" i="1"/>
  <c r="BF93" i="1"/>
  <c r="BB101" i="1"/>
  <c r="BC101" i="1"/>
  <c r="BD101" i="1"/>
  <c r="BE101" i="1"/>
  <c r="BF101" i="1"/>
  <c r="BA45" i="1"/>
  <c r="BA69" i="1"/>
  <c r="BA85" i="1"/>
  <c r="BA93" i="1"/>
  <c r="BA101" i="1"/>
  <c r="BA41" i="1"/>
  <c r="AX45" i="1"/>
  <c r="AY45" i="1"/>
  <c r="AZ45" i="1"/>
  <c r="AX69" i="1"/>
  <c r="AY69" i="1"/>
  <c r="AZ69" i="1"/>
  <c r="AX85" i="1"/>
  <c r="AY85" i="1"/>
  <c r="AZ85" i="1"/>
  <c r="AX93" i="1"/>
  <c r="AY93" i="1"/>
  <c r="AZ93" i="1"/>
  <c r="AX101" i="1"/>
  <c r="AY101" i="1"/>
  <c r="AZ101" i="1"/>
  <c r="AX41" i="1"/>
  <c r="AY41" i="1"/>
  <c r="AZ41" i="1"/>
  <c r="AV45" i="1"/>
  <c r="AW45" i="1"/>
  <c r="AV69" i="1"/>
  <c r="AW69" i="1"/>
  <c r="AV85" i="1"/>
  <c r="AW85" i="1"/>
  <c r="AV93" i="1"/>
  <c r="AW93" i="1"/>
  <c r="AV101" i="1"/>
  <c r="AW101" i="1"/>
  <c r="AV41" i="1"/>
  <c r="AW41" i="1"/>
  <c r="AU45" i="1"/>
  <c r="AU69" i="1"/>
  <c r="AU85" i="1"/>
  <c r="AU93" i="1"/>
  <c r="AU10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C71" i="1" s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C85" i="1"/>
  <c r="A94" i="1"/>
  <c r="K71" i="1" l="1"/>
  <c r="K73" i="1"/>
  <c r="S71" i="1"/>
  <c r="S73" i="1"/>
  <c r="AA71" i="1"/>
  <c r="AA73" i="1"/>
  <c r="AI71" i="1"/>
  <c r="AI73" i="1"/>
  <c r="AQ71" i="1"/>
  <c r="AQ73" i="1"/>
  <c r="GR71" i="1"/>
  <c r="GR73" i="1"/>
  <c r="GJ71" i="1"/>
  <c r="GJ73" i="1"/>
  <c r="GB71" i="1"/>
  <c r="GB73" i="1"/>
  <c r="FT71" i="1"/>
  <c r="FT73" i="1"/>
  <c r="FL71" i="1"/>
  <c r="FL73" i="1"/>
  <c r="FD71" i="1"/>
  <c r="FD73" i="1"/>
  <c r="EV71" i="1"/>
  <c r="EV73" i="1"/>
  <c r="EN71" i="1"/>
  <c r="EN73" i="1"/>
  <c r="EF71" i="1"/>
  <c r="EF73" i="1"/>
  <c r="DX71" i="1"/>
  <c r="DX73" i="1"/>
  <c r="DP71" i="1"/>
  <c r="DP73" i="1"/>
  <c r="DH71" i="1"/>
  <c r="DH73" i="1"/>
  <c r="CZ71" i="1"/>
  <c r="CZ73" i="1"/>
  <c r="CR71" i="1"/>
  <c r="CR73" i="1"/>
  <c r="CJ71" i="1"/>
  <c r="CJ73" i="1"/>
  <c r="CB71" i="1"/>
  <c r="CB73" i="1"/>
  <c r="BT71" i="1"/>
  <c r="BT73" i="1"/>
  <c r="BL71" i="1"/>
  <c r="BL73" i="1"/>
  <c r="D71" i="1"/>
  <c r="D73" i="1"/>
  <c r="L71" i="1"/>
  <c r="L73" i="1"/>
  <c r="T71" i="1"/>
  <c r="T73" i="1"/>
  <c r="AB71" i="1"/>
  <c r="AB73" i="1"/>
  <c r="AJ71" i="1"/>
  <c r="AJ73" i="1"/>
  <c r="AR71" i="1"/>
  <c r="AR73" i="1"/>
  <c r="AU71" i="1"/>
  <c r="AU73" i="1"/>
  <c r="GQ71" i="1"/>
  <c r="GQ73" i="1"/>
  <c r="GI71" i="1"/>
  <c r="GI73" i="1"/>
  <c r="GA71" i="1"/>
  <c r="GA73" i="1"/>
  <c r="FS71" i="1"/>
  <c r="FS73" i="1"/>
  <c r="FK71" i="1"/>
  <c r="FK73" i="1"/>
  <c r="FC71" i="1"/>
  <c r="FC73" i="1"/>
  <c r="EU71" i="1"/>
  <c r="EU73" i="1"/>
  <c r="EM71" i="1"/>
  <c r="EM73" i="1"/>
  <c r="EE71" i="1"/>
  <c r="EE73" i="1"/>
  <c r="DW71" i="1"/>
  <c r="DW73" i="1"/>
  <c r="DO71" i="1"/>
  <c r="DO73" i="1"/>
  <c r="DG71" i="1"/>
  <c r="DG73" i="1"/>
  <c r="CY71" i="1"/>
  <c r="CY73" i="1"/>
  <c r="CQ71" i="1"/>
  <c r="CQ73" i="1"/>
  <c r="CI71" i="1"/>
  <c r="CI73" i="1"/>
  <c r="CA71" i="1"/>
  <c r="CA73" i="1"/>
  <c r="BS71" i="1"/>
  <c r="BS73" i="1"/>
  <c r="BK71" i="1"/>
  <c r="BK73" i="1"/>
  <c r="Y71" i="1"/>
  <c r="Y73" i="1"/>
  <c r="AY71" i="1"/>
  <c r="AY73" i="1"/>
  <c r="BB71" i="1"/>
  <c r="BB73" i="1"/>
  <c r="GD71" i="1"/>
  <c r="GD73" i="1"/>
  <c r="FF71" i="1"/>
  <c r="FF73" i="1"/>
  <c r="DZ71" i="1"/>
  <c r="DZ73" i="1"/>
  <c r="DB71" i="1"/>
  <c r="DB73" i="1"/>
  <c r="CD71" i="1"/>
  <c r="CD73" i="1"/>
  <c r="J71" i="1"/>
  <c r="J73" i="1"/>
  <c r="AP71" i="1"/>
  <c r="AP73" i="1"/>
  <c r="AX71" i="1"/>
  <c r="AX73" i="1"/>
  <c r="FU71" i="1"/>
  <c r="FU73" i="1"/>
  <c r="EO71" i="1"/>
  <c r="EO73" i="1"/>
  <c r="DI71" i="1"/>
  <c r="DI73" i="1"/>
  <c r="CK71" i="1"/>
  <c r="CK73" i="1"/>
  <c r="BM71" i="1"/>
  <c r="BM73" i="1"/>
  <c r="M71" i="1"/>
  <c r="M73" i="1"/>
  <c r="AK71" i="1"/>
  <c r="AK73" i="1"/>
  <c r="BF71" i="1"/>
  <c r="BF73" i="1"/>
  <c r="GH71" i="1"/>
  <c r="GH73" i="1"/>
  <c r="FJ71" i="1"/>
  <c r="FJ73" i="1"/>
  <c r="EL71" i="1"/>
  <c r="EL73" i="1"/>
  <c r="DV71" i="1"/>
  <c r="DV73" i="1"/>
  <c r="CX71" i="1"/>
  <c r="CX73" i="1"/>
  <c r="BZ71" i="1"/>
  <c r="BZ73" i="1"/>
  <c r="F71" i="1"/>
  <c r="F73" i="1"/>
  <c r="AT71" i="1"/>
  <c r="AT73" i="1"/>
  <c r="BE71" i="1"/>
  <c r="BE73" i="1"/>
  <c r="GO71" i="1"/>
  <c r="GO73" i="1"/>
  <c r="GG71" i="1"/>
  <c r="GG73" i="1"/>
  <c r="FY71" i="1"/>
  <c r="FY73" i="1"/>
  <c r="FQ71" i="1"/>
  <c r="FQ73" i="1"/>
  <c r="FI71" i="1"/>
  <c r="FI73" i="1"/>
  <c r="FA71" i="1"/>
  <c r="FA73" i="1"/>
  <c r="ES71" i="1"/>
  <c r="ES73" i="1"/>
  <c r="EK71" i="1"/>
  <c r="EK73" i="1"/>
  <c r="EC71" i="1"/>
  <c r="EC73" i="1"/>
  <c r="DU71" i="1"/>
  <c r="DU73" i="1"/>
  <c r="DM71" i="1"/>
  <c r="DM73" i="1"/>
  <c r="DE71" i="1"/>
  <c r="DE73" i="1"/>
  <c r="CW71" i="1"/>
  <c r="CW73" i="1"/>
  <c r="CO71" i="1"/>
  <c r="CO73" i="1"/>
  <c r="CG71" i="1"/>
  <c r="CG73" i="1"/>
  <c r="BY71" i="1"/>
  <c r="BY73" i="1"/>
  <c r="BQ71" i="1"/>
  <c r="BQ73" i="1"/>
  <c r="BI71" i="1"/>
  <c r="BI73" i="1"/>
  <c r="Q71" i="1"/>
  <c r="Q73" i="1"/>
  <c r="AO71" i="1"/>
  <c r="AO73" i="1"/>
  <c r="GL71" i="1"/>
  <c r="GL73" i="1"/>
  <c r="FN71" i="1"/>
  <c r="FN73" i="1"/>
  <c r="EX71" i="1"/>
  <c r="EX73" i="1"/>
  <c r="EH71" i="1"/>
  <c r="EH73" i="1"/>
  <c r="DJ71" i="1"/>
  <c r="DJ73" i="1"/>
  <c r="CL71" i="1"/>
  <c r="CL73" i="1"/>
  <c r="BN71" i="1"/>
  <c r="BN73" i="1"/>
  <c r="R71" i="1"/>
  <c r="R73" i="1"/>
  <c r="Z71" i="1"/>
  <c r="Z73" i="1"/>
  <c r="GK71" i="1"/>
  <c r="GK73" i="1"/>
  <c r="FM71" i="1"/>
  <c r="FM73" i="1"/>
  <c r="FE71" i="1"/>
  <c r="FE73" i="1"/>
  <c r="EG71" i="1"/>
  <c r="EG73" i="1"/>
  <c r="DQ71" i="1"/>
  <c r="DQ73" i="1"/>
  <c r="CS71" i="1"/>
  <c r="CS73" i="1"/>
  <c r="BU71" i="1"/>
  <c r="BU73" i="1"/>
  <c r="U71" i="1"/>
  <c r="U73" i="1"/>
  <c r="AS71" i="1"/>
  <c r="AS73" i="1"/>
  <c r="GP71" i="1"/>
  <c r="GP73" i="1"/>
  <c r="FR71" i="1"/>
  <c r="FR73" i="1"/>
  <c r="ET71" i="1"/>
  <c r="ET73" i="1"/>
  <c r="DN71" i="1"/>
  <c r="DN73" i="1"/>
  <c r="BR71" i="1"/>
  <c r="BR73" i="1"/>
  <c r="N71" i="1"/>
  <c r="N73" i="1"/>
  <c r="AD71" i="1"/>
  <c r="AD73" i="1"/>
  <c r="G71" i="1"/>
  <c r="G73" i="1"/>
  <c r="O71" i="1"/>
  <c r="O73" i="1"/>
  <c r="W71" i="1"/>
  <c r="W73" i="1"/>
  <c r="AE71" i="1"/>
  <c r="AE73" i="1"/>
  <c r="AM71" i="1"/>
  <c r="AM73" i="1"/>
  <c r="AW71" i="1"/>
  <c r="AW73" i="1"/>
  <c r="BD71" i="1"/>
  <c r="BD73" i="1"/>
  <c r="GN71" i="1"/>
  <c r="GN73" i="1"/>
  <c r="GF71" i="1"/>
  <c r="GF73" i="1"/>
  <c r="FX71" i="1"/>
  <c r="FX73" i="1"/>
  <c r="FP71" i="1"/>
  <c r="FP73" i="1"/>
  <c r="FH71" i="1"/>
  <c r="FH73" i="1"/>
  <c r="EZ71" i="1"/>
  <c r="EZ73" i="1"/>
  <c r="ER71" i="1"/>
  <c r="ER73" i="1"/>
  <c r="EJ71" i="1"/>
  <c r="EJ73" i="1"/>
  <c r="EB71" i="1"/>
  <c r="EB73" i="1"/>
  <c r="DT71" i="1"/>
  <c r="DT73" i="1"/>
  <c r="DL71" i="1"/>
  <c r="DL73" i="1"/>
  <c r="DD71" i="1"/>
  <c r="DD73" i="1"/>
  <c r="CV71" i="1"/>
  <c r="CV73" i="1"/>
  <c r="CN71" i="1"/>
  <c r="CN73" i="1"/>
  <c r="CF71" i="1"/>
  <c r="CF73" i="1"/>
  <c r="BX71" i="1"/>
  <c r="BX73" i="1"/>
  <c r="BP71" i="1"/>
  <c r="BP73" i="1"/>
  <c r="BH71" i="1"/>
  <c r="BH73" i="1"/>
  <c r="I71" i="1"/>
  <c r="I73" i="1"/>
  <c r="AG71" i="1"/>
  <c r="AG73" i="1"/>
  <c r="GT71" i="1"/>
  <c r="GT73" i="1"/>
  <c r="FV71" i="1"/>
  <c r="FV73" i="1"/>
  <c r="EP71" i="1"/>
  <c r="EP73" i="1"/>
  <c r="DR71" i="1"/>
  <c r="DR73" i="1"/>
  <c r="CT71" i="1"/>
  <c r="CT73" i="1"/>
  <c r="BV71" i="1"/>
  <c r="BV73" i="1"/>
  <c r="AH71" i="1"/>
  <c r="AH73" i="1"/>
  <c r="GS71" i="1"/>
  <c r="GS73" i="1"/>
  <c r="GC71" i="1"/>
  <c r="GC73" i="1"/>
  <c r="EW71" i="1"/>
  <c r="EW73" i="1"/>
  <c r="DY71" i="1"/>
  <c r="DY73" i="1"/>
  <c r="DA71" i="1"/>
  <c r="DA73" i="1"/>
  <c r="CC71" i="1"/>
  <c r="CC73" i="1"/>
  <c r="E71" i="1"/>
  <c r="E73" i="1"/>
  <c r="AC71" i="1"/>
  <c r="AC73" i="1"/>
  <c r="FZ71" i="1"/>
  <c r="FZ73" i="1"/>
  <c r="FB71" i="1"/>
  <c r="FB73" i="1"/>
  <c r="ED71" i="1"/>
  <c r="ED73" i="1"/>
  <c r="DF71" i="1"/>
  <c r="DF73" i="1"/>
  <c r="CP71" i="1"/>
  <c r="CP73" i="1"/>
  <c r="CH71" i="1"/>
  <c r="CH73" i="1"/>
  <c r="BJ71" i="1"/>
  <c r="BJ73" i="1"/>
  <c r="V71" i="1"/>
  <c r="V73" i="1"/>
  <c r="AL71" i="1"/>
  <c r="AL73" i="1"/>
  <c r="H71" i="1"/>
  <c r="H73" i="1"/>
  <c r="P71" i="1"/>
  <c r="P73" i="1"/>
  <c r="X71" i="1"/>
  <c r="X73" i="1"/>
  <c r="AF71" i="1"/>
  <c r="AF73" i="1"/>
  <c r="AN71" i="1"/>
  <c r="AN73" i="1"/>
  <c r="AV71" i="1"/>
  <c r="AV73" i="1"/>
  <c r="AZ71" i="1"/>
  <c r="AZ73" i="1"/>
  <c r="BA71" i="1"/>
  <c r="BA73" i="1"/>
  <c r="BC71" i="1"/>
  <c r="BC73" i="1"/>
  <c r="GM71" i="1"/>
  <c r="GM73" i="1"/>
  <c r="GE71" i="1"/>
  <c r="GE73" i="1"/>
  <c r="FW71" i="1"/>
  <c r="FW73" i="1"/>
  <c r="FO71" i="1"/>
  <c r="FO73" i="1"/>
  <c r="FG71" i="1"/>
  <c r="FG73" i="1"/>
  <c r="EY71" i="1"/>
  <c r="EY73" i="1"/>
  <c r="EQ71" i="1"/>
  <c r="EQ73" i="1"/>
  <c r="EI71" i="1"/>
  <c r="EI73" i="1"/>
  <c r="EA71" i="1"/>
  <c r="EA73" i="1"/>
  <c r="DS71" i="1"/>
  <c r="DS73" i="1"/>
  <c r="DK71" i="1"/>
  <c r="DK73" i="1"/>
  <c r="DC71" i="1"/>
  <c r="DC73" i="1"/>
  <c r="CU71" i="1"/>
  <c r="CU73" i="1"/>
  <c r="CM71" i="1"/>
  <c r="CM73" i="1"/>
  <c r="CE71" i="1"/>
  <c r="CE73" i="1"/>
  <c r="BW71" i="1"/>
  <c r="BW73" i="1"/>
  <c r="BO71" i="1"/>
  <c r="BO73" i="1"/>
  <c r="BG71" i="1"/>
  <c r="BG73" i="1"/>
  <c r="C73" i="1"/>
  <c r="C70" i="1"/>
  <c r="C48" i="1"/>
  <c r="C50" i="1"/>
  <c r="C52" i="1"/>
  <c r="C54" i="1"/>
  <c r="C56" i="1"/>
  <c r="C58" i="1"/>
  <c r="C60" i="1"/>
  <c r="C62" i="1"/>
  <c r="C64" i="1"/>
  <c r="C46" i="1"/>
  <c r="C72" i="1"/>
  <c r="C47" i="1"/>
  <c r="C49" i="1"/>
  <c r="C51" i="1"/>
  <c r="C53" i="1"/>
  <c r="C55" i="1"/>
  <c r="C57" i="1"/>
  <c r="C59" i="1"/>
  <c r="C61" i="1"/>
  <c r="C63" i="1"/>
  <c r="C65" i="1"/>
  <c r="E70" i="1"/>
  <c r="E72" i="1"/>
  <c r="E48" i="1"/>
  <c r="E49" i="1"/>
  <c r="E50" i="1"/>
  <c r="E46" i="1"/>
  <c r="E47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I70" i="1"/>
  <c r="I72" i="1"/>
  <c r="I48" i="1"/>
  <c r="I49" i="1"/>
  <c r="I50" i="1"/>
  <c r="I46" i="1"/>
  <c r="I47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M70" i="1"/>
  <c r="M72" i="1"/>
  <c r="M48" i="1"/>
  <c r="M49" i="1"/>
  <c r="M50" i="1"/>
  <c r="M46" i="1"/>
  <c r="M47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Q70" i="1"/>
  <c r="Q72" i="1"/>
  <c r="Q48" i="1"/>
  <c r="Q49" i="1"/>
  <c r="Q50" i="1"/>
  <c r="Q46" i="1"/>
  <c r="Q47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U70" i="1"/>
  <c r="U72" i="1"/>
  <c r="U48" i="1"/>
  <c r="U49" i="1"/>
  <c r="U50" i="1"/>
  <c r="U46" i="1"/>
  <c r="U47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Y70" i="1"/>
  <c r="Y72" i="1"/>
  <c r="Y48" i="1"/>
  <c r="Y49" i="1"/>
  <c r="Y46" i="1"/>
  <c r="Y47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AC70" i="1"/>
  <c r="AC72" i="1"/>
  <c r="AC48" i="1"/>
  <c r="AC49" i="1"/>
  <c r="AC46" i="1"/>
  <c r="AC47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G47" i="1"/>
  <c r="AG70" i="1"/>
  <c r="AG72" i="1"/>
  <c r="AG48" i="1"/>
  <c r="AG49" i="1"/>
  <c r="AG46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K70" i="1"/>
  <c r="AK72" i="1"/>
  <c r="AK47" i="1"/>
  <c r="AK48" i="1"/>
  <c r="AK49" i="1"/>
  <c r="AK46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M70" i="1"/>
  <c r="AM72" i="1"/>
  <c r="AM47" i="1"/>
  <c r="AM48" i="1"/>
  <c r="AM49" i="1"/>
  <c r="AM46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S70" i="1"/>
  <c r="AS72" i="1"/>
  <c r="AS47" i="1"/>
  <c r="AS48" i="1"/>
  <c r="AS49" i="1"/>
  <c r="AS46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Y70" i="1"/>
  <c r="AY72" i="1"/>
  <c r="AY47" i="1"/>
  <c r="AY48" i="1"/>
  <c r="AY49" i="1"/>
  <c r="AY46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BA70" i="1"/>
  <c r="BA72" i="1"/>
  <c r="BA47" i="1"/>
  <c r="BA48" i="1"/>
  <c r="BA49" i="1"/>
  <c r="BA46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C70" i="1"/>
  <c r="BC72" i="1"/>
  <c r="BC47" i="1"/>
  <c r="BC48" i="1"/>
  <c r="BC49" i="1"/>
  <c r="BC46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D70" i="1"/>
  <c r="D72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F70" i="1"/>
  <c r="F72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H70" i="1"/>
  <c r="H72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J70" i="1"/>
  <c r="J72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L70" i="1"/>
  <c r="L72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N70" i="1"/>
  <c r="N72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P70" i="1"/>
  <c r="P72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R70" i="1"/>
  <c r="R72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T70" i="1"/>
  <c r="T72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V70" i="1"/>
  <c r="V72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X70" i="1"/>
  <c r="X72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Z70" i="1"/>
  <c r="Z72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AB70" i="1"/>
  <c r="AB72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D70" i="1"/>
  <c r="AD72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F70" i="1"/>
  <c r="AF72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H70" i="1"/>
  <c r="AH72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J70" i="1"/>
  <c r="AJ72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L70" i="1"/>
  <c r="AL72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N70" i="1"/>
  <c r="AN72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P70" i="1"/>
  <c r="AP72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R70" i="1"/>
  <c r="AR72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T70" i="1"/>
  <c r="AT72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U70" i="1"/>
  <c r="AU72" i="1"/>
  <c r="AU47" i="1"/>
  <c r="AU48" i="1"/>
  <c r="AU49" i="1"/>
  <c r="AU46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V70" i="1"/>
  <c r="AV72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Z70" i="1"/>
  <c r="AZ72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X70" i="1"/>
  <c r="AX72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BF70" i="1"/>
  <c r="BF72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D70" i="1"/>
  <c r="BD72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B70" i="1"/>
  <c r="BB72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GT70" i="1"/>
  <c r="GT72" i="1"/>
  <c r="GT46" i="1"/>
  <c r="GT47" i="1"/>
  <c r="GT48" i="1"/>
  <c r="GT49" i="1"/>
  <c r="GT50" i="1"/>
  <c r="GT51" i="1"/>
  <c r="GT52" i="1"/>
  <c r="GT53" i="1"/>
  <c r="GT54" i="1"/>
  <c r="GT55" i="1"/>
  <c r="GT56" i="1"/>
  <c r="GT57" i="1"/>
  <c r="GT58" i="1"/>
  <c r="GT59" i="1"/>
  <c r="GT60" i="1"/>
  <c r="GT61" i="1"/>
  <c r="GT62" i="1"/>
  <c r="GT63" i="1"/>
  <c r="GT64" i="1"/>
  <c r="GT65" i="1"/>
  <c r="GR70" i="1"/>
  <c r="GR72" i="1"/>
  <c r="GR46" i="1"/>
  <c r="GR47" i="1"/>
  <c r="GR48" i="1"/>
  <c r="GR49" i="1"/>
  <c r="GR50" i="1"/>
  <c r="GR51" i="1"/>
  <c r="GR52" i="1"/>
  <c r="GR53" i="1"/>
  <c r="GR54" i="1"/>
  <c r="GR55" i="1"/>
  <c r="GR56" i="1"/>
  <c r="GR57" i="1"/>
  <c r="GR58" i="1"/>
  <c r="GR59" i="1"/>
  <c r="GR60" i="1"/>
  <c r="GR61" i="1"/>
  <c r="GR62" i="1"/>
  <c r="GR63" i="1"/>
  <c r="GR64" i="1"/>
  <c r="GR65" i="1"/>
  <c r="GP70" i="1"/>
  <c r="GP72" i="1"/>
  <c r="GP46" i="1"/>
  <c r="GP47" i="1"/>
  <c r="GP48" i="1"/>
  <c r="GP49" i="1"/>
  <c r="GP50" i="1"/>
  <c r="GP51" i="1"/>
  <c r="GP52" i="1"/>
  <c r="GP53" i="1"/>
  <c r="GP54" i="1"/>
  <c r="GP55" i="1"/>
  <c r="GP56" i="1"/>
  <c r="GP57" i="1"/>
  <c r="GP58" i="1"/>
  <c r="GP59" i="1"/>
  <c r="GP60" i="1"/>
  <c r="GP61" i="1"/>
  <c r="GP62" i="1"/>
  <c r="GP63" i="1"/>
  <c r="GP64" i="1"/>
  <c r="GP65" i="1"/>
  <c r="GN70" i="1"/>
  <c r="GN72" i="1"/>
  <c r="GN46" i="1"/>
  <c r="GN47" i="1"/>
  <c r="GN48" i="1"/>
  <c r="GN49" i="1"/>
  <c r="GN50" i="1"/>
  <c r="GN51" i="1"/>
  <c r="GN52" i="1"/>
  <c r="GN53" i="1"/>
  <c r="GN54" i="1"/>
  <c r="GN55" i="1"/>
  <c r="GN56" i="1"/>
  <c r="GN57" i="1"/>
  <c r="GN58" i="1"/>
  <c r="GN59" i="1"/>
  <c r="GN60" i="1"/>
  <c r="GN61" i="1"/>
  <c r="GN62" i="1"/>
  <c r="GN63" i="1"/>
  <c r="GN64" i="1"/>
  <c r="GN65" i="1"/>
  <c r="GL70" i="1"/>
  <c r="GL72" i="1"/>
  <c r="GL46" i="1"/>
  <c r="GL47" i="1"/>
  <c r="GL48" i="1"/>
  <c r="GL49" i="1"/>
  <c r="GL50" i="1"/>
  <c r="GL51" i="1"/>
  <c r="GL52" i="1"/>
  <c r="GL53" i="1"/>
  <c r="GL54" i="1"/>
  <c r="GL55" i="1"/>
  <c r="GL56" i="1"/>
  <c r="GL57" i="1"/>
  <c r="GL58" i="1"/>
  <c r="GL59" i="1"/>
  <c r="GL60" i="1"/>
  <c r="GL61" i="1"/>
  <c r="GL62" i="1"/>
  <c r="GL63" i="1"/>
  <c r="GL64" i="1"/>
  <c r="GL65" i="1"/>
  <c r="GJ70" i="1"/>
  <c r="GJ72" i="1"/>
  <c r="GJ46" i="1"/>
  <c r="GJ47" i="1"/>
  <c r="GJ48" i="1"/>
  <c r="GJ49" i="1"/>
  <c r="GJ50" i="1"/>
  <c r="GJ51" i="1"/>
  <c r="GJ52" i="1"/>
  <c r="GJ53" i="1"/>
  <c r="GJ54" i="1"/>
  <c r="GJ55" i="1"/>
  <c r="GJ56" i="1"/>
  <c r="GJ57" i="1"/>
  <c r="GJ58" i="1"/>
  <c r="GJ59" i="1"/>
  <c r="GJ60" i="1"/>
  <c r="GJ61" i="1"/>
  <c r="GJ62" i="1"/>
  <c r="GJ63" i="1"/>
  <c r="GJ64" i="1"/>
  <c r="GJ65" i="1"/>
  <c r="GH70" i="1"/>
  <c r="GH72" i="1"/>
  <c r="GH46" i="1"/>
  <c r="GH47" i="1"/>
  <c r="GH48" i="1"/>
  <c r="GH49" i="1"/>
  <c r="GH50" i="1"/>
  <c r="GH51" i="1"/>
  <c r="GH52" i="1"/>
  <c r="GH53" i="1"/>
  <c r="GH54" i="1"/>
  <c r="GH55" i="1"/>
  <c r="GH56" i="1"/>
  <c r="GH57" i="1"/>
  <c r="GH58" i="1"/>
  <c r="GH59" i="1"/>
  <c r="GH60" i="1"/>
  <c r="GH61" i="1"/>
  <c r="GH62" i="1"/>
  <c r="GH63" i="1"/>
  <c r="GH64" i="1"/>
  <c r="GH65" i="1"/>
  <c r="GF70" i="1"/>
  <c r="GF72" i="1"/>
  <c r="GF46" i="1"/>
  <c r="GF47" i="1"/>
  <c r="GF48" i="1"/>
  <c r="GF49" i="1"/>
  <c r="GF50" i="1"/>
  <c r="GF51" i="1"/>
  <c r="GF52" i="1"/>
  <c r="GF53" i="1"/>
  <c r="GF54" i="1"/>
  <c r="GF55" i="1"/>
  <c r="GF56" i="1"/>
  <c r="GF57" i="1"/>
  <c r="GF58" i="1"/>
  <c r="GF59" i="1"/>
  <c r="GF60" i="1"/>
  <c r="GF61" i="1"/>
  <c r="GF62" i="1"/>
  <c r="GF63" i="1"/>
  <c r="GF64" i="1"/>
  <c r="GF65" i="1"/>
  <c r="GD70" i="1"/>
  <c r="GD72" i="1"/>
  <c r="GD46" i="1"/>
  <c r="GD47" i="1"/>
  <c r="GD48" i="1"/>
  <c r="GD49" i="1"/>
  <c r="GD50" i="1"/>
  <c r="GD51" i="1"/>
  <c r="GD52" i="1"/>
  <c r="GD53" i="1"/>
  <c r="GD54" i="1"/>
  <c r="GD55" i="1"/>
  <c r="GD56" i="1"/>
  <c r="GD57" i="1"/>
  <c r="GD58" i="1"/>
  <c r="GD59" i="1"/>
  <c r="GD60" i="1"/>
  <c r="GD61" i="1"/>
  <c r="GD62" i="1"/>
  <c r="GD63" i="1"/>
  <c r="GD64" i="1"/>
  <c r="GD65" i="1"/>
  <c r="GB70" i="1"/>
  <c r="GB72" i="1"/>
  <c r="GB46" i="1"/>
  <c r="GB47" i="1"/>
  <c r="GB48" i="1"/>
  <c r="GB49" i="1"/>
  <c r="GB50" i="1"/>
  <c r="GB51" i="1"/>
  <c r="GB52" i="1"/>
  <c r="GB53" i="1"/>
  <c r="GB54" i="1"/>
  <c r="GB55" i="1"/>
  <c r="GB56" i="1"/>
  <c r="GB57" i="1"/>
  <c r="GB58" i="1"/>
  <c r="GB59" i="1"/>
  <c r="GB60" i="1"/>
  <c r="GB61" i="1"/>
  <c r="GB62" i="1"/>
  <c r="GB63" i="1"/>
  <c r="GB64" i="1"/>
  <c r="GB65" i="1"/>
  <c r="FZ70" i="1"/>
  <c r="FZ72" i="1"/>
  <c r="FZ46" i="1"/>
  <c r="FZ47" i="1"/>
  <c r="FZ48" i="1"/>
  <c r="FZ49" i="1"/>
  <c r="FZ50" i="1"/>
  <c r="FZ51" i="1"/>
  <c r="FZ52" i="1"/>
  <c r="FZ53" i="1"/>
  <c r="FZ54" i="1"/>
  <c r="FZ55" i="1"/>
  <c r="FZ56" i="1"/>
  <c r="FZ57" i="1"/>
  <c r="FZ58" i="1"/>
  <c r="FZ59" i="1"/>
  <c r="FZ60" i="1"/>
  <c r="FZ61" i="1"/>
  <c r="FZ62" i="1"/>
  <c r="FZ63" i="1"/>
  <c r="FZ64" i="1"/>
  <c r="FZ65" i="1"/>
  <c r="FX70" i="1"/>
  <c r="FX72" i="1"/>
  <c r="FX46" i="1"/>
  <c r="FX47" i="1"/>
  <c r="FX48" i="1"/>
  <c r="FX49" i="1"/>
  <c r="FX50" i="1"/>
  <c r="FX51" i="1"/>
  <c r="FX52" i="1"/>
  <c r="FX53" i="1"/>
  <c r="FX54" i="1"/>
  <c r="FX55" i="1"/>
  <c r="FX56" i="1"/>
  <c r="FX57" i="1"/>
  <c r="FX58" i="1"/>
  <c r="FX59" i="1"/>
  <c r="FX60" i="1"/>
  <c r="FX61" i="1"/>
  <c r="FX62" i="1"/>
  <c r="FX63" i="1"/>
  <c r="FX64" i="1"/>
  <c r="FX65" i="1"/>
  <c r="FV70" i="1"/>
  <c r="FV72" i="1"/>
  <c r="FV46" i="1"/>
  <c r="FV47" i="1"/>
  <c r="FV48" i="1"/>
  <c r="FV49" i="1"/>
  <c r="FV50" i="1"/>
  <c r="FV51" i="1"/>
  <c r="FV52" i="1"/>
  <c r="FV53" i="1"/>
  <c r="FV54" i="1"/>
  <c r="FV55" i="1"/>
  <c r="FV56" i="1"/>
  <c r="FV57" i="1"/>
  <c r="FV58" i="1"/>
  <c r="FV59" i="1"/>
  <c r="FV60" i="1"/>
  <c r="FV61" i="1"/>
  <c r="FV62" i="1"/>
  <c r="FV63" i="1"/>
  <c r="FV64" i="1"/>
  <c r="FV65" i="1"/>
  <c r="FT70" i="1"/>
  <c r="FT72" i="1"/>
  <c r="FT46" i="1"/>
  <c r="FT47" i="1"/>
  <c r="FT48" i="1"/>
  <c r="FT49" i="1"/>
  <c r="FT50" i="1"/>
  <c r="FT51" i="1"/>
  <c r="FT52" i="1"/>
  <c r="FT53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R70" i="1"/>
  <c r="FR72" i="1"/>
  <c r="FR46" i="1"/>
  <c r="FR47" i="1"/>
  <c r="FR48" i="1"/>
  <c r="FR49" i="1"/>
  <c r="FR50" i="1"/>
  <c r="FR51" i="1"/>
  <c r="FR52" i="1"/>
  <c r="FR53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P70" i="1"/>
  <c r="FP72" i="1"/>
  <c r="FP46" i="1"/>
  <c r="FP47" i="1"/>
  <c r="FP48" i="1"/>
  <c r="FP49" i="1"/>
  <c r="FP50" i="1"/>
  <c r="FP51" i="1"/>
  <c r="FP52" i="1"/>
  <c r="FP53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N70" i="1"/>
  <c r="FN72" i="1"/>
  <c r="FN46" i="1"/>
  <c r="FN47" i="1"/>
  <c r="FN48" i="1"/>
  <c r="FN49" i="1"/>
  <c r="FN50" i="1"/>
  <c r="FN51" i="1"/>
  <c r="FN52" i="1"/>
  <c r="FN53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L70" i="1"/>
  <c r="FL72" i="1"/>
  <c r="FL46" i="1"/>
  <c r="FL47" i="1"/>
  <c r="FL48" i="1"/>
  <c r="FL49" i="1"/>
  <c r="FL50" i="1"/>
  <c r="FL51" i="1"/>
  <c r="FL52" i="1"/>
  <c r="FL53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J70" i="1"/>
  <c r="FJ72" i="1"/>
  <c r="FJ46" i="1"/>
  <c r="FJ47" i="1"/>
  <c r="FJ48" i="1"/>
  <c r="FJ49" i="1"/>
  <c r="FJ50" i="1"/>
  <c r="FJ51" i="1"/>
  <c r="FJ52" i="1"/>
  <c r="FJ53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H70" i="1"/>
  <c r="FH72" i="1"/>
  <c r="FH46" i="1"/>
  <c r="FH47" i="1"/>
  <c r="FH48" i="1"/>
  <c r="FH49" i="1"/>
  <c r="FH50" i="1"/>
  <c r="FH51" i="1"/>
  <c r="FH52" i="1"/>
  <c r="FH53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F70" i="1"/>
  <c r="FF72" i="1"/>
  <c r="FF46" i="1"/>
  <c r="FF47" i="1"/>
  <c r="FF48" i="1"/>
  <c r="FF49" i="1"/>
  <c r="FF50" i="1"/>
  <c r="FF51" i="1"/>
  <c r="FF52" i="1"/>
  <c r="FF53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D70" i="1"/>
  <c r="FD72" i="1"/>
  <c r="FD46" i="1"/>
  <c r="FD47" i="1"/>
  <c r="FD48" i="1"/>
  <c r="FD49" i="1"/>
  <c r="FD50" i="1"/>
  <c r="FD51" i="1"/>
  <c r="FD52" i="1"/>
  <c r="FD53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B70" i="1"/>
  <c r="FB72" i="1"/>
  <c r="FB46" i="1"/>
  <c r="FB47" i="1"/>
  <c r="FB48" i="1"/>
  <c r="FB49" i="1"/>
  <c r="FB50" i="1"/>
  <c r="FB51" i="1"/>
  <c r="FB52" i="1"/>
  <c r="FB53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EZ70" i="1"/>
  <c r="EZ72" i="1"/>
  <c r="EZ46" i="1"/>
  <c r="EZ47" i="1"/>
  <c r="EZ48" i="1"/>
  <c r="EZ49" i="1"/>
  <c r="EZ50" i="1"/>
  <c r="EZ51" i="1"/>
  <c r="EZ52" i="1"/>
  <c r="EZ53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X70" i="1"/>
  <c r="EX72" i="1"/>
  <c r="EX46" i="1"/>
  <c r="EX47" i="1"/>
  <c r="EX48" i="1"/>
  <c r="EX49" i="1"/>
  <c r="EX50" i="1"/>
  <c r="EX51" i="1"/>
  <c r="EX52" i="1"/>
  <c r="EX53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V70" i="1"/>
  <c r="EV72" i="1"/>
  <c r="EV46" i="1"/>
  <c r="EV47" i="1"/>
  <c r="EV48" i="1"/>
  <c r="EV49" i="1"/>
  <c r="EV50" i="1"/>
  <c r="EV51" i="1"/>
  <c r="EV52" i="1"/>
  <c r="EV53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T70" i="1"/>
  <c r="ET72" i="1"/>
  <c r="ET46" i="1"/>
  <c r="ET47" i="1"/>
  <c r="ET48" i="1"/>
  <c r="ET49" i="1"/>
  <c r="ET50" i="1"/>
  <c r="ET51" i="1"/>
  <c r="ET52" i="1"/>
  <c r="ET53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R70" i="1"/>
  <c r="ER72" i="1"/>
  <c r="ER46" i="1"/>
  <c r="ER47" i="1"/>
  <c r="ER48" i="1"/>
  <c r="ER49" i="1"/>
  <c r="ER50" i="1"/>
  <c r="ER51" i="1"/>
  <c r="ER52" i="1"/>
  <c r="ER53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P70" i="1"/>
  <c r="EP72" i="1"/>
  <c r="EP46" i="1"/>
  <c r="EP47" i="1"/>
  <c r="EP48" i="1"/>
  <c r="EP49" i="1"/>
  <c r="EP50" i="1"/>
  <c r="EP51" i="1"/>
  <c r="EP52" i="1"/>
  <c r="EP53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N70" i="1"/>
  <c r="EN72" i="1"/>
  <c r="EN46" i="1"/>
  <c r="EN47" i="1"/>
  <c r="EN48" i="1"/>
  <c r="EN49" i="1"/>
  <c r="EN50" i="1"/>
  <c r="EN51" i="1"/>
  <c r="EN52" i="1"/>
  <c r="EN53" i="1"/>
  <c r="EN54" i="1"/>
  <c r="EN55" i="1"/>
  <c r="EN56" i="1"/>
  <c r="EN57" i="1"/>
  <c r="EN58" i="1"/>
  <c r="EN59" i="1"/>
  <c r="EN60" i="1"/>
  <c r="EN61" i="1"/>
  <c r="EN62" i="1"/>
  <c r="EN63" i="1"/>
  <c r="EN64" i="1"/>
  <c r="EN65" i="1"/>
  <c r="EL70" i="1"/>
  <c r="EL72" i="1"/>
  <c r="EL46" i="1"/>
  <c r="EL47" i="1"/>
  <c r="EL48" i="1"/>
  <c r="EL49" i="1"/>
  <c r="EL50" i="1"/>
  <c r="EL51" i="1"/>
  <c r="EL52" i="1"/>
  <c r="EL53" i="1"/>
  <c r="EL54" i="1"/>
  <c r="EL55" i="1"/>
  <c r="EL56" i="1"/>
  <c r="EL57" i="1"/>
  <c r="EL58" i="1"/>
  <c r="EL59" i="1"/>
  <c r="EL60" i="1"/>
  <c r="EL61" i="1"/>
  <c r="EL62" i="1"/>
  <c r="EL63" i="1"/>
  <c r="EL64" i="1"/>
  <c r="EL65" i="1"/>
  <c r="EJ70" i="1"/>
  <c r="EJ72" i="1"/>
  <c r="EJ46" i="1"/>
  <c r="EJ47" i="1"/>
  <c r="EJ48" i="1"/>
  <c r="EJ49" i="1"/>
  <c r="EJ50" i="1"/>
  <c r="EJ51" i="1"/>
  <c r="EJ52" i="1"/>
  <c r="EJ53" i="1"/>
  <c r="EJ54" i="1"/>
  <c r="EJ55" i="1"/>
  <c r="EJ56" i="1"/>
  <c r="EJ57" i="1"/>
  <c r="EJ58" i="1"/>
  <c r="EJ59" i="1"/>
  <c r="EJ60" i="1"/>
  <c r="EJ61" i="1"/>
  <c r="EJ62" i="1"/>
  <c r="EJ63" i="1"/>
  <c r="EJ64" i="1"/>
  <c r="EJ65" i="1"/>
  <c r="EH70" i="1"/>
  <c r="EH72" i="1"/>
  <c r="EH46" i="1"/>
  <c r="EH47" i="1"/>
  <c r="EH48" i="1"/>
  <c r="EH49" i="1"/>
  <c r="EH50" i="1"/>
  <c r="EH51" i="1"/>
  <c r="EH52" i="1"/>
  <c r="EH53" i="1"/>
  <c r="EH54" i="1"/>
  <c r="EH55" i="1"/>
  <c r="EH56" i="1"/>
  <c r="EH57" i="1"/>
  <c r="EH58" i="1"/>
  <c r="EH59" i="1"/>
  <c r="EH60" i="1"/>
  <c r="EH61" i="1"/>
  <c r="EH62" i="1"/>
  <c r="EH63" i="1"/>
  <c r="EH64" i="1"/>
  <c r="EH65" i="1"/>
  <c r="EF70" i="1"/>
  <c r="EF72" i="1"/>
  <c r="EF46" i="1"/>
  <c r="EF47" i="1"/>
  <c r="EF48" i="1"/>
  <c r="EF49" i="1"/>
  <c r="EF50" i="1"/>
  <c r="EF51" i="1"/>
  <c r="EF52" i="1"/>
  <c r="EF53" i="1"/>
  <c r="EF54" i="1"/>
  <c r="EF55" i="1"/>
  <c r="EF56" i="1"/>
  <c r="EF57" i="1"/>
  <c r="EF58" i="1"/>
  <c r="EF59" i="1"/>
  <c r="EF60" i="1"/>
  <c r="EF61" i="1"/>
  <c r="EF62" i="1"/>
  <c r="EF63" i="1"/>
  <c r="EF64" i="1"/>
  <c r="EF65" i="1"/>
  <c r="ED70" i="1"/>
  <c r="ED72" i="1"/>
  <c r="ED46" i="1"/>
  <c r="ED47" i="1"/>
  <c r="ED48" i="1"/>
  <c r="ED49" i="1"/>
  <c r="ED50" i="1"/>
  <c r="ED51" i="1"/>
  <c r="ED52" i="1"/>
  <c r="ED53" i="1"/>
  <c r="ED54" i="1"/>
  <c r="ED55" i="1"/>
  <c r="ED56" i="1"/>
  <c r="ED57" i="1"/>
  <c r="ED58" i="1"/>
  <c r="ED59" i="1"/>
  <c r="ED60" i="1"/>
  <c r="ED61" i="1"/>
  <c r="ED62" i="1"/>
  <c r="ED63" i="1"/>
  <c r="ED64" i="1"/>
  <c r="ED65" i="1"/>
  <c r="EB70" i="1"/>
  <c r="EB72" i="1"/>
  <c r="EB46" i="1"/>
  <c r="EB47" i="1"/>
  <c r="EB48" i="1"/>
  <c r="EB49" i="1"/>
  <c r="EB50" i="1"/>
  <c r="EB51" i="1"/>
  <c r="EB52" i="1"/>
  <c r="EB53" i="1"/>
  <c r="EB54" i="1"/>
  <c r="EB55" i="1"/>
  <c r="EB56" i="1"/>
  <c r="EB57" i="1"/>
  <c r="EB58" i="1"/>
  <c r="EB59" i="1"/>
  <c r="EB60" i="1"/>
  <c r="EB61" i="1"/>
  <c r="EB62" i="1"/>
  <c r="EB63" i="1"/>
  <c r="EB64" i="1"/>
  <c r="EB65" i="1"/>
  <c r="DZ70" i="1"/>
  <c r="DZ72" i="1"/>
  <c r="DZ46" i="1"/>
  <c r="DZ47" i="1"/>
  <c r="DZ48" i="1"/>
  <c r="DZ49" i="1"/>
  <c r="DZ50" i="1"/>
  <c r="DZ51" i="1"/>
  <c r="DZ52" i="1"/>
  <c r="DZ53" i="1"/>
  <c r="DZ54" i="1"/>
  <c r="DZ55" i="1"/>
  <c r="DZ56" i="1"/>
  <c r="DZ57" i="1"/>
  <c r="DZ58" i="1"/>
  <c r="DZ59" i="1"/>
  <c r="DZ60" i="1"/>
  <c r="DZ61" i="1"/>
  <c r="DZ62" i="1"/>
  <c r="DZ63" i="1"/>
  <c r="DZ64" i="1"/>
  <c r="DZ65" i="1"/>
  <c r="DX70" i="1"/>
  <c r="DX72" i="1"/>
  <c r="DX46" i="1"/>
  <c r="DX47" i="1"/>
  <c r="DX48" i="1"/>
  <c r="DX49" i="1"/>
  <c r="DX50" i="1"/>
  <c r="DX51" i="1"/>
  <c r="DX52" i="1"/>
  <c r="DX53" i="1"/>
  <c r="DX54" i="1"/>
  <c r="DX55" i="1"/>
  <c r="DX56" i="1"/>
  <c r="DX57" i="1"/>
  <c r="DX58" i="1"/>
  <c r="DX59" i="1"/>
  <c r="DX60" i="1"/>
  <c r="DX61" i="1"/>
  <c r="DX62" i="1"/>
  <c r="DX63" i="1"/>
  <c r="DX64" i="1"/>
  <c r="DX65" i="1"/>
  <c r="DV70" i="1"/>
  <c r="DV72" i="1"/>
  <c r="DV46" i="1"/>
  <c r="DV47" i="1"/>
  <c r="DV48" i="1"/>
  <c r="DV49" i="1"/>
  <c r="DV50" i="1"/>
  <c r="DV51" i="1"/>
  <c r="DV52" i="1"/>
  <c r="DV53" i="1"/>
  <c r="DV54" i="1"/>
  <c r="DV55" i="1"/>
  <c r="DV56" i="1"/>
  <c r="DV57" i="1"/>
  <c r="DV58" i="1"/>
  <c r="DV59" i="1"/>
  <c r="DV60" i="1"/>
  <c r="DV61" i="1"/>
  <c r="DV62" i="1"/>
  <c r="DV63" i="1"/>
  <c r="DV64" i="1"/>
  <c r="DV65" i="1"/>
  <c r="DT70" i="1"/>
  <c r="DT72" i="1"/>
  <c r="DT46" i="1"/>
  <c r="DT47" i="1"/>
  <c r="DT48" i="1"/>
  <c r="DT49" i="1"/>
  <c r="DT50" i="1"/>
  <c r="DT51" i="1"/>
  <c r="DT52" i="1"/>
  <c r="DT53" i="1"/>
  <c r="DT54" i="1"/>
  <c r="DT55" i="1"/>
  <c r="DT56" i="1"/>
  <c r="DT57" i="1"/>
  <c r="DT58" i="1"/>
  <c r="DT59" i="1"/>
  <c r="DT60" i="1"/>
  <c r="DT61" i="1"/>
  <c r="DT62" i="1"/>
  <c r="DT63" i="1"/>
  <c r="DT64" i="1"/>
  <c r="DT65" i="1"/>
  <c r="DR70" i="1"/>
  <c r="DR72" i="1"/>
  <c r="DR46" i="1"/>
  <c r="DR47" i="1"/>
  <c r="DR48" i="1"/>
  <c r="DR49" i="1"/>
  <c r="DR50" i="1"/>
  <c r="DR51" i="1"/>
  <c r="DR52" i="1"/>
  <c r="DR53" i="1"/>
  <c r="DR54" i="1"/>
  <c r="DR55" i="1"/>
  <c r="DR56" i="1"/>
  <c r="DR57" i="1"/>
  <c r="DR58" i="1"/>
  <c r="DR59" i="1"/>
  <c r="DR60" i="1"/>
  <c r="DR61" i="1"/>
  <c r="DR62" i="1"/>
  <c r="DR63" i="1"/>
  <c r="DR64" i="1"/>
  <c r="DR65" i="1"/>
  <c r="DP70" i="1"/>
  <c r="DP72" i="1"/>
  <c r="DP46" i="1"/>
  <c r="DP47" i="1"/>
  <c r="DP48" i="1"/>
  <c r="DP49" i="1"/>
  <c r="DP50" i="1"/>
  <c r="DP51" i="1"/>
  <c r="DP52" i="1"/>
  <c r="DP53" i="1"/>
  <c r="DP54" i="1"/>
  <c r="DP55" i="1"/>
  <c r="DP56" i="1"/>
  <c r="DP57" i="1"/>
  <c r="DP58" i="1"/>
  <c r="DP59" i="1"/>
  <c r="DP60" i="1"/>
  <c r="DP61" i="1"/>
  <c r="DP62" i="1"/>
  <c r="DP63" i="1"/>
  <c r="DP64" i="1"/>
  <c r="DP65" i="1"/>
  <c r="DN70" i="1"/>
  <c r="DN72" i="1"/>
  <c r="DN46" i="1"/>
  <c r="DN47" i="1"/>
  <c r="DN48" i="1"/>
  <c r="DN49" i="1"/>
  <c r="DN50" i="1"/>
  <c r="DN51" i="1"/>
  <c r="DN52" i="1"/>
  <c r="DN53" i="1"/>
  <c r="DN54" i="1"/>
  <c r="DN55" i="1"/>
  <c r="DN56" i="1"/>
  <c r="DN57" i="1"/>
  <c r="DN58" i="1"/>
  <c r="DN59" i="1"/>
  <c r="DN60" i="1"/>
  <c r="DN61" i="1"/>
  <c r="DN62" i="1"/>
  <c r="DN63" i="1"/>
  <c r="DN64" i="1"/>
  <c r="DN65" i="1"/>
  <c r="DL70" i="1"/>
  <c r="DL72" i="1"/>
  <c r="DL46" i="1"/>
  <c r="DL47" i="1"/>
  <c r="DL48" i="1"/>
  <c r="DL49" i="1"/>
  <c r="DL50" i="1"/>
  <c r="DL51" i="1"/>
  <c r="DL52" i="1"/>
  <c r="DL53" i="1"/>
  <c r="DL54" i="1"/>
  <c r="DL55" i="1"/>
  <c r="DL56" i="1"/>
  <c r="DL57" i="1"/>
  <c r="DL58" i="1"/>
  <c r="DL59" i="1"/>
  <c r="DL60" i="1"/>
  <c r="DL61" i="1"/>
  <c r="DL62" i="1"/>
  <c r="DL63" i="1"/>
  <c r="DL64" i="1"/>
  <c r="DL65" i="1"/>
  <c r="DJ70" i="1"/>
  <c r="DJ72" i="1"/>
  <c r="DJ46" i="1"/>
  <c r="DJ47" i="1"/>
  <c r="DJ48" i="1"/>
  <c r="DJ49" i="1"/>
  <c r="DJ50" i="1"/>
  <c r="DJ51" i="1"/>
  <c r="DJ52" i="1"/>
  <c r="DJ53" i="1"/>
  <c r="DJ54" i="1"/>
  <c r="DJ55" i="1"/>
  <c r="DJ56" i="1"/>
  <c r="DJ57" i="1"/>
  <c r="DJ58" i="1"/>
  <c r="DJ59" i="1"/>
  <c r="DJ60" i="1"/>
  <c r="DJ61" i="1"/>
  <c r="DJ62" i="1"/>
  <c r="DJ63" i="1"/>
  <c r="DJ64" i="1"/>
  <c r="DJ65" i="1"/>
  <c r="DH70" i="1"/>
  <c r="DH72" i="1"/>
  <c r="DH46" i="1"/>
  <c r="DH47" i="1"/>
  <c r="DH48" i="1"/>
  <c r="DH49" i="1"/>
  <c r="DH50" i="1"/>
  <c r="DH51" i="1"/>
  <c r="DH52" i="1"/>
  <c r="DH53" i="1"/>
  <c r="DH54" i="1"/>
  <c r="DH55" i="1"/>
  <c r="DH56" i="1"/>
  <c r="DH57" i="1"/>
  <c r="DH58" i="1"/>
  <c r="DH59" i="1"/>
  <c r="DH60" i="1"/>
  <c r="DH61" i="1"/>
  <c r="DH62" i="1"/>
  <c r="DH63" i="1"/>
  <c r="DH64" i="1"/>
  <c r="DH65" i="1"/>
  <c r="DF70" i="1"/>
  <c r="DF72" i="1"/>
  <c r="DF46" i="1"/>
  <c r="DF47" i="1"/>
  <c r="DF48" i="1"/>
  <c r="DF49" i="1"/>
  <c r="DF50" i="1"/>
  <c r="DF51" i="1"/>
  <c r="DF52" i="1"/>
  <c r="DF53" i="1"/>
  <c r="DF54" i="1"/>
  <c r="DF55" i="1"/>
  <c r="DF56" i="1"/>
  <c r="DF57" i="1"/>
  <c r="DF58" i="1"/>
  <c r="DF59" i="1"/>
  <c r="DF60" i="1"/>
  <c r="DF61" i="1"/>
  <c r="DF62" i="1"/>
  <c r="DF63" i="1"/>
  <c r="DF64" i="1"/>
  <c r="DF65" i="1"/>
  <c r="DD70" i="1"/>
  <c r="DD72" i="1"/>
  <c r="DD46" i="1"/>
  <c r="DD47" i="1"/>
  <c r="DD48" i="1"/>
  <c r="DD49" i="1"/>
  <c r="DD50" i="1"/>
  <c r="DD51" i="1"/>
  <c r="DD52" i="1"/>
  <c r="DD53" i="1"/>
  <c r="DD54" i="1"/>
  <c r="DD55" i="1"/>
  <c r="DD56" i="1"/>
  <c r="DD57" i="1"/>
  <c r="DD58" i="1"/>
  <c r="DD59" i="1"/>
  <c r="DD60" i="1"/>
  <c r="DD61" i="1"/>
  <c r="DD62" i="1"/>
  <c r="DD63" i="1"/>
  <c r="DD64" i="1"/>
  <c r="DD65" i="1"/>
  <c r="DB70" i="1"/>
  <c r="DB72" i="1"/>
  <c r="DB46" i="1"/>
  <c r="DB47" i="1"/>
  <c r="DB48" i="1"/>
  <c r="DB49" i="1"/>
  <c r="DB50" i="1"/>
  <c r="DB51" i="1"/>
  <c r="DB52" i="1"/>
  <c r="DB53" i="1"/>
  <c r="DB54" i="1"/>
  <c r="DB55" i="1"/>
  <c r="DB56" i="1"/>
  <c r="DB57" i="1"/>
  <c r="DB58" i="1"/>
  <c r="DB59" i="1"/>
  <c r="DB60" i="1"/>
  <c r="DB61" i="1"/>
  <c r="DB62" i="1"/>
  <c r="DB63" i="1"/>
  <c r="DB64" i="1"/>
  <c r="DB65" i="1"/>
  <c r="CZ70" i="1"/>
  <c r="CZ72" i="1"/>
  <c r="CZ46" i="1"/>
  <c r="CZ47" i="1"/>
  <c r="CZ48" i="1"/>
  <c r="CZ49" i="1"/>
  <c r="CZ50" i="1"/>
  <c r="CZ51" i="1"/>
  <c r="CZ52" i="1"/>
  <c r="CZ53" i="1"/>
  <c r="CZ54" i="1"/>
  <c r="CZ55" i="1"/>
  <c r="CZ56" i="1"/>
  <c r="CZ57" i="1"/>
  <c r="CZ58" i="1"/>
  <c r="CZ59" i="1"/>
  <c r="CZ60" i="1"/>
  <c r="CZ61" i="1"/>
  <c r="CZ62" i="1"/>
  <c r="CZ63" i="1"/>
  <c r="CZ64" i="1"/>
  <c r="CZ65" i="1"/>
  <c r="CX70" i="1"/>
  <c r="CX72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V70" i="1"/>
  <c r="CV72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T70" i="1"/>
  <c r="CT72" i="1"/>
  <c r="CT46" i="1"/>
  <c r="CT47" i="1"/>
  <c r="CT48" i="1"/>
  <c r="CT49" i="1"/>
  <c r="CT50" i="1"/>
  <c r="CT51" i="1"/>
  <c r="CT52" i="1"/>
  <c r="CT53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R70" i="1"/>
  <c r="CR72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P70" i="1"/>
  <c r="CP72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N70" i="1"/>
  <c r="CN72" i="1"/>
  <c r="CN46" i="1"/>
  <c r="CN47" i="1"/>
  <c r="CN48" i="1"/>
  <c r="CN49" i="1"/>
  <c r="CN50" i="1"/>
  <c r="CN51" i="1"/>
  <c r="CN52" i="1"/>
  <c r="CN53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L70" i="1"/>
  <c r="CL72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J70" i="1"/>
  <c r="CJ72" i="1"/>
  <c r="CJ46" i="1"/>
  <c r="CJ47" i="1"/>
  <c r="CJ48" i="1"/>
  <c r="CJ49" i="1"/>
  <c r="CJ50" i="1"/>
  <c r="CJ51" i="1"/>
  <c r="CJ52" i="1"/>
  <c r="CJ53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H70" i="1"/>
  <c r="CH72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F70" i="1"/>
  <c r="CF72" i="1"/>
  <c r="CF46" i="1"/>
  <c r="CF47" i="1"/>
  <c r="CF48" i="1"/>
  <c r="CF49" i="1"/>
  <c r="CF50" i="1"/>
  <c r="CF51" i="1"/>
  <c r="CF52" i="1"/>
  <c r="CF53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D70" i="1"/>
  <c r="CD72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B70" i="1"/>
  <c r="CB72" i="1"/>
  <c r="CB46" i="1"/>
  <c r="CB47" i="1"/>
  <c r="CB48" i="1"/>
  <c r="CB49" i="1"/>
  <c r="CB50" i="1"/>
  <c r="CB51" i="1"/>
  <c r="CB52" i="1"/>
  <c r="CB53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BZ70" i="1"/>
  <c r="BZ72" i="1"/>
  <c r="BZ46" i="1"/>
  <c r="BZ47" i="1"/>
  <c r="BZ48" i="1"/>
  <c r="BZ49" i="1"/>
  <c r="BZ50" i="1"/>
  <c r="BZ51" i="1"/>
  <c r="BZ52" i="1"/>
  <c r="BZ53" i="1"/>
  <c r="BZ54" i="1"/>
  <c r="BZ55" i="1"/>
  <c r="BZ56" i="1"/>
  <c r="BZ57" i="1"/>
  <c r="BZ58" i="1"/>
  <c r="BZ59" i="1"/>
  <c r="BZ60" i="1"/>
  <c r="BZ61" i="1"/>
  <c r="BZ62" i="1"/>
  <c r="BZ63" i="1"/>
  <c r="BZ64" i="1"/>
  <c r="BZ65" i="1"/>
  <c r="BX70" i="1"/>
  <c r="BX72" i="1"/>
  <c r="BX46" i="1"/>
  <c r="BX47" i="1"/>
  <c r="BX48" i="1"/>
  <c r="BX49" i="1"/>
  <c r="BX50" i="1"/>
  <c r="BX51" i="1"/>
  <c r="BX52" i="1"/>
  <c r="BX53" i="1"/>
  <c r="BX54" i="1"/>
  <c r="BX55" i="1"/>
  <c r="BX56" i="1"/>
  <c r="BX57" i="1"/>
  <c r="BX58" i="1"/>
  <c r="BX59" i="1"/>
  <c r="BX60" i="1"/>
  <c r="BX61" i="1"/>
  <c r="BX62" i="1"/>
  <c r="BX63" i="1"/>
  <c r="BX64" i="1"/>
  <c r="BX65" i="1"/>
  <c r="BV70" i="1"/>
  <c r="BV72" i="1"/>
  <c r="BV46" i="1"/>
  <c r="BV47" i="1"/>
  <c r="BV48" i="1"/>
  <c r="BV49" i="1"/>
  <c r="BV50" i="1"/>
  <c r="BV51" i="1"/>
  <c r="BV52" i="1"/>
  <c r="BV5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T70" i="1"/>
  <c r="BT72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R70" i="1"/>
  <c r="BR72" i="1"/>
  <c r="BR46" i="1"/>
  <c r="BR47" i="1"/>
  <c r="BR48" i="1"/>
  <c r="BR49" i="1"/>
  <c r="BR50" i="1"/>
  <c r="BR51" i="1"/>
  <c r="BR52" i="1"/>
  <c r="BR53" i="1"/>
  <c r="BR54" i="1"/>
  <c r="BR55" i="1"/>
  <c r="BR56" i="1"/>
  <c r="BR57" i="1"/>
  <c r="BR58" i="1"/>
  <c r="BR59" i="1"/>
  <c r="BR60" i="1"/>
  <c r="BR61" i="1"/>
  <c r="BR62" i="1"/>
  <c r="BR63" i="1"/>
  <c r="BR64" i="1"/>
  <c r="BR65" i="1"/>
  <c r="BP70" i="1"/>
  <c r="BP72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N70" i="1"/>
  <c r="BN72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L70" i="1"/>
  <c r="BL72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J70" i="1"/>
  <c r="BJ72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H70" i="1"/>
  <c r="BH72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G70" i="1"/>
  <c r="G72" i="1"/>
  <c r="G48" i="1"/>
  <c r="G49" i="1"/>
  <c r="G50" i="1"/>
  <c r="G46" i="1"/>
  <c r="G47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K70" i="1"/>
  <c r="K72" i="1"/>
  <c r="K48" i="1"/>
  <c r="K49" i="1"/>
  <c r="K50" i="1"/>
  <c r="K46" i="1"/>
  <c r="K47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O70" i="1"/>
  <c r="O72" i="1"/>
  <c r="O48" i="1"/>
  <c r="O49" i="1"/>
  <c r="O50" i="1"/>
  <c r="O46" i="1"/>
  <c r="O47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S70" i="1"/>
  <c r="S72" i="1"/>
  <c r="S48" i="1"/>
  <c r="S49" i="1"/>
  <c r="S50" i="1"/>
  <c r="S46" i="1"/>
  <c r="S47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W70" i="1"/>
  <c r="W72" i="1"/>
  <c r="W48" i="1"/>
  <c r="W49" i="1"/>
  <c r="W50" i="1"/>
  <c r="W46" i="1"/>
  <c r="W47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AA70" i="1"/>
  <c r="AA72" i="1"/>
  <c r="AA48" i="1"/>
  <c r="AA49" i="1"/>
  <c r="AA46" i="1"/>
  <c r="AA47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E70" i="1"/>
  <c r="AE72" i="1"/>
  <c r="AE48" i="1"/>
  <c r="AE49" i="1"/>
  <c r="AE46" i="1"/>
  <c r="AE47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I70" i="1"/>
  <c r="AI72" i="1"/>
  <c r="AI47" i="1"/>
  <c r="AI48" i="1"/>
  <c r="AI49" i="1"/>
  <c r="AI46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O70" i="1"/>
  <c r="AO72" i="1"/>
  <c r="AO47" i="1"/>
  <c r="AO48" i="1"/>
  <c r="AO49" i="1"/>
  <c r="AO46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Q70" i="1"/>
  <c r="AQ72" i="1"/>
  <c r="AQ47" i="1"/>
  <c r="AQ48" i="1"/>
  <c r="AQ49" i="1"/>
  <c r="AQ46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W70" i="1"/>
  <c r="AW72" i="1"/>
  <c r="AW47" i="1"/>
  <c r="AW48" i="1"/>
  <c r="AW49" i="1"/>
  <c r="AW46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BE70" i="1"/>
  <c r="BE72" i="1"/>
  <c r="BE47" i="1"/>
  <c r="BE48" i="1"/>
  <c r="BE49" i="1"/>
  <c r="BE46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GS70" i="1"/>
  <c r="GS72" i="1"/>
  <c r="GS47" i="1"/>
  <c r="GS48" i="1"/>
  <c r="GS49" i="1"/>
  <c r="GS46" i="1"/>
  <c r="GS50" i="1"/>
  <c r="GS51" i="1"/>
  <c r="GS52" i="1"/>
  <c r="GS53" i="1"/>
  <c r="GS54" i="1"/>
  <c r="GS55" i="1"/>
  <c r="GS56" i="1"/>
  <c r="GS57" i="1"/>
  <c r="GS58" i="1"/>
  <c r="GS59" i="1"/>
  <c r="GS60" i="1"/>
  <c r="GS61" i="1"/>
  <c r="GS62" i="1"/>
  <c r="GS63" i="1"/>
  <c r="GS64" i="1"/>
  <c r="GS65" i="1"/>
  <c r="GQ70" i="1"/>
  <c r="GQ72" i="1"/>
  <c r="GQ47" i="1"/>
  <c r="GQ48" i="1"/>
  <c r="GQ49" i="1"/>
  <c r="GQ46" i="1"/>
  <c r="GQ50" i="1"/>
  <c r="GQ51" i="1"/>
  <c r="GQ52" i="1"/>
  <c r="GQ53" i="1"/>
  <c r="GQ54" i="1"/>
  <c r="GQ55" i="1"/>
  <c r="GQ56" i="1"/>
  <c r="GQ57" i="1"/>
  <c r="GQ58" i="1"/>
  <c r="GQ59" i="1"/>
  <c r="GQ60" i="1"/>
  <c r="GQ61" i="1"/>
  <c r="GQ62" i="1"/>
  <c r="GQ63" i="1"/>
  <c r="GQ64" i="1"/>
  <c r="GQ65" i="1"/>
  <c r="GO70" i="1"/>
  <c r="GO72" i="1"/>
  <c r="GO47" i="1"/>
  <c r="GO48" i="1"/>
  <c r="GO49" i="1"/>
  <c r="GO46" i="1"/>
  <c r="GO50" i="1"/>
  <c r="GO51" i="1"/>
  <c r="GO52" i="1"/>
  <c r="GO53" i="1"/>
  <c r="GO54" i="1"/>
  <c r="GO55" i="1"/>
  <c r="GO56" i="1"/>
  <c r="GO57" i="1"/>
  <c r="GO58" i="1"/>
  <c r="GO59" i="1"/>
  <c r="GO60" i="1"/>
  <c r="GO61" i="1"/>
  <c r="GO62" i="1"/>
  <c r="GO63" i="1"/>
  <c r="GO64" i="1"/>
  <c r="GO65" i="1"/>
  <c r="GM70" i="1"/>
  <c r="GM72" i="1"/>
  <c r="GM47" i="1"/>
  <c r="GM48" i="1"/>
  <c r="GM49" i="1"/>
  <c r="GM46" i="1"/>
  <c r="GM50" i="1"/>
  <c r="GM51" i="1"/>
  <c r="GM52" i="1"/>
  <c r="GM53" i="1"/>
  <c r="GM54" i="1"/>
  <c r="GM55" i="1"/>
  <c r="GM56" i="1"/>
  <c r="GM57" i="1"/>
  <c r="GM58" i="1"/>
  <c r="GM59" i="1"/>
  <c r="GM60" i="1"/>
  <c r="GM61" i="1"/>
  <c r="GM62" i="1"/>
  <c r="GM63" i="1"/>
  <c r="GM64" i="1"/>
  <c r="GM65" i="1"/>
  <c r="GK70" i="1"/>
  <c r="GK72" i="1"/>
  <c r="GK47" i="1"/>
  <c r="GK48" i="1"/>
  <c r="GK49" i="1"/>
  <c r="GK46" i="1"/>
  <c r="GK50" i="1"/>
  <c r="GK51" i="1"/>
  <c r="GK52" i="1"/>
  <c r="GK53" i="1"/>
  <c r="GK54" i="1"/>
  <c r="GK55" i="1"/>
  <c r="GK56" i="1"/>
  <c r="GK57" i="1"/>
  <c r="GK58" i="1"/>
  <c r="GK59" i="1"/>
  <c r="GK60" i="1"/>
  <c r="GK61" i="1"/>
  <c r="GK62" i="1"/>
  <c r="GK63" i="1"/>
  <c r="GK64" i="1"/>
  <c r="GK65" i="1"/>
  <c r="GI70" i="1"/>
  <c r="GI72" i="1"/>
  <c r="GI47" i="1"/>
  <c r="GI48" i="1"/>
  <c r="GI49" i="1"/>
  <c r="GI46" i="1"/>
  <c r="GI50" i="1"/>
  <c r="GI51" i="1"/>
  <c r="GI52" i="1"/>
  <c r="GI53" i="1"/>
  <c r="GI54" i="1"/>
  <c r="GI55" i="1"/>
  <c r="GI56" i="1"/>
  <c r="GI57" i="1"/>
  <c r="GI58" i="1"/>
  <c r="GI59" i="1"/>
  <c r="GI60" i="1"/>
  <c r="GI61" i="1"/>
  <c r="GI62" i="1"/>
  <c r="GI63" i="1"/>
  <c r="GI64" i="1"/>
  <c r="GI65" i="1"/>
  <c r="GG70" i="1"/>
  <c r="GG72" i="1"/>
  <c r="GG47" i="1"/>
  <c r="GG48" i="1"/>
  <c r="GG49" i="1"/>
  <c r="GG46" i="1"/>
  <c r="GG50" i="1"/>
  <c r="GG51" i="1"/>
  <c r="GG52" i="1"/>
  <c r="GG53" i="1"/>
  <c r="GG54" i="1"/>
  <c r="GG55" i="1"/>
  <c r="GG56" i="1"/>
  <c r="GG57" i="1"/>
  <c r="GG58" i="1"/>
  <c r="GG59" i="1"/>
  <c r="GG60" i="1"/>
  <c r="GG61" i="1"/>
  <c r="GG62" i="1"/>
  <c r="GG63" i="1"/>
  <c r="GG64" i="1"/>
  <c r="GG65" i="1"/>
  <c r="GE70" i="1"/>
  <c r="GE72" i="1"/>
  <c r="GE47" i="1"/>
  <c r="GE48" i="1"/>
  <c r="GE49" i="1"/>
  <c r="GE46" i="1"/>
  <c r="GE50" i="1"/>
  <c r="GE51" i="1"/>
  <c r="GE52" i="1"/>
  <c r="GE53" i="1"/>
  <c r="GE54" i="1"/>
  <c r="GE55" i="1"/>
  <c r="GE56" i="1"/>
  <c r="GE57" i="1"/>
  <c r="GE58" i="1"/>
  <c r="GE59" i="1"/>
  <c r="GE60" i="1"/>
  <c r="GE61" i="1"/>
  <c r="GE62" i="1"/>
  <c r="GE63" i="1"/>
  <c r="GE64" i="1"/>
  <c r="GE65" i="1"/>
  <c r="GC70" i="1"/>
  <c r="GC72" i="1"/>
  <c r="GC47" i="1"/>
  <c r="GC48" i="1"/>
  <c r="GC49" i="1"/>
  <c r="GC46" i="1"/>
  <c r="GC50" i="1"/>
  <c r="GC51" i="1"/>
  <c r="GC52" i="1"/>
  <c r="GC53" i="1"/>
  <c r="GC54" i="1"/>
  <c r="GC55" i="1"/>
  <c r="GC56" i="1"/>
  <c r="GC57" i="1"/>
  <c r="GC58" i="1"/>
  <c r="GC59" i="1"/>
  <c r="GC60" i="1"/>
  <c r="GC61" i="1"/>
  <c r="GC62" i="1"/>
  <c r="GC63" i="1"/>
  <c r="GC64" i="1"/>
  <c r="GC65" i="1"/>
  <c r="GA70" i="1"/>
  <c r="GA72" i="1"/>
  <c r="GA47" i="1"/>
  <c r="GA48" i="1"/>
  <c r="GA49" i="1"/>
  <c r="GA46" i="1"/>
  <c r="GA50" i="1"/>
  <c r="GA51" i="1"/>
  <c r="GA52" i="1"/>
  <c r="GA53" i="1"/>
  <c r="GA54" i="1"/>
  <c r="GA55" i="1"/>
  <c r="GA56" i="1"/>
  <c r="GA57" i="1"/>
  <c r="GA58" i="1"/>
  <c r="GA59" i="1"/>
  <c r="GA60" i="1"/>
  <c r="GA61" i="1"/>
  <c r="GA62" i="1"/>
  <c r="GA63" i="1"/>
  <c r="GA64" i="1"/>
  <c r="GA65" i="1"/>
  <c r="FY70" i="1"/>
  <c r="FY72" i="1"/>
  <c r="FY47" i="1"/>
  <c r="FY48" i="1"/>
  <c r="FY49" i="1"/>
  <c r="FY46" i="1"/>
  <c r="FY50" i="1"/>
  <c r="FY51" i="1"/>
  <c r="FY52" i="1"/>
  <c r="FY53" i="1"/>
  <c r="FY54" i="1"/>
  <c r="FY55" i="1"/>
  <c r="FY56" i="1"/>
  <c r="FY57" i="1"/>
  <c r="FY58" i="1"/>
  <c r="FY59" i="1"/>
  <c r="FY60" i="1"/>
  <c r="FY61" i="1"/>
  <c r="FY62" i="1"/>
  <c r="FY63" i="1"/>
  <c r="FY64" i="1"/>
  <c r="FY65" i="1"/>
  <c r="FW70" i="1"/>
  <c r="FW72" i="1"/>
  <c r="FW47" i="1"/>
  <c r="FW48" i="1"/>
  <c r="FW49" i="1"/>
  <c r="FW46" i="1"/>
  <c r="FW50" i="1"/>
  <c r="FW51" i="1"/>
  <c r="FW52" i="1"/>
  <c r="FW53" i="1"/>
  <c r="FW54" i="1"/>
  <c r="FW55" i="1"/>
  <c r="FW56" i="1"/>
  <c r="FW57" i="1"/>
  <c r="FW58" i="1"/>
  <c r="FW59" i="1"/>
  <c r="FW60" i="1"/>
  <c r="FW61" i="1"/>
  <c r="FW62" i="1"/>
  <c r="FW63" i="1"/>
  <c r="FW64" i="1"/>
  <c r="FW65" i="1"/>
  <c r="FU70" i="1"/>
  <c r="FU72" i="1"/>
  <c r="FU47" i="1"/>
  <c r="FU48" i="1"/>
  <c r="FU49" i="1"/>
  <c r="FU46" i="1"/>
  <c r="FU50" i="1"/>
  <c r="FU51" i="1"/>
  <c r="FU52" i="1"/>
  <c r="FU53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S70" i="1"/>
  <c r="FS72" i="1"/>
  <c r="FS47" i="1"/>
  <c r="FS48" i="1"/>
  <c r="FS49" i="1"/>
  <c r="FS46" i="1"/>
  <c r="FS50" i="1"/>
  <c r="FS51" i="1"/>
  <c r="FS52" i="1"/>
  <c r="FS53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Q70" i="1"/>
  <c r="FQ72" i="1"/>
  <c r="FQ47" i="1"/>
  <c r="FQ48" i="1"/>
  <c r="FQ49" i="1"/>
  <c r="FQ46" i="1"/>
  <c r="FQ50" i="1"/>
  <c r="FQ51" i="1"/>
  <c r="FQ52" i="1"/>
  <c r="FQ53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O70" i="1"/>
  <c r="FO72" i="1"/>
  <c r="FO47" i="1"/>
  <c r="FO48" i="1"/>
  <c r="FO49" i="1"/>
  <c r="FO46" i="1"/>
  <c r="FO50" i="1"/>
  <c r="FO51" i="1"/>
  <c r="FO52" i="1"/>
  <c r="FO53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M70" i="1"/>
  <c r="FM72" i="1"/>
  <c r="FM47" i="1"/>
  <c r="FM48" i="1"/>
  <c r="FM49" i="1"/>
  <c r="FM46" i="1"/>
  <c r="FM50" i="1"/>
  <c r="FM51" i="1"/>
  <c r="FM52" i="1"/>
  <c r="FM53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K70" i="1"/>
  <c r="FK72" i="1"/>
  <c r="FK47" i="1"/>
  <c r="FK48" i="1"/>
  <c r="FK49" i="1"/>
  <c r="FK46" i="1"/>
  <c r="FK50" i="1"/>
  <c r="FK51" i="1"/>
  <c r="FK52" i="1"/>
  <c r="FK53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I70" i="1"/>
  <c r="FI72" i="1"/>
  <c r="FI47" i="1"/>
  <c r="FI48" i="1"/>
  <c r="FI49" i="1"/>
  <c r="FI46" i="1"/>
  <c r="FI50" i="1"/>
  <c r="FI51" i="1"/>
  <c r="FI52" i="1"/>
  <c r="FI53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G70" i="1"/>
  <c r="FG72" i="1"/>
  <c r="FG47" i="1"/>
  <c r="FG48" i="1"/>
  <c r="FG49" i="1"/>
  <c r="FG46" i="1"/>
  <c r="FG50" i="1"/>
  <c r="FG51" i="1"/>
  <c r="FG52" i="1"/>
  <c r="FG53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E70" i="1"/>
  <c r="FE72" i="1"/>
  <c r="FE47" i="1"/>
  <c r="FE48" i="1"/>
  <c r="FE49" i="1"/>
  <c r="FE46" i="1"/>
  <c r="FE50" i="1"/>
  <c r="FE51" i="1"/>
  <c r="FE52" i="1"/>
  <c r="FE53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C70" i="1"/>
  <c r="FC72" i="1"/>
  <c r="FC47" i="1"/>
  <c r="FC48" i="1"/>
  <c r="FC49" i="1"/>
  <c r="FC46" i="1"/>
  <c r="FC50" i="1"/>
  <c r="FC51" i="1"/>
  <c r="FC52" i="1"/>
  <c r="FC53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A70" i="1"/>
  <c r="FA72" i="1"/>
  <c r="FA47" i="1"/>
  <c r="FA48" i="1"/>
  <c r="FA49" i="1"/>
  <c r="FA46" i="1"/>
  <c r="FA50" i="1"/>
  <c r="FA51" i="1"/>
  <c r="FA52" i="1"/>
  <c r="FA53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EY70" i="1"/>
  <c r="EY72" i="1"/>
  <c r="EY47" i="1"/>
  <c r="EY48" i="1"/>
  <c r="EY49" i="1"/>
  <c r="EY46" i="1"/>
  <c r="EY50" i="1"/>
  <c r="EY51" i="1"/>
  <c r="EY52" i="1"/>
  <c r="EY53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W70" i="1"/>
  <c r="EW72" i="1"/>
  <c r="EW47" i="1"/>
  <c r="EW48" i="1"/>
  <c r="EW49" i="1"/>
  <c r="EW46" i="1"/>
  <c r="EW50" i="1"/>
  <c r="EW51" i="1"/>
  <c r="EW52" i="1"/>
  <c r="EW53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U70" i="1"/>
  <c r="EU72" i="1"/>
  <c r="EU47" i="1"/>
  <c r="EU48" i="1"/>
  <c r="EU49" i="1"/>
  <c r="EU46" i="1"/>
  <c r="EU50" i="1"/>
  <c r="EU51" i="1"/>
  <c r="EU52" i="1"/>
  <c r="EU53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S70" i="1"/>
  <c r="ES72" i="1"/>
  <c r="ES47" i="1"/>
  <c r="ES48" i="1"/>
  <c r="ES49" i="1"/>
  <c r="ES46" i="1"/>
  <c r="ES50" i="1"/>
  <c r="ES51" i="1"/>
  <c r="ES52" i="1"/>
  <c r="ES53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Q70" i="1"/>
  <c r="EQ72" i="1"/>
  <c r="EQ47" i="1"/>
  <c r="EQ48" i="1"/>
  <c r="EQ49" i="1"/>
  <c r="EQ46" i="1"/>
  <c r="EQ50" i="1"/>
  <c r="EQ51" i="1"/>
  <c r="EQ52" i="1"/>
  <c r="EQ53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O70" i="1"/>
  <c r="EO72" i="1"/>
  <c r="EO47" i="1"/>
  <c r="EO48" i="1"/>
  <c r="EO49" i="1"/>
  <c r="EO46" i="1"/>
  <c r="EO50" i="1"/>
  <c r="EO51" i="1"/>
  <c r="EO52" i="1"/>
  <c r="EO53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M70" i="1"/>
  <c r="EM72" i="1"/>
  <c r="EM47" i="1"/>
  <c r="EM48" i="1"/>
  <c r="EM49" i="1"/>
  <c r="EM46" i="1"/>
  <c r="EM50" i="1"/>
  <c r="EM51" i="1"/>
  <c r="EM52" i="1"/>
  <c r="EM53" i="1"/>
  <c r="EM54" i="1"/>
  <c r="EM55" i="1"/>
  <c r="EM56" i="1"/>
  <c r="EM57" i="1"/>
  <c r="EM58" i="1"/>
  <c r="EM59" i="1"/>
  <c r="EM60" i="1"/>
  <c r="EM61" i="1"/>
  <c r="EM62" i="1"/>
  <c r="EM63" i="1"/>
  <c r="EM64" i="1"/>
  <c r="EM65" i="1"/>
  <c r="EK70" i="1"/>
  <c r="EK72" i="1"/>
  <c r="EK47" i="1"/>
  <c r="EK48" i="1"/>
  <c r="EK49" i="1"/>
  <c r="EK46" i="1"/>
  <c r="EK50" i="1"/>
  <c r="EK51" i="1"/>
  <c r="EK52" i="1"/>
  <c r="EK53" i="1"/>
  <c r="EK54" i="1"/>
  <c r="EK55" i="1"/>
  <c r="EK56" i="1"/>
  <c r="EK57" i="1"/>
  <c r="EK58" i="1"/>
  <c r="EK59" i="1"/>
  <c r="EK60" i="1"/>
  <c r="EK61" i="1"/>
  <c r="EK62" i="1"/>
  <c r="EK63" i="1"/>
  <c r="EK64" i="1"/>
  <c r="EK65" i="1"/>
  <c r="EI70" i="1"/>
  <c r="EI72" i="1"/>
  <c r="EI47" i="1"/>
  <c r="EI48" i="1"/>
  <c r="EI49" i="1"/>
  <c r="EI46" i="1"/>
  <c r="EI50" i="1"/>
  <c r="EI51" i="1"/>
  <c r="EI52" i="1"/>
  <c r="EI53" i="1"/>
  <c r="EI54" i="1"/>
  <c r="EI55" i="1"/>
  <c r="EI56" i="1"/>
  <c r="EI57" i="1"/>
  <c r="EI58" i="1"/>
  <c r="EI59" i="1"/>
  <c r="EI60" i="1"/>
  <c r="EI61" i="1"/>
  <c r="EI62" i="1"/>
  <c r="EI63" i="1"/>
  <c r="EI64" i="1"/>
  <c r="EI65" i="1"/>
  <c r="EG70" i="1"/>
  <c r="EG72" i="1"/>
  <c r="EG47" i="1"/>
  <c r="EG48" i="1"/>
  <c r="EG49" i="1"/>
  <c r="EG46" i="1"/>
  <c r="EG50" i="1"/>
  <c r="EG51" i="1"/>
  <c r="EG52" i="1"/>
  <c r="EG53" i="1"/>
  <c r="EG54" i="1"/>
  <c r="EG55" i="1"/>
  <c r="EG56" i="1"/>
  <c r="EG57" i="1"/>
  <c r="EG58" i="1"/>
  <c r="EG59" i="1"/>
  <c r="EG60" i="1"/>
  <c r="EG61" i="1"/>
  <c r="EG62" i="1"/>
  <c r="EG63" i="1"/>
  <c r="EG64" i="1"/>
  <c r="EG65" i="1"/>
  <c r="EE70" i="1"/>
  <c r="EE72" i="1"/>
  <c r="EE47" i="1"/>
  <c r="EE48" i="1"/>
  <c r="EE49" i="1"/>
  <c r="EE46" i="1"/>
  <c r="EE50" i="1"/>
  <c r="EE51" i="1"/>
  <c r="EE52" i="1"/>
  <c r="EE53" i="1"/>
  <c r="EE54" i="1"/>
  <c r="EE55" i="1"/>
  <c r="EE56" i="1"/>
  <c r="EE57" i="1"/>
  <c r="EE58" i="1"/>
  <c r="EE59" i="1"/>
  <c r="EE60" i="1"/>
  <c r="EE61" i="1"/>
  <c r="EE62" i="1"/>
  <c r="EE63" i="1"/>
  <c r="EE64" i="1"/>
  <c r="EE65" i="1"/>
  <c r="EC70" i="1"/>
  <c r="EC72" i="1"/>
  <c r="EC47" i="1"/>
  <c r="EC48" i="1"/>
  <c r="EC49" i="1"/>
  <c r="EC46" i="1"/>
  <c r="EC50" i="1"/>
  <c r="EC51" i="1"/>
  <c r="EC52" i="1"/>
  <c r="EC53" i="1"/>
  <c r="EC54" i="1"/>
  <c r="EC55" i="1"/>
  <c r="EC56" i="1"/>
  <c r="EC57" i="1"/>
  <c r="EC58" i="1"/>
  <c r="EC59" i="1"/>
  <c r="EC60" i="1"/>
  <c r="EC61" i="1"/>
  <c r="EC62" i="1"/>
  <c r="EC63" i="1"/>
  <c r="EC64" i="1"/>
  <c r="EC65" i="1"/>
  <c r="EA70" i="1"/>
  <c r="EA72" i="1"/>
  <c r="EA47" i="1"/>
  <c r="EA48" i="1"/>
  <c r="EA49" i="1"/>
  <c r="EA46" i="1"/>
  <c r="EA50" i="1"/>
  <c r="EA51" i="1"/>
  <c r="EA52" i="1"/>
  <c r="EA53" i="1"/>
  <c r="EA54" i="1"/>
  <c r="EA55" i="1"/>
  <c r="EA56" i="1"/>
  <c r="EA57" i="1"/>
  <c r="EA58" i="1"/>
  <c r="EA59" i="1"/>
  <c r="EA60" i="1"/>
  <c r="EA61" i="1"/>
  <c r="EA62" i="1"/>
  <c r="EA63" i="1"/>
  <c r="EA64" i="1"/>
  <c r="EA65" i="1"/>
  <c r="DY70" i="1"/>
  <c r="DY72" i="1"/>
  <c r="DY47" i="1"/>
  <c r="DY48" i="1"/>
  <c r="DY49" i="1"/>
  <c r="DY46" i="1"/>
  <c r="DY50" i="1"/>
  <c r="DY51" i="1"/>
  <c r="DY52" i="1"/>
  <c r="DY53" i="1"/>
  <c r="DY54" i="1"/>
  <c r="DY55" i="1"/>
  <c r="DY56" i="1"/>
  <c r="DY57" i="1"/>
  <c r="DY58" i="1"/>
  <c r="DY59" i="1"/>
  <c r="DY60" i="1"/>
  <c r="DY61" i="1"/>
  <c r="DY62" i="1"/>
  <c r="DY63" i="1"/>
  <c r="DY64" i="1"/>
  <c r="DY65" i="1"/>
  <c r="DW70" i="1"/>
  <c r="DW72" i="1"/>
  <c r="DW47" i="1"/>
  <c r="DW48" i="1"/>
  <c r="DW49" i="1"/>
  <c r="DW46" i="1"/>
  <c r="DW50" i="1"/>
  <c r="DW51" i="1"/>
  <c r="DW52" i="1"/>
  <c r="DW53" i="1"/>
  <c r="DW54" i="1"/>
  <c r="DW55" i="1"/>
  <c r="DW56" i="1"/>
  <c r="DW57" i="1"/>
  <c r="DW58" i="1"/>
  <c r="DW59" i="1"/>
  <c r="DW60" i="1"/>
  <c r="DW61" i="1"/>
  <c r="DW62" i="1"/>
  <c r="DW63" i="1"/>
  <c r="DW64" i="1"/>
  <c r="DW65" i="1"/>
  <c r="DU70" i="1"/>
  <c r="DU72" i="1"/>
  <c r="DU47" i="1"/>
  <c r="DU48" i="1"/>
  <c r="DU49" i="1"/>
  <c r="DU46" i="1"/>
  <c r="DU50" i="1"/>
  <c r="DU51" i="1"/>
  <c r="DU52" i="1"/>
  <c r="DU53" i="1"/>
  <c r="DU54" i="1"/>
  <c r="DU55" i="1"/>
  <c r="DU56" i="1"/>
  <c r="DU57" i="1"/>
  <c r="DU58" i="1"/>
  <c r="DU59" i="1"/>
  <c r="DU60" i="1"/>
  <c r="DU61" i="1"/>
  <c r="DU62" i="1"/>
  <c r="DU63" i="1"/>
  <c r="DU64" i="1"/>
  <c r="DU65" i="1"/>
  <c r="DS70" i="1"/>
  <c r="DS72" i="1"/>
  <c r="DS47" i="1"/>
  <c r="DS48" i="1"/>
  <c r="DS49" i="1"/>
  <c r="DS46" i="1"/>
  <c r="DS50" i="1"/>
  <c r="DS51" i="1"/>
  <c r="DS52" i="1"/>
  <c r="DS53" i="1"/>
  <c r="DS54" i="1"/>
  <c r="DS55" i="1"/>
  <c r="DS56" i="1"/>
  <c r="DS57" i="1"/>
  <c r="DS58" i="1"/>
  <c r="DS59" i="1"/>
  <c r="DS60" i="1"/>
  <c r="DS61" i="1"/>
  <c r="DS62" i="1"/>
  <c r="DS63" i="1"/>
  <c r="DS64" i="1"/>
  <c r="DS65" i="1"/>
  <c r="DQ70" i="1"/>
  <c r="DQ72" i="1"/>
  <c r="DQ47" i="1"/>
  <c r="DQ48" i="1"/>
  <c r="DQ49" i="1"/>
  <c r="DQ46" i="1"/>
  <c r="DQ50" i="1"/>
  <c r="DQ51" i="1"/>
  <c r="DQ52" i="1"/>
  <c r="DQ53" i="1"/>
  <c r="DQ54" i="1"/>
  <c r="DQ55" i="1"/>
  <c r="DQ56" i="1"/>
  <c r="DQ57" i="1"/>
  <c r="DQ58" i="1"/>
  <c r="DQ59" i="1"/>
  <c r="DQ60" i="1"/>
  <c r="DQ61" i="1"/>
  <c r="DQ62" i="1"/>
  <c r="DQ63" i="1"/>
  <c r="DQ64" i="1"/>
  <c r="DQ65" i="1"/>
  <c r="DO70" i="1"/>
  <c r="DO72" i="1"/>
  <c r="DO47" i="1"/>
  <c r="DO48" i="1"/>
  <c r="DO49" i="1"/>
  <c r="DO46" i="1"/>
  <c r="DO50" i="1"/>
  <c r="DO51" i="1"/>
  <c r="DO52" i="1"/>
  <c r="DO53" i="1"/>
  <c r="DO54" i="1"/>
  <c r="DO55" i="1"/>
  <c r="DO56" i="1"/>
  <c r="DO57" i="1"/>
  <c r="DO58" i="1"/>
  <c r="DO59" i="1"/>
  <c r="DO60" i="1"/>
  <c r="DO61" i="1"/>
  <c r="DO62" i="1"/>
  <c r="DO63" i="1"/>
  <c r="DO64" i="1"/>
  <c r="DO65" i="1"/>
  <c r="DM70" i="1"/>
  <c r="DM72" i="1"/>
  <c r="DM47" i="1"/>
  <c r="DM48" i="1"/>
  <c r="DM49" i="1"/>
  <c r="DM46" i="1"/>
  <c r="DM50" i="1"/>
  <c r="DM51" i="1"/>
  <c r="DM52" i="1"/>
  <c r="DM53" i="1"/>
  <c r="DM54" i="1"/>
  <c r="DM55" i="1"/>
  <c r="DM56" i="1"/>
  <c r="DM57" i="1"/>
  <c r="DM58" i="1"/>
  <c r="DM59" i="1"/>
  <c r="DM60" i="1"/>
  <c r="DM61" i="1"/>
  <c r="DM62" i="1"/>
  <c r="DM63" i="1"/>
  <c r="DM64" i="1"/>
  <c r="DM65" i="1"/>
  <c r="DK70" i="1"/>
  <c r="DK72" i="1"/>
  <c r="DK47" i="1"/>
  <c r="DK48" i="1"/>
  <c r="DK49" i="1"/>
  <c r="DK46" i="1"/>
  <c r="DK50" i="1"/>
  <c r="DK51" i="1"/>
  <c r="DK52" i="1"/>
  <c r="DK53" i="1"/>
  <c r="DK54" i="1"/>
  <c r="DK55" i="1"/>
  <c r="DK56" i="1"/>
  <c r="DK57" i="1"/>
  <c r="DK58" i="1"/>
  <c r="DK59" i="1"/>
  <c r="DK60" i="1"/>
  <c r="DK61" i="1"/>
  <c r="DK62" i="1"/>
  <c r="DK63" i="1"/>
  <c r="DK64" i="1"/>
  <c r="DK65" i="1"/>
  <c r="DI70" i="1"/>
  <c r="DI72" i="1"/>
  <c r="DI47" i="1"/>
  <c r="DI48" i="1"/>
  <c r="DI49" i="1"/>
  <c r="DI46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G70" i="1"/>
  <c r="DG72" i="1"/>
  <c r="DG47" i="1"/>
  <c r="DG48" i="1"/>
  <c r="DG49" i="1"/>
  <c r="DG46" i="1"/>
  <c r="DG50" i="1"/>
  <c r="DG51" i="1"/>
  <c r="DG52" i="1"/>
  <c r="DG53" i="1"/>
  <c r="DG54" i="1"/>
  <c r="DG55" i="1"/>
  <c r="DG56" i="1"/>
  <c r="DG57" i="1"/>
  <c r="DG58" i="1"/>
  <c r="DG59" i="1"/>
  <c r="DG60" i="1"/>
  <c r="DG61" i="1"/>
  <c r="DG62" i="1"/>
  <c r="DG63" i="1"/>
  <c r="DG64" i="1"/>
  <c r="DG65" i="1"/>
  <c r="DE70" i="1"/>
  <c r="DE72" i="1"/>
  <c r="DE47" i="1"/>
  <c r="DE48" i="1"/>
  <c r="DE49" i="1"/>
  <c r="DE46" i="1"/>
  <c r="DE50" i="1"/>
  <c r="DE51" i="1"/>
  <c r="DE52" i="1"/>
  <c r="DE53" i="1"/>
  <c r="DE54" i="1"/>
  <c r="DE55" i="1"/>
  <c r="DE56" i="1"/>
  <c r="DE57" i="1"/>
  <c r="DE58" i="1"/>
  <c r="DE59" i="1"/>
  <c r="DE60" i="1"/>
  <c r="DE61" i="1"/>
  <c r="DE62" i="1"/>
  <c r="DE63" i="1"/>
  <c r="DE64" i="1"/>
  <c r="DE65" i="1"/>
  <c r="DC70" i="1"/>
  <c r="DC72" i="1"/>
  <c r="DC47" i="1"/>
  <c r="DC48" i="1"/>
  <c r="DC49" i="1"/>
  <c r="DC46" i="1"/>
  <c r="DC50" i="1"/>
  <c r="DC51" i="1"/>
  <c r="DC52" i="1"/>
  <c r="DC53" i="1"/>
  <c r="DC54" i="1"/>
  <c r="DC55" i="1"/>
  <c r="DC56" i="1"/>
  <c r="DC57" i="1"/>
  <c r="DC58" i="1"/>
  <c r="DC59" i="1"/>
  <c r="DC60" i="1"/>
  <c r="DC61" i="1"/>
  <c r="DC62" i="1"/>
  <c r="DC63" i="1"/>
  <c r="DC64" i="1"/>
  <c r="DC65" i="1"/>
  <c r="DA70" i="1"/>
  <c r="DA72" i="1"/>
  <c r="DA47" i="1"/>
  <c r="DA48" i="1"/>
  <c r="DA49" i="1"/>
  <c r="DA46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CY70" i="1"/>
  <c r="CY72" i="1"/>
  <c r="CY47" i="1"/>
  <c r="CY48" i="1"/>
  <c r="CY49" i="1"/>
  <c r="CY46" i="1"/>
  <c r="CY50" i="1"/>
  <c r="CY51" i="1"/>
  <c r="CY52" i="1"/>
  <c r="CY53" i="1"/>
  <c r="CY54" i="1"/>
  <c r="CY55" i="1"/>
  <c r="CY56" i="1"/>
  <c r="CY57" i="1"/>
  <c r="CY58" i="1"/>
  <c r="CY59" i="1"/>
  <c r="CY60" i="1"/>
  <c r="CY61" i="1"/>
  <c r="CY62" i="1"/>
  <c r="CY63" i="1"/>
  <c r="CY64" i="1"/>
  <c r="CY65" i="1"/>
  <c r="CW70" i="1"/>
  <c r="CW72" i="1"/>
  <c r="CW47" i="1"/>
  <c r="CW48" i="1"/>
  <c r="CW49" i="1"/>
  <c r="CW46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U70" i="1"/>
  <c r="CU72" i="1"/>
  <c r="CU47" i="1"/>
  <c r="CU48" i="1"/>
  <c r="CU49" i="1"/>
  <c r="CU46" i="1"/>
  <c r="CU50" i="1"/>
  <c r="CU51" i="1"/>
  <c r="CU52" i="1"/>
  <c r="CU53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S70" i="1"/>
  <c r="CS72" i="1"/>
  <c r="CS47" i="1"/>
  <c r="CS48" i="1"/>
  <c r="CS49" i="1"/>
  <c r="CS46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Q70" i="1"/>
  <c r="CQ72" i="1"/>
  <c r="CQ47" i="1"/>
  <c r="CQ48" i="1"/>
  <c r="CQ49" i="1"/>
  <c r="CQ46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O70" i="1"/>
  <c r="CO72" i="1"/>
  <c r="CO47" i="1"/>
  <c r="CO48" i="1"/>
  <c r="CO49" i="1"/>
  <c r="CO46" i="1"/>
  <c r="CO50" i="1"/>
  <c r="CO51" i="1"/>
  <c r="CO52" i="1"/>
  <c r="CO53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M70" i="1"/>
  <c r="CM72" i="1"/>
  <c r="CM47" i="1"/>
  <c r="CM48" i="1"/>
  <c r="CM49" i="1"/>
  <c r="CM46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K70" i="1"/>
  <c r="CK72" i="1"/>
  <c r="CK47" i="1"/>
  <c r="CK48" i="1"/>
  <c r="CK49" i="1"/>
  <c r="CK46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I70" i="1"/>
  <c r="CI72" i="1"/>
  <c r="CI47" i="1"/>
  <c r="CI48" i="1"/>
  <c r="CI49" i="1"/>
  <c r="CI46" i="1"/>
  <c r="CI50" i="1"/>
  <c r="CI51" i="1"/>
  <c r="CI52" i="1"/>
  <c r="CI53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G70" i="1"/>
  <c r="CG72" i="1"/>
  <c r="CG47" i="1"/>
  <c r="CG48" i="1"/>
  <c r="CG49" i="1"/>
  <c r="CG46" i="1"/>
  <c r="CG50" i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E70" i="1"/>
  <c r="CE72" i="1"/>
  <c r="CE47" i="1"/>
  <c r="CE48" i="1"/>
  <c r="CE49" i="1"/>
  <c r="CE46" i="1"/>
  <c r="CE50" i="1"/>
  <c r="CE51" i="1"/>
  <c r="CE52" i="1"/>
  <c r="CE53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C70" i="1"/>
  <c r="CC72" i="1"/>
  <c r="CC47" i="1"/>
  <c r="CC48" i="1"/>
  <c r="CC49" i="1"/>
  <c r="CC46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A70" i="1"/>
  <c r="CA72" i="1"/>
  <c r="CA47" i="1"/>
  <c r="CA48" i="1"/>
  <c r="CA49" i="1"/>
  <c r="CA46" i="1"/>
  <c r="CA50" i="1"/>
  <c r="CA51" i="1"/>
  <c r="CA52" i="1"/>
  <c r="CA5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BY70" i="1"/>
  <c r="BY72" i="1"/>
  <c r="BY47" i="1"/>
  <c r="BY48" i="1"/>
  <c r="BY49" i="1"/>
  <c r="BY46" i="1"/>
  <c r="BY50" i="1"/>
  <c r="BY51" i="1"/>
  <c r="BY52" i="1"/>
  <c r="BY53" i="1"/>
  <c r="BY54" i="1"/>
  <c r="BY55" i="1"/>
  <c r="BY56" i="1"/>
  <c r="BY57" i="1"/>
  <c r="BY58" i="1"/>
  <c r="BY59" i="1"/>
  <c r="BY60" i="1"/>
  <c r="BY61" i="1"/>
  <c r="BY62" i="1"/>
  <c r="BY63" i="1"/>
  <c r="BY64" i="1"/>
  <c r="BY65" i="1"/>
  <c r="BW70" i="1"/>
  <c r="BW72" i="1"/>
  <c r="BW47" i="1"/>
  <c r="BW48" i="1"/>
  <c r="BW49" i="1"/>
  <c r="BW46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U70" i="1"/>
  <c r="BU72" i="1"/>
  <c r="BU47" i="1"/>
  <c r="BU48" i="1"/>
  <c r="BU49" i="1"/>
  <c r="BU46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S70" i="1"/>
  <c r="BS72" i="1"/>
  <c r="BS47" i="1"/>
  <c r="BS48" i="1"/>
  <c r="BS49" i="1"/>
  <c r="BS46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Q70" i="1"/>
  <c r="BQ72" i="1"/>
  <c r="BQ47" i="1"/>
  <c r="BQ48" i="1"/>
  <c r="BQ49" i="1"/>
  <c r="BQ46" i="1"/>
  <c r="BQ50" i="1"/>
  <c r="BQ51" i="1"/>
  <c r="BQ52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O70" i="1"/>
  <c r="BO72" i="1"/>
  <c r="BO47" i="1"/>
  <c r="BO48" i="1"/>
  <c r="BO49" i="1"/>
  <c r="BO46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M70" i="1"/>
  <c r="BM72" i="1"/>
  <c r="BM47" i="1"/>
  <c r="BM48" i="1"/>
  <c r="BM49" i="1"/>
  <c r="BM46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K70" i="1"/>
  <c r="BK72" i="1"/>
  <c r="BK47" i="1"/>
  <c r="BK48" i="1"/>
  <c r="BK49" i="1"/>
  <c r="BK46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I70" i="1"/>
  <c r="BI72" i="1"/>
  <c r="BI47" i="1"/>
  <c r="BI48" i="1"/>
  <c r="BI49" i="1"/>
  <c r="BI46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G70" i="1"/>
  <c r="BG72" i="1"/>
  <c r="BG47" i="1"/>
  <c r="BG48" i="1"/>
  <c r="BG49" i="1"/>
  <c r="BG46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GU45" i="1"/>
  <c r="GU73" i="1" s="1"/>
  <c r="C77" i="1" l="1"/>
  <c r="C94" i="1"/>
  <c r="BW78" i="1"/>
  <c r="BW80" i="1"/>
  <c r="BW81" i="1"/>
  <c r="BW79" i="1"/>
  <c r="BM81" i="1"/>
  <c r="BM80" i="1"/>
  <c r="BM78" i="1"/>
  <c r="BM79" i="1"/>
  <c r="CC79" i="1"/>
  <c r="CC78" i="1"/>
  <c r="CC81" i="1"/>
  <c r="CC80" i="1"/>
  <c r="DA80" i="1"/>
  <c r="DA78" i="1"/>
  <c r="DA79" i="1"/>
  <c r="DA81" i="1"/>
  <c r="DQ78" i="1"/>
  <c r="DQ81" i="1"/>
  <c r="DQ79" i="1"/>
  <c r="DQ80" i="1"/>
  <c r="EG80" i="1"/>
  <c r="EG81" i="1"/>
  <c r="EG78" i="1"/>
  <c r="EG79" i="1"/>
  <c r="EW79" i="1"/>
  <c r="EW81" i="1"/>
  <c r="EW80" i="1"/>
  <c r="EW78" i="1"/>
  <c r="FM80" i="1"/>
  <c r="FM78" i="1"/>
  <c r="FM79" i="1"/>
  <c r="FM81" i="1"/>
  <c r="GC78" i="1"/>
  <c r="GC80" i="1"/>
  <c r="GC81" i="1"/>
  <c r="GC79" i="1"/>
  <c r="GS80" i="1"/>
  <c r="GS81" i="1"/>
  <c r="GS79" i="1"/>
  <c r="GS78" i="1"/>
  <c r="W78" i="1"/>
  <c r="W79" i="1"/>
  <c r="W80" i="1"/>
  <c r="W81" i="1"/>
  <c r="BN79" i="1"/>
  <c r="BN78" i="1"/>
  <c r="BN80" i="1"/>
  <c r="BN81" i="1"/>
  <c r="CD79" i="1"/>
  <c r="CD78" i="1"/>
  <c r="CD81" i="1"/>
  <c r="CD80" i="1"/>
  <c r="DB79" i="1"/>
  <c r="DB78" i="1"/>
  <c r="DB80" i="1"/>
  <c r="DB81" i="1"/>
  <c r="DZ78" i="1"/>
  <c r="DZ79" i="1"/>
  <c r="DZ80" i="1"/>
  <c r="DZ81" i="1"/>
  <c r="EP81" i="1"/>
  <c r="EP78" i="1"/>
  <c r="EP79" i="1"/>
  <c r="EP80" i="1"/>
  <c r="FF81" i="1"/>
  <c r="FF80" i="1"/>
  <c r="FF78" i="1"/>
  <c r="FF79" i="1"/>
  <c r="FV79" i="1"/>
  <c r="FV80" i="1"/>
  <c r="FV78" i="1"/>
  <c r="FV81" i="1"/>
  <c r="GT79" i="1"/>
  <c r="GT80" i="1"/>
  <c r="GT78" i="1"/>
  <c r="GT81" i="1"/>
  <c r="AT78" i="1"/>
  <c r="AT79" i="1"/>
  <c r="AT80" i="1"/>
  <c r="AT81" i="1"/>
  <c r="AD78" i="1"/>
  <c r="AD79" i="1"/>
  <c r="AD80" i="1"/>
  <c r="AD81" i="1"/>
  <c r="F78" i="1"/>
  <c r="F79" i="1"/>
  <c r="F80" i="1"/>
  <c r="F81" i="1"/>
  <c r="AY78" i="1"/>
  <c r="AY80" i="1"/>
  <c r="AY79" i="1"/>
  <c r="AY81" i="1"/>
  <c r="Q79" i="1"/>
  <c r="Q78" i="1"/>
  <c r="Q80" i="1"/>
  <c r="Q81" i="1"/>
  <c r="C80" i="1"/>
  <c r="C78" i="1"/>
  <c r="C79" i="1"/>
  <c r="C81" i="1"/>
  <c r="BU80" i="1"/>
  <c r="BU79" i="1"/>
  <c r="BU78" i="1"/>
  <c r="BU81" i="1"/>
  <c r="CK81" i="1"/>
  <c r="CK80" i="1"/>
  <c r="CK78" i="1"/>
  <c r="CK79" i="1"/>
  <c r="CS79" i="1"/>
  <c r="CS80" i="1"/>
  <c r="CS81" i="1"/>
  <c r="CS78" i="1"/>
  <c r="DI79" i="1"/>
  <c r="DI80" i="1"/>
  <c r="DI78" i="1"/>
  <c r="DI81" i="1"/>
  <c r="DY80" i="1"/>
  <c r="DY78" i="1"/>
  <c r="DY79" i="1"/>
  <c r="DY81" i="1"/>
  <c r="EO79" i="1"/>
  <c r="EO78" i="1"/>
  <c r="EO81" i="1"/>
  <c r="EO80" i="1"/>
  <c r="FE80" i="1"/>
  <c r="FE79" i="1"/>
  <c r="FE78" i="1"/>
  <c r="FE81" i="1"/>
  <c r="FU79" i="1"/>
  <c r="FU80" i="1"/>
  <c r="FU78" i="1"/>
  <c r="FU81" i="1"/>
  <c r="GK78" i="1"/>
  <c r="GK79" i="1"/>
  <c r="GK80" i="1"/>
  <c r="GK81" i="1"/>
  <c r="AO80" i="1"/>
  <c r="AO78" i="1"/>
  <c r="AO79" i="1"/>
  <c r="AO81" i="1"/>
  <c r="G78" i="1"/>
  <c r="G79" i="1"/>
  <c r="G80" i="1"/>
  <c r="G81" i="1"/>
  <c r="BV81" i="1"/>
  <c r="BV79" i="1"/>
  <c r="BV78" i="1"/>
  <c r="BV80" i="1"/>
  <c r="CL81" i="1"/>
  <c r="CL80" i="1"/>
  <c r="CL78" i="1"/>
  <c r="CL79" i="1"/>
  <c r="CT81" i="1"/>
  <c r="CT79" i="1"/>
  <c r="CT80" i="1"/>
  <c r="CT78" i="1"/>
  <c r="DJ79" i="1"/>
  <c r="DJ80" i="1"/>
  <c r="DJ78" i="1"/>
  <c r="DJ81" i="1"/>
  <c r="DR78" i="1"/>
  <c r="DR80" i="1"/>
  <c r="DR81" i="1"/>
  <c r="DR79" i="1"/>
  <c r="EH80" i="1"/>
  <c r="EH78" i="1"/>
  <c r="EH79" i="1"/>
  <c r="EH81" i="1"/>
  <c r="EX79" i="1"/>
  <c r="EX81" i="1"/>
  <c r="EX80" i="1"/>
  <c r="EX78" i="1"/>
  <c r="FN78" i="1"/>
  <c r="FN79" i="1"/>
  <c r="FN81" i="1"/>
  <c r="FN80" i="1"/>
  <c r="GD78" i="1"/>
  <c r="GD80" i="1"/>
  <c r="GD79" i="1"/>
  <c r="GD81" i="1"/>
  <c r="GL79" i="1"/>
  <c r="GL78" i="1"/>
  <c r="GL81" i="1"/>
  <c r="GL80" i="1"/>
  <c r="AX80" i="1"/>
  <c r="AX81" i="1"/>
  <c r="AX78" i="1"/>
  <c r="AX79" i="1"/>
  <c r="AL78" i="1"/>
  <c r="AL79" i="1"/>
  <c r="AL80" i="1"/>
  <c r="AL81" i="1"/>
  <c r="V78" i="1"/>
  <c r="V79" i="1"/>
  <c r="V80" i="1"/>
  <c r="V81" i="1"/>
  <c r="N78" i="1"/>
  <c r="N79" i="1"/>
  <c r="N80" i="1"/>
  <c r="N81" i="1"/>
  <c r="CE78" i="1"/>
  <c r="CE80" i="1"/>
  <c r="CE81" i="1"/>
  <c r="CE79" i="1"/>
  <c r="BK78" i="1"/>
  <c r="BK79" i="1"/>
  <c r="BK80" i="1"/>
  <c r="BK81" i="1"/>
  <c r="CA78" i="1"/>
  <c r="CA79" i="1"/>
  <c r="CA80" i="1"/>
  <c r="CA81" i="1"/>
  <c r="CQ78" i="1"/>
  <c r="CQ79" i="1"/>
  <c r="CQ80" i="1"/>
  <c r="CQ81" i="1"/>
  <c r="DG78" i="1"/>
  <c r="DG79" i="1"/>
  <c r="DG80" i="1"/>
  <c r="DG81" i="1"/>
  <c r="DW78" i="1"/>
  <c r="DW79" i="1"/>
  <c r="DW80" i="1"/>
  <c r="DW81" i="1"/>
  <c r="EM78" i="1"/>
  <c r="EM79" i="1"/>
  <c r="EM80" i="1"/>
  <c r="EM81" i="1"/>
  <c r="FC78" i="1"/>
  <c r="FC79" i="1"/>
  <c r="FC80" i="1"/>
  <c r="FC81" i="1"/>
  <c r="FS78" i="1"/>
  <c r="FS79" i="1"/>
  <c r="FS80" i="1"/>
  <c r="FS81" i="1"/>
  <c r="GI78" i="1"/>
  <c r="GI79" i="1"/>
  <c r="GI80" i="1"/>
  <c r="GI81" i="1"/>
  <c r="AQ78" i="1"/>
  <c r="AQ81" i="1"/>
  <c r="AQ79" i="1"/>
  <c r="AQ80" i="1"/>
  <c r="K78" i="1"/>
  <c r="K81" i="1"/>
  <c r="K79" i="1"/>
  <c r="K80" i="1"/>
  <c r="BT79" i="1"/>
  <c r="BT81" i="1"/>
  <c r="BT78" i="1"/>
  <c r="BT80" i="1"/>
  <c r="CJ80" i="1"/>
  <c r="CJ78" i="1"/>
  <c r="CJ79" i="1"/>
  <c r="CJ81" i="1"/>
  <c r="CZ78" i="1"/>
  <c r="CZ80" i="1"/>
  <c r="CZ79" i="1"/>
  <c r="CZ81" i="1"/>
  <c r="DP79" i="1"/>
  <c r="DP81" i="1"/>
  <c r="DP78" i="1"/>
  <c r="DP80" i="1"/>
  <c r="EF80" i="1"/>
  <c r="EF81" i="1"/>
  <c r="EF78" i="1"/>
  <c r="EF79" i="1"/>
  <c r="EV78" i="1"/>
  <c r="EV80" i="1"/>
  <c r="EV81" i="1"/>
  <c r="EV79" i="1"/>
  <c r="FL78" i="1"/>
  <c r="FL79" i="1"/>
  <c r="FL81" i="1"/>
  <c r="FL80" i="1"/>
  <c r="GB79" i="1"/>
  <c r="GB78" i="1"/>
  <c r="GB81" i="1"/>
  <c r="GB80" i="1"/>
  <c r="GR81" i="1"/>
  <c r="GR80" i="1"/>
  <c r="GR78" i="1"/>
  <c r="GR79" i="1"/>
  <c r="AU78" i="1"/>
  <c r="AU79" i="1"/>
  <c r="AU80" i="1"/>
  <c r="AU81" i="1"/>
  <c r="AF78" i="1"/>
  <c r="AF80" i="1"/>
  <c r="AF79" i="1"/>
  <c r="AF81" i="1"/>
  <c r="P78" i="1"/>
  <c r="P80" i="1"/>
  <c r="P81" i="1"/>
  <c r="P79" i="1"/>
  <c r="BA78" i="1"/>
  <c r="BA79" i="1"/>
  <c r="BA81" i="1"/>
  <c r="BA80" i="1"/>
  <c r="AK78" i="1"/>
  <c r="AK79" i="1"/>
  <c r="AK80" i="1"/>
  <c r="AK81" i="1"/>
  <c r="BG78" i="1"/>
  <c r="BG81" i="1"/>
  <c r="BG79" i="1"/>
  <c r="BG80" i="1"/>
  <c r="CM78" i="1"/>
  <c r="CM81" i="1"/>
  <c r="CM80" i="1"/>
  <c r="CM79" i="1"/>
  <c r="BS78" i="1"/>
  <c r="BS79" i="1"/>
  <c r="BS80" i="1"/>
  <c r="BS81" i="1"/>
  <c r="CI78" i="1"/>
  <c r="CI79" i="1"/>
  <c r="CI80" i="1"/>
  <c r="CI81" i="1"/>
  <c r="CY78" i="1"/>
  <c r="CY79" i="1"/>
  <c r="CY80" i="1"/>
  <c r="CY81" i="1"/>
  <c r="DO78" i="1"/>
  <c r="DO79" i="1"/>
  <c r="DO80" i="1"/>
  <c r="DO81" i="1"/>
  <c r="EE78" i="1"/>
  <c r="EE79" i="1"/>
  <c r="EE80" i="1"/>
  <c r="EE81" i="1"/>
  <c r="EU78" i="1"/>
  <c r="EU79" i="1"/>
  <c r="EU80" i="1"/>
  <c r="EU81" i="1"/>
  <c r="FK78" i="1"/>
  <c r="FK79" i="1"/>
  <c r="FK80" i="1"/>
  <c r="FK81" i="1"/>
  <c r="GA78" i="1"/>
  <c r="GA79" i="1"/>
  <c r="GA80" i="1"/>
  <c r="GA81" i="1"/>
  <c r="GQ78" i="1"/>
  <c r="GQ79" i="1"/>
  <c r="GQ80" i="1"/>
  <c r="GQ81" i="1"/>
  <c r="AA78" i="1"/>
  <c r="AA79" i="1"/>
  <c r="AA80" i="1"/>
  <c r="AA81" i="1"/>
  <c r="BL78" i="1"/>
  <c r="BL80" i="1"/>
  <c r="BL81" i="1"/>
  <c r="BL79" i="1"/>
  <c r="CB78" i="1"/>
  <c r="CB81" i="1"/>
  <c r="CB80" i="1"/>
  <c r="CB79" i="1"/>
  <c r="CR78" i="1"/>
  <c r="CR80" i="1"/>
  <c r="CR81" i="1"/>
  <c r="CR79" i="1"/>
  <c r="DH78" i="1"/>
  <c r="DH79" i="1"/>
  <c r="DH80" i="1"/>
  <c r="DH81" i="1"/>
  <c r="DX78" i="1"/>
  <c r="DX79" i="1"/>
  <c r="DX80" i="1"/>
  <c r="DX81" i="1"/>
  <c r="EN78" i="1"/>
  <c r="EN81" i="1"/>
  <c r="EN79" i="1"/>
  <c r="EN80" i="1"/>
  <c r="FD78" i="1"/>
  <c r="FD79" i="1"/>
  <c r="FD80" i="1"/>
  <c r="FD81" i="1"/>
  <c r="FT78" i="1"/>
  <c r="FT80" i="1"/>
  <c r="FT81" i="1"/>
  <c r="FT79" i="1"/>
  <c r="GJ78" i="1"/>
  <c r="GJ79" i="1"/>
  <c r="GJ81" i="1"/>
  <c r="GJ80" i="1"/>
  <c r="BF81" i="1"/>
  <c r="BF79" i="1"/>
  <c r="BF78" i="1"/>
  <c r="BF80" i="1"/>
  <c r="AN78" i="1"/>
  <c r="AN79" i="1"/>
  <c r="AN80" i="1"/>
  <c r="AN81" i="1"/>
  <c r="X79" i="1"/>
  <c r="X81" i="1"/>
  <c r="X78" i="1"/>
  <c r="X80" i="1"/>
  <c r="H79" i="1"/>
  <c r="H80" i="1"/>
  <c r="H78" i="1"/>
  <c r="H81" i="1"/>
  <c r="U78" i="1"/>
  <c r="U79" i="1"/>
  <c r="U81" i="1"/>
  <c r="U80" i="1"/>
  <c r="E78" i="1"/>
  <c r="E79" i="1"/>
  <c r="E80" i="1"/>
  <c r="E81" i="1"/>
  <c r="BI78" i="1"/>
  <c r="BI79" i="1"/>
  <c r="BI80" i="1"/>
  <c r="BI81" i="1"/>
  <c r="BQ78" i="1"/>
  <c r="BQ79" i="1"/>
  <c r="BQ81" i="1"/>
  <c r="BQ80" i="1"/>
  <c r="BY78" i="1"/>
  <c r="BY79" i="1"/>
  <c r="BY80" i="1"/>
  <c r="BY81" i="1"/>
  <c r="CW78" i="1"/>
  <c r="CW79" i="1"/>
  <c r="CW81" i="1"/>
  <c r="CW80" i="1"/>
  <c r="DM78" i="1"/>
  <c r="DM79" i="1"/>
  <c r="DM81" i="1"/>
  <c r="DM80" i="1"/>
  <c r="EC78" i="1"/>
  <c r="EC79" i="1"/>
  <c r="EC81" i="1"/>
  <c r="EC80" i="1"/>
  <c r="ES78" i="1"/>
  <c r="ES80" i="1"/>
  <c r="ES81" i="1"/>
  <c r="ES79" i="1"/>
  <c r="FI78" i="1"/>
  <c r="FI79" i="1"/>
  <c r="FI81" i="1"/>
  <c r="FI80" i="1"/>
  <c r="FY78" i="1"/>
  <c r="FY81" i="1"/>
  <c r="FY79" i="1"/>
  <c r="FY80" i="1"/>
  <c r="GO78" i="1"/>
  <c r="GO79" i="1"/>
  <c r="GO80" i="1"/>
  <c r="GO81" i="1"/>
  <c r="AE78" i="1"/>
  <c r="AE79" i="1"/>
  <c r="AE80" i="1"/>
  <c r="AE81" i="1"/>
  <c r="BJ78" i="1"/>
  <c r="BJ79" i="1"/>
  <c r="BJ80" i="1"/>
  <c r="BJ81" i="1"/>
  <c r="BZ78" i="1"/>
  <c r="BZ79" i="1"/>
  <c r="BZ80" i="1"/>
  <c r="BZ81" i="1"/>
  <c r="CP78" i="1"/>
  <c r="CP79" i="1"/>
  <c r="CP80" i="1"/>
  <c r="CP81" i="1"/>
  <c r="DF78" i="1"/>
  <c r="DF79" i="1"/>
  <c r="DF80" i="1"/>
  <c r="DF81" i="1"/>
  <c r="DV78" i="1"/>
  <c r="DV79" i="1"/>
  <c r="DV80" i="1"/>
  <c r="DV81" i="1"/>
  <c r="EL78" i="1"/>
  <c r="EL79" i="1"/>
  <c r="EL80" i="1"/>
  <c r="EL81" i="1"/>
  <c r="FB78" i="1"/>
  <c r="FB79" i="1"/>
  <c r="FB80" i="1"/>
  <c r="FB81" i="1"/>
  <c r="FR78" i="1"/>
  <c r="FR79" i="1"/>
  <c r="FR80" i="1"/>
  <c r="FR81" i="1"/>
  <c r="FZ78" i="1"/>
  <c r="FZ79" i="1"/>
  <c r="FZ80" i="1"/>
  <c r="FZ81" i="1"/>
  <c r="GP78" i="1"/>
  <c r="GP79" i="1"/>
  <c r="GP80" i="1"/>
  <c r="GP81" i="1"/>
  <c r="BD79" i="1"/>
  <c r="BD80" i="1"/>
  <c r="BD78" i="1"/>
  <c r="BD81" i="1"/>
  <c r="AP79" i="1"/>
  <c r="AP78" i="1"/>
  <c r="AP80" i="1"/>
  <c r="AP81" i="1"/>
  <c r="Z80" i="1"/>
  <c r="Z81" i="1"/>
  <c r="Z79" i="1"/>
  <c r="Z78" i="1"/>
  <c r="J81" i="1"/>
  <c r="J79" i="1"/>
  <c r="J80" i="1"/>
  <c r="J78" i="1"/>
  <c r="AM78" i="1"/>
  <c r="AM79" i="1"/>
  <c r="AM80" i="1"/>
  <c r="AM81" i="1"/>
  <c r="Y79" i="1"/>
  <c r="Y81" i="1"/>
  <c r="Y78" i="1"/>
  <c r="Y80" i="1"/>
  <c r="I80" i="1"/>
  <c r="I81" i="1"/>
  <c r="I79" i="1"/>
  <c r="I78" i="1"/>
  <c r="CG78" i="1"/>
  <c r="CG79" i="1"/>
  <c r="CG81" i="1"/>
  <c r="CG80" i="1"/>
  <c r="CO78" i="1"/>
  <c r="CO79" i="1"/>
  <c r="CO80" i="1"/>
  <c r="CO81" i="1"/>
  <c r="DE78" i="1"/>
  <c r="DE79" i="1"/>
  <c r="DE81" i="1"/>
  <c r="DE80" i="1"/>
  <c r="DU78" i="1"/>
  <c r="DU79" i="1"/>
  <c r="DU80" i="1"/>
  <c r="DU81" i="1"/>
  <c r="EK78" i="1"/>
  <c r="EK79" i="1"/>
  <c r="EK80" i="1"/>
  <c r="EK81" i="1"/>
  <c r="FA78" i="1"/>
  <c r="FA80" i="1"/>
  <c r="FA79" i="1"/>
  <c r="FA81" i="1"/>
  <c r="FQ78" i="1"/>
  <c r="FQ81" i="1"/>
  <c r="FQ80" i="1"/>
  <c r="FQ79" i="1"/>
  <c r="GG78" i="1"/>
  <c r="GG80" i="1"/>
  <c r="GG79" i="1"/>
  <c r="GG81" i="1"/>
  <c r="AW81" i="1"/>
  <c r="AW78" i="1"/>
  <c r="AW79" i="1"/>
  <c r="AW80" i="1"/>
  <c r="O78" i="1"/>
  <c r="O79" i="1"/>
  <c r="O80" i="1"/>
  <c r="O81" i="1"/>
  <c r="BR78" i="1"/>
  <c r="BR79" i="1"/>
  <c r="BR80" i="1"/>
  <c r="BR81" i="1"/>
  <c r="CH78" i="1"/>
  <c r="CH79" i="1"/>
  <c r="CH80" i="1"/>
  <c r="CH81" i="1"/>
  <c r="CX78" i="1"/>
  <c r="CX79" i="1"/>
  <c r="CX80" i="1"/>
  <c r="CX81" i="1"/>
  <c r="DN78" i="1"/>
  <c r="DN79" i="1"/>
  <c r="DN80" i="1"/>
  <c r="DN81" i="1"/>
  <c r="ED78" i="1"/>
  <c r="ED79" i="1"/>
  <c r="ED80" i="1"/>
  <c r="ED81" i="1"/>
  <c r="ET78" i="1"/>
  <c r="ET79" i="1"/>
  <c r="ET80" i="1"/>
  <c r="ET81" i="1"/>
  <c r="FJ78" i="1"/>
  <c r="FJ79" i="1"/>
  <c r="FJ80" i="1"/>
  <c r="FJ81" i="1"/>
  <c r="GH78" i="1"/>
  <c r="GH79" i="1"/>
  <c r="GH80" i="1"/>
  <c r="GH81" i="1"/>
  <c r="AV78" i="1"/>
  <c r="AV81" i="1"/>
  <c r="AV79" i="1"/>
  <c r="AV80" i="1"/>
  <c r="AH81" i="1"/>
  <c r="AH80" i="1"/>
  <c r="AH79" i="1"/>
  <c r="AH78" i="1"/>
  <c r="R79" i="1"/>
  <c r="R78" i="1"/>
  <c r="R80" i="1"/>
  <c r="R81" i="1"/>
  <c r="BC78" i="1"/>
  <c r="BC79" i="1"/>
  <c r="BC80" i="1"/>
  <c r="BC81" i="1"/>
  <c r="BO78" i="1"/>
  <c r="BO79" i="1"/>
  <c r="BO80" i="1"/>
  <c r="BO81" i="1"/>
  <c r="CU78" i="1"/>
  <c r="CU81" i="1"/>
  <c r="CU80" i="1"/>
  <c r="CU79" i="1"/>
  <c r="DK78" i="1"/>
  <c r="DK80" i="1"/>
  <c r="DK81" i="1"/>
  <c r="DK79" i="1"/>
  <c r="EA78" i="1"/>
  <c r="EA79" i="1"/>
  <c r="EA81" i="1"/>
  <c r="EA80" i="1"/>
  <c r="EQ78" i="1"/>
  <c r="EQ80" i="1"/>
  <c r="EQ81" i="1"/>
  <c r="EQ79" i="1"/>
  <c r="EY78" i="1"/>
  <c r="EY79" i="1"/>
  <c r="EY81" i="1"/>
  <c r="EY80" i="1"/>
  <c r="FO78" i="1"/>
  <c r="FO81" i="1"/>
  <c r="FO79" i="1"/>
  <c r="FO80" i="1"/>
  <c r="GE78" i="1"/>
  <c r="GE79" i="1"/>
  <c r="GE81" i="1"/>
  <c r="GE80" i="1"/>
  <c r="BE78" i="1"/>
  <c r="BE79" i="1"/>
  <c r="BE80" i="1"/>
  <c r="BE81" i="1"/>
  <c r="S78" i="1"/>
  <c r="S80" i="1"/>
  <c r="S79" i="1"/>
  <c r="S81" i="1"/>
  <c r="BP79" i="1"/>
  <c r="BP78" i="1"/>
  <c r="BP80" i="1"/>
  <c r="BP81" i="1"/>
  <c r="CF78" i="1"/>
  <c r="CF79" i="1"/>
  <c r="CF81" i="1"/>
  <c r="CF80" i="1"/>
  <c r="CV78" i="1"/>
  <c r="CV79" i="1"/>
  <c r="CV80" i="1"/>
  <c r="CV81" i="1"/>
  <c r="DL80" i="1"/>
  <c r="DL79" i="1"/>
  <c r="DL81" i="1"/>
  <c r="DL78" i="1"/>
  <c r="EB78" i="1"/>
  <c r="EB79" i="1"/>
  <c r="EB81" i="1"/>
  <c r="EB80" i="1"/>
  <c r="ER80" i="1"/>
  <c r="ER78" i="1"/>
  <c r="ER79" i="1"/>
  <c r="ER81" i="1"/>
  <c r="FH78" i="1"/>
  <c r="FH79" i="1"/>
  <c r="FH81" i="1"/>
  <c r="FH80" i="1"/>
  <c r="FP78" i="1"/>
  <c r="FP80" i="1"/>
  <c r="FP81" i="1"/>
  <c r="FP79" i="1"/>
  <c r="BB78" i="1"/>
  <c r="BB79" i="1"/>
  <c r="BB80" i="1"/>
  <c r="BB81" i="1"/>
  <c r="AR78" i="1"/>
  <c r="AR79" i="1"/>
  <c r="AR80" i="1"/>
  <c r="AR81" i="1"/>
  <c r="T81" i="1"/>
  <c r="T78" i="1"/>
  <c r="T80" i="1"/>
  <c r="T79" i="1"/>
  <c r="D79" i="1"/>
  <c r="D80" i="1"/>
  <c r="D78" i="1"/>
  <c r="D81" i="1"/>
  <c r="AS78" i="1"/>
  <c r="AS79" i="1"/>
  <c r="AS81" i="1"/>
  <c r="AS80" i="1"/>
  <c r="DC78" i="1"/>
  <c r="DC81" i="1"/>
  <c r="DC80" i="1"/>
  <c r="DC79" i="1"/>
  <c r="DS78" i="1"/>
  <c r="DS81" i="1"/>
  <c r="DS80" i="1"/>
  <c r="DS79" i="1"/>
  <c r="EI78" i="1"/>
  <c r="EI81" i="1"/>
  <c r="EI79" i="1"/>
  <c r="EI80" i="1"/>
  <c r="FG78" i="1"/>
  <c r="FG81" i="1"/>
  <c r="FG80" i="1"/>
  <c r="FG79" i="1"/>
  <c r="FW78" i="1"/>
  <c r="FW80" i="1"/>
  <c r="FW81" i="1"/>
  <c r="FW79" i="1"/>
  <c r="GM78" i="1"/>
  <c r="GM81" i="1"/>
  <c r="GM79" i="1"/>
  <c r="GM80" i="1"/>
  <c r="AI78" i="1"/>
  <c r="AI81" i="1"/>
  <c r="AI80" i="1"/>
  <c r="AI79" i="1"/>
  <c r="BH78" i="1"/>
  <c r="BH81" i="1"/>
  <c r="BH79" i="1"/>
  <c r="BH80" i="1"/>
  <c r="BX78" i="1"/>
  <c r="BX80" i="1"/>
  <c r="BX79" i="1"/>
  <c r="BX81" i="1"/>
  <c r="CN78" i="1"/>
  <c r="CN79" i="1"/>
  <c r="CN81" i="1"/>
  <c r="CN80" i="1"/>
  <c r="DD78" i="1"/>
  <c r="DD81" i="1"/>
  <c r="DD80" i="1"/>
  <c r="DD79" i="1"/>
  <c r="DT78" i="1"/>
  <c r="DT79" i="1"/>
  <c r="DT80" i="1"/>
  <c r="DT81" i="1"/>
  <c r="EJ78" i="1"/>
  <c r="EJ79" i="1"/>
  <c r="EJ80" i="1"/>
  <c r="EJ81" i="1"/>
  <c r="EZ78" i="1"/>
  <c r="EZ79" i="1"/>
  <c r="EZ81" i="1"/>
  <c r="EZ80" i="1"/>
  <c r="FX79" i="1"/>
  <c r="FX78" i="1"/>
  <c r="FX80" i="1"/>
  <c r="FX81" i="1"/>
  <c r="GF78" i="1"/>
  <c r="GF80" i="1"/>
  <c r="GF79" i="1"/>
  <c r="GF81" i="1"/>
  <c r="GN80" i="1"/>
  <c r="GN78" i="1"/>
  <c r="GN79" i="1"/>
  <c r="GN81" i="1"/>
  <c r="AZ79" i="1"/>
  <c r="AZ80" i="1"/>
  <c r="AZ78" i="1"/>
  <c r="AZ81" i="1"/>
  <c r="AJ78" i="1"/>
  <c r="AJ79" i="1"/>
  <c r="AJ81" i="1"/>
  <c r="AJ80" i="1"/>
  <c r="AB78" i="1"/>
  <c r="AB79" i="1"/>
  <c r="AB80" i="1"/>
  <c r="AB81" i="1"/>
  <c r="L78" i="1"/>
  <c r="L81" i="1"/>
  <c r="L79" i="1"/>
  <c r="L80" i="1"/>
  <c r="AC78" i="1"/>
  <c r="AC79" i="1"/>
  <c r="AC80" i="1"/>
  <c r="AC81" i="1"/>
  <c r="M78" i="1"/>
  <c r="M79" i="1"/>
  <c r="M80" i="1"/>
  <c r="M81" i="1"/>
  <c r="AG81" i="1"/>
  <c r="AG80" i="1"/>
  <c r="AG79" i="1"/>
  <c r="AG78" i="1"/>
  <c r="AG74" i="1"/>
  <c r="AG75" i="1"/>
  <c r="AG76" i="1"/>
  <c r="AG77" i="1"/>
  <c r="BG74" i="1"/>
  <c r="BG75" i="1"/>
  <c r="BG76" i="1"/>
  <c r="BG77" i="1"/>
  <c r="BI74" i="1"/>
  <c r="BI76" i="1"/>
  <c r="BI75" i="1"/>
  <c r="BI77" i="1"/>
  <c r="BK74" i="1"/>
  <c r="BK75" i="1"/>
  <c r="BK76" i="1"/>
  <c r="BK77" i="1"/>
  <c r="BM74" i="1"/>
  <c r="BM76" i="1"/>
  <c r="BM75" i="1"/>
  <c r="BM77" i="1"/>
  <c r="BO74" i="1"/>
  <c r="BO75" i="1"/>
  <c r="BO76" i="1"/>
  <c r="BO77" i="1"/>
  <c r="BQ74" i="1"/>
  <c r="BQ75" i="1"/>
  <c r="BQ76" i="1"/>
  <c r="BQ77" i="1"/>
  <c r="BS74" i="1"/>
  <c r="BS75" i="1"/>
  <c r="BS76" i="1"/>
  <c r="BS77" i="1"/>
  <c r="BU74" i="1"/>
  <c r="BU75" i="1"/>
  <c r="BU76" i="1"/>
  <c r="BU77" i="1"/>
  <c r="BW74" i="1"/>
  <c r="BW75" i="1"/>
  <c r="BW76" i="1"/>
  <c r="BW77" i="1"/>
  <c r="BY74" i="1"/>
  <c r="BY75" i="1"/>
  <c r="BY76" i="1"/>
  <c r="BY77" i="1"/>
  <c r="CA74" i="1"/>
  <c r="CA75" i="1"/>
  <c r="CA76" i="1"/>
  <c r="CA77" i="1"/>
  <c r="CC74" i="1"/>
  <c r="CC75" i="1"/>
  <c r="CC76" i="1"/>
  <c r="CC77" i="1"/>
  <c r="CE74" i="1"/>
  <c r="CE75" i="1"/>
  <c r="CE76" i="1"/>
  <c r="CE77" i="1"/>
  <c r="CG74" i="1"/>
  <c r="CG75" i="1"/>
  <c r="CG76" i="1"/>
  <c r="CG77" i="1"/>
  <c r="CI74" i="1"/>
  <c r="CI75" i="1"/>
  <c r="CI76" i="1"/>
  <c r="CI77" i="1"/>
  <c r="CK74" i="1"/>
  <c r="CK75" i="1"/>
  <c r="CK76" i="1"/>
  <c r="CK77" i="1"/>
  <c r="CM74" i="1"/>
  <c r="CM75" i="1"/>
  <c r="CM76" i="1"/>
  <c r="CM77" i="1"/>
  <c r="CO74" i="1"/>
  <c r="CO75" i="1"/>
  <c r="CO76" i="1"/>
  <c r="CO77" i="1"/>
  <c r="CQ74" i="1"/>
  <c r="CQ75" i="1"/>
  <c r="CQ76" i="1"/>
  <c r="CQ77" i="1"/>
  <c r="CS74" i="1"/>
  <c r="CS75" i="1"/>
  <c r="CS76" i="1"/>
  <c r="CS77" i="1"/>
  <c r="CU74" i="1"/>
  <c r="CU75" i="1"/>
  <c r="CU76" i="1"/>
  <c r="CU77" i="1"/>
  <c r="CW74" i="1"/>
  <c r="CW75" i="1"/>
  <c r="CW76" i="1"/>
  <c r="CW77" i="1"/>
  <c r="CY74" i="1"/>
  <c r="CY75" i="1"/>
  <c r="CY76" i="1"/>
  <c r="CY77" i="1"/>
  <c r="DA74" i="1"/>
  <c r="DA75" i="1"/>
  <c r="DA76" i="1"/>
  <c r="DA77" i="1"/>
  <c r="DC74" i="1"/>
  <c r="DC75" i="1"/>
  <c r="DC76" i="1"/>
  <c r="DC77" i="1"/>
  <c r="DE74" i="1"/>
  <c r="DE75" i="1"/>
  <c r="DE76" i="1"/>
  <c r="DE77" i="1"/>
  <c r="DG74" i="1"/>
  <c r="DG75" i="1"/>
  <c r="DG76" i="1"/>
  <c r="DG77" i="1"/>
  <c r="DI74" i="1"/>
  <c r="DI75" i="1"/>
  <c r="DI76" i="1"/>
  <c r="DI77" i="1"/>
  <c r="DK74" i="1"/>
  <c r="DK75" i="1"/>
  <c r="DK76" i="1"/>
  <c r="DK77" i="1"/>
  <c r="DM74" i="1"/>
  <c r="DM75" i="1"/>
  <c r="DM76" i="1"/>
  <c r="DM77" i="1"/>
  <c r="DO74" i="1"/>
  <c r="DO75" i="1"/>
  <c r="DO76" i="1"/>
  <c r="DO77" i="1"/>
  <c r="DQ74" i="1"/>
  <c r="DQ75" i="1"/>
  <c r="DQ76" i="1"/>
  <c r="DQ77" i="1"/>
  <c r="DS74" i="1"/>
  <c r="DS75" i="1"/>
  <c r="DS76" i="1"/>
  <c r="DS77" i="1"/>
  <c r="DU74" i="1"/>
  <c r="DU75" i="1"/>
  <c r="DU76" i="1"/>
  <c r="DU77" i="1"/>
  <c r="DW74" i="1"/>
  <c r="DW75" i="1"/>
  <c r="DW76" i="1"/>
  <c r="DW77" i="1"/>
  <c r="DY74" i="1"/>
  <c r="DY75" i="1"/>
  <c r="DY76" i="1"/>
  <c r="DY77" i="1"/>
  <c r="EA74" i="1"/>
  <c r="EA75" i="1"/>
  <c r="EA76" i="1"/>
  <c r="EA77" i="1"/>
  <c r="EC74" i="1"/>
  <c r="EC75" i="1"/>
  <c r="EC76" i="1"/>
  <c r="EC77" i="1"/>
  <c r="EE74" i="1"/>
  <c r="EE75" i="1"/>
  <c r="EE76" i="1"/>
  <c r="EE77" i="1"/>
  <c r="EG74" i="1"/>
  <c r="EG75" i="1"/>
  <c r="EG76" i="1"/>
  <c r="EG77" i="1"/>
  <c r="EI74" i="1"/>
  <c r="EI75" i="1"/>
  <c r="EI76" i="1"/>
  <c r="EI77" i="1"/>
  <c r="EK74" i="1"/>
  <c r="EK75" i="1"/>
  <c r="EK76" i="1"/>
  <c r="EK77" i="1"/>
  <c r="EM74" i="1"/>
  <c r="EM75" i="1"/>
  <c r="EM76" i="1"/>
  <c r="EM77" i="1"/>
  <c r="EO74" i="1"/>
  <c r="EO75" i="1"/>
  <c r="EO76" i="1"/>
  <c r="EO77" i="1"/>
  <c r="EQ74" i="1"/>
  <c r="EQ75" i="1"/>
  <c r="EQ76" i="1"/>
  <c r="EQ77" i="1"/>
  <c r="ES74" i="1"/>
  <c r="ES75" i="1"/>
  <c r="ES76" i="1"/>
  <c r="ES77" i="1"/>
  <c r="EU74" i="1"/>
  <c r="EU75" i="1"/>
  <c r="EU76" i="1"/>
  <c r="EU77" i="1"/>
  <c r="EW74" i="1"/>
  <c r="EW75" i="1"/>
  <c r="EW76" i="1"/>
  <c r="EW77" i="1"/>
  <c r="EY74" i="1"/>
  <c r="EY75" i="1"/>
  <c r="EY76" i="1"/>
  <c r="EY77" i="1"/>
  <c r="FA74" i="1"/>
  <c r="FA75" i="1"/>
  <c r="FA76" i="1"/>
  <c r="FA77" i="1"/>
  <c r="FC74" i="1"/>
  <c r="FC75" i="1"/>
  <c r="FC76" i="1"/>
  <c r="FC77" i="1"/>
  <c r="FE74" i="1"/>
  <c r="FE75" i="1"/>
  <c r="FE76" i="1"/>
  <c r="FE77" i="1"/>
  <c r="FG74" i="1"/>
  <c r="FG75" i="1"/>
  <c r="FG76" i="1"/>
  <c r="FG77" i="1"/>
  <c r="FI74" i="1"/>
  <c r="FI75" i="1"/>
  <c r="FI76" i="1"/>
  <c r="FI77" i="1"/>
  <c r="FK74" i="1"/>
  <c r="FK75" i="1"/>
  <c r="FK76" i="1"/>
  <c r="FK77" i="1"/>
  <c r="FM74" i="1"/>
  <c r="FM75" i="1"/>
  <c r="FM76" i="1"/>
  <c r="FM77" i="1"/>
  <c r="FO74" i="1"/>
  <c r="FO75" i="1"/>
  <c r="FO76" i="1"/>
  <c r="FO77" i="1"/>
  <c r="FQ74" i="1"/>
  <c r="FQ75" i="1"/>
  <c r="FQ76" i="1"/>
  <c r="FQ77" i="1"/>
  <c r="FS74" i="1"/>
  <c r="FS75" i="1"/>
  <c r="FS76" i="1"/>
  <c r="FS77" i="1"/>
  <c r="FU74" i="1"/>
  <c r="FU75" i="1"/>
  <c r="FU76" i="1"/>
  <c r="FU77" i="1"/>
  <c r="FW74" i="1"/>
  <c r="FW75" i="1"/>
  <c r="FW76" i="1"/>
  <c r="FW77" i="1"/>
  <c r="FY74" i="1"/>
  <c r="FY75" i="1"/>
  <c r="FY76" i="1"/>
  <c r="FY77" i="1"/>
  <c r="GA74" i="1"/>
  <c r="GA75" i="1"/>
  <c r="GA76" i="1"/>
  <c r="GA77" i="1"/>
  <c r="GC74" i="1"/>
  <c r="GC75" i="1"/>
  <c r="GC76" i="1"/>
  <c r="GC77" i="1"/>
  <c r="GE74" i="1"/>
  <c r="GE75" i="1"/>
  <c r="GE76" i="1"/>
  <c r="GE77" i="1"/>
  <c r="GG74" i="1"/>
  <c r="GG75" i="1"/>
  <c r="GG76" i="1"/>
  <c r="GG77" i="1"/>
  <c r="GI74" i="1"/>
  <c r="GI75" i="1"/>
  <c r="GI76" i="1"/>
  <c r="GI77" i="1"/>
  <c r="GK74" i="1"/>
  <c r="GK75" i="1"/>
  <c r="GK76" i="1"/>
  <c r="GK77" i="1"/>
  <c r="GM74" i="1"/>
  <c r="GM75" i="1"/>
  <c r="GM76" i="1"/>
  <c r="GM77" i="1"/>
  <c r="GO74" i="1"/>
  <c r="GO75" i="1"/>
  <c r="GO76" i="1"/>
  <c r="GO77" i="1"/>
  <c r="GQ74" i="1"/>
  <c r="GQ75" i="1"/>
  <c r="GQ76" i="1"/>
  <c r="GQ77" i="1"/>
  <c r="GS74" i="1"/>
  <c r="GS75" i="1"/>
  <c r="GS76" i="1"/>
  <c r="GS77" i="1"/>
  <c r="BE74" i="1"/>
  <c r="BE75" i="1"/>
  <c r="BE76" i="1"/>
  <c r="BE77" i="1"/>
  <c r="AW74" i="1"/>
  <c r="AW75" i="1"/>
  <c r="AW76" i="1"/>
  <c r="AW77" i="1"/>
  <c r="AQ74" i="1"/>
  <c r="AQ75" i="1"/>
  <c r="AQ76" i="1"/>
  <c r="AQ77" i="1"/>
  <c r="AO74" i="1"/>
  <c r="AO75" i="1"/>
  <c r="AO76" i="1"/>
  <c r="AO77" i="1"/>
  <c r="AI74" i="1"/>
  <c r="AI75" i="1"/>
  <c r="AI76" i="1"/>
  <c r="AI77" i="1"/>
  <c r="AE74" i="1"/>
  <c r="AE75" i="1"/>
  <c r="AE76" i="1"/>
  <c r="AE77" i="1"/>
  <c r="AA74" i="1"/>
  <c r="AA75" i="1"/>
  <c r="AA76" i="1"/>
  <c r="AA77" i="1"/>
  <c r="W74" i="1"/>
  <c r="W75" i="1"/>
  <c r="W76" i="1"/>
  <c r="W77" i="1"/>
  <c r="S74" i="1"/>
  <c r="S75" i="1"/>
  <c r="S76" i="1"/>
  <c r="S77" i="1"/>
  <c r="O74" i="1"/>
  <c r="O75" i="1"/>
  <c r="O76" i="1"/>
  <c r="O77" i="1"/>
  <c r="K74" i="1"/>
  <c r="K75" i="1"/>
  <c r="K76" i="1"/>
  <c r="K77" i="1"/>
  <c r="G74" i="1"/>
  <c r="G75" i="1"/>
  <c r="G76" i="1"/>
  <c r="G77" i="1"/>
  <c r="BH74" i="1"/>
  <c r="BH75" i="1"/>
  <c r="BH76" i="1"/>
  <c r="BH77" i="1"/>
  <c r="BJ74" i="1"/>
  <c r="BJ75" i="1"/>
  <c r="BJ76" i="1"/>
  <c r="BJ77" i="1"/>
  <c r="BL74" i="1"/>
  <c r="BL75" i="1"/>
  <c r="BL76" i="1"/>
  <c r="BL77" i="1"/>
  <c r="BN74" i="1"/>
  <c r="BN75" i="1"/>
  <c r="BN76" i="1"/>
  <c r="BN77" i="1"/>
  <c r="BP74" i="1"/>
  <c r="BP75" i="1"/>
  <c r="BP76" i="1"/>
  <c r="BP77" i="1"/>
  <c r="BR74" i="1"/>
  <c r="BR75" i="1"/>
  <c r="BR76" i="1"/>
  <c r="BR77" i="1"/>
  <c r="BT74" i="1"/>
  <c r="BT75" i="1"/>
  <c r="BT76" i="1"/>
  <c r="BT77" i="1"/>
  <c r="BV74" i="1"/>
  <c r="BV75" i="1"/>
  <c r="BV76" i="1"/>
  <c r="BV77" i="1"/>
  <c r="BX74" i="1"/>
  <c r="BX75" i="1"/>
  <c r="BX76" i="1"/>
  <c r="BX77" i="1"/>
  <c r="BZ74" i="1"/>
  <c r="BZ75" i="1"/>
  <c r="BZ76" i="1"/>
  <c r="BZ77" i="1"/>
  <c r="CB74" i="1"/>
  <c r="CB75" i="1"/>
  <c r="CB76" i="1"/>
  <c r="CB77" i="1"/>
  <c r="CD74" i="1"/>
  <c r="CD75" i="1"/>
  <c r="CD76" i="1"/>
  <c r="CD77" i="1"/>
  <c r="CF74" i="1"/>
  <c r="CF75" i="1"/>
  <c r="CF76" i="1"/>
  <c r="CF77" i="1"/>
  <c r="CH74" i="1"/>
  <c r="CH75" i="1"/>
  <c r="CH76" i="1"/>
  <c r="CH77" i="1"/>
  <c r="CJ74" i="1"/>
  <c r="CJ75" i="1"/>
  <c r="CJ76" i="1"/>
  <c r="CJ77" i="1"/>
  <c r="CL74" i="1"/>
  <c r="CL75" i="1"/>
  <c r="CL76" i="1"/>
  <c r="CL77" i="1"/>
  <c r="CN74" i="1"/>
  <c r="CN75" i="1"/>
  <c r="CN76" i="1"/>
  <c r="CN77" i="1"/>
  <c r="CP74" i="1"/>
  <c r="CP75" i="1"/>
  <c r="CP76" i="1"/>
  <c r="CP77" i="1"/>
  <c r="CR74" i="1"/>
  <c r="CR75" i="1"/>
  <c r="CR76" i="1"/>
  <c r="CR77" i="1"/>
  <c r="CT74" i="1"/>
  <c r="CT75" i="1"/>
  <c r="CT76" i="1"/>
  <c r="CT77" i="1"/>
  <c r="CV74" i="1"/>
  <c r="CV75" i="1"/>
  <c r="CV76" i="1"/>
  <c r="CV77" i="1"/>
  <c r="CX74" i="1"/>
  <c r="CX75" i="1"/>
  <c r="CX76" i="1"/>
  <c r="CX77" i="1"/>
  <c r="CZ74" i="1"/>
  <c r="CZ75" i="1"/>
  <c r="CZ76" i="1"/>
  <c r="CZ77" i="1"/>
  <c r="DB74" i="1"/>
  <c r="DB75" i="1"/>
  <c r="DB76" i="1"/>
  <c r="DB77" i="1"/>
  <c r="DD74" i="1"/>
  <c r="DD75" i="1"/>
  <c r="DD76" i="1"/>
  <c r="DD77" i="1"/>
  <c r="DF74" i="1"/>
  <c r="DF75" i="1"/>
  <c r="DF76" i="1"/>
  <c r="DF77" i="1"/>
  <c r="DH74" i="1"/>
  <c r="DH75" i="1"/>
  <c r="DH76" i="1"/>
  <c r="DH77" i="1"/>
  <c r="DJ74" i="1"/>
  <c r="DJ75" i="1"/>
  <c r="DJ76" i="1"/>
  <c r="DJ77" i="1"/>
  <c r="DL74" i="1"/>
  <c r="DL75" i="1"/>
  <c r="DL76" i="1"/>
  <c r="DL77" i="1"/>
  <c r="DN74" i="1"/>
  <c r="DN75" i="1"/>
  <c r="DN76" i="1"/>
  <c r="DN77" i="1"/>
  <c r="DP74" i="1"/>
  <c r="DP75" i="1"/>
  <c r="DP76" i="1"/>
  <c r="DP77" i="1"/>
  <c r="DR74" i="1"/>
  <c r="DR75" i="1"/>
  <c r="DR76" i="1"/>
  <c r="DR77" i="1"/>
  <c r="DT74" i="1"/>
  <c r="DT75" i="1"/>
  <c r="DT76" i="1"/>
  <c r="DT77" i="1"/>
  <c r="DV74" i="1"/>
  <c r="DV75" i="1"/>
  <c r="DV76" i="1"/>
  <c r="DV77" i="1"/>
  <c r="DX74" i="1"/>
  <c r="DX75" i="1"/>
  <c r="DX76" i="1"/>
  <c r="DX77" i="1"/>
  <c r="DZ74" i="1"/>
  <c r="DZ75" i="1"/>
  <c r="DZ76" i="1"/>
  <c r="DZ77" i="1"/>
  <c r="EB74" i="1"/>
  <c r="EB75" i="1"/>
  <c r="EB76" i="1"/>
  <c r="EB77" i="1"/>
  <c r="ED74" i="1"/>
  <c r="ED75" i="1"/>
  <c r="ED76" i="1"/>
  <c r="ED77" i="1"/>
  <c r="EF74" i="1"/>
  <c r="EF75" i="1"/>
  <c r="EF76" i="1"/>
  <c r="EF77" i="1"/>
  <c r="EH74" i="1"/>
  <c r="EH75" i="1"/>
  <c r="EH76" i="1"/>
  <c r="EH77" i="1"/>
  <c r="EJ74" i="1"/>
  <c r="EJ75" i="1"/>
  <c r="EJ76" i="1"/>
  <c r="EJ77" i="1"/>
  <c r="EL74" i="1"/>
  <c r="EL75" i="1"/>
  <c r="EL76" i="1"/>
  <c r="EL77" i="1"/>
  <c r="EN74" i="1"/>
  <c r="EN75" i="1"/>
  <c r="EN76" i="1"/>
  <c r="EN77" i="1"/>
  <c r="EP74" i="1"/>
  <c r="EP75" i="1"/>
  <c r="EP76" i="1"/>
  <c r="EP77" i="1"/>
  <c r="ER74" i="1"/>
  <c r="ER75" i="1"/>
  <c r="ER76" i="1"/>
  <c r="ER77" i="1"/>
  <c r="ET74" i="1"/>
  <c r="ET75" i="1"/>
  <c r="ET76" i="1"/>
  <c r="ET77" i="1"/>
  <c r="EV74" i="1"/>
  <c r="EV75" i="1"/>
  <c r="EV76" i="1"/>
  <c r="EV77" i="1"/>
  <c r="EX74" i="1"/>
  <c r="EX75" i="1"/>
  <c r="EX76" i="1"/>
  <c r="EX77" i="1"/>
  <c r="EZ74" i="1"/>
  <c r="EZ75" i="1"/>
  <c r="EZ76" i="1"/>
  <c r="EZ77" i="1"/>
  <c r="FB74" i="1"/>
  <c r="FB75" i="1"/>
  <c r="FB76" i="1"/>
  <c r="FB77" i="1"/>
  <c r="FD74" i="1"/>
  <c r="FD75" i="1"/>
  <c r="FD76" i="1"/>
  <c r="FD77" i="1"/>
  <c r="FF74" i="1"/>
  <c r="FF75" i="1"/>
  <c r="FF76" i="1"/>
  <c r="FF77" i="1"/>
  <c r="FH74" i="1"/>
  <c r="FH75" i="1"/>
  <c r="FH76" i="1"/>
  <c r="FH77" i="1"/>
  <c r="FJ74" i="1"/>
  <c r="FJ75" i="1"/>
  <c r="FJ76" i="1"/>
  <c r="FJ77" i="1"/>
  <c r="FL74" i="1"/>
  <c r="FL75" i="1"/>
  <c r="FL76" i="1"/>
  <c r="FL77" i="1"/>
  <c r="FN74" i="1"/>
  <c r="FN75" i="1"/>
  <c r="FN76" i="1"/>
  <c r="FN77" i="1"/>
  <c r="FP74" i="1"/>
  <c r="FP75" i="1"/>
  <c r="FP76" i="1"/>
  <c r="FP77" i="1"/>
  <c r="FR74" i="1"/>
  <c r="FR75" i="1"/>
  <c r="FR76" i="1"/>
  <c r="FR77" i="1"/>
  <c r="FT74" i="1"/>
  <c r="FT75" i="1"/>
  <c r="FT76" i="1"/>
  <c r="FT77" i="1"/>
  <c r="FV74" i="1"/>
  <c r="FV75" i="1"/>
  <c r="FV76" i="1"/>
  <c r="FV77" i="1"/>
  <c r="FX74" i="1"/>
  <c r="FX75" i="1"/>
  <c r="FX76" i="1"/>
  <c r="FX77" i="1"/>
  <c r="FZ74" i="1"/>
  <c r="FZ75" i="1"/>
  <c r="FZ76" i="1"/>
  <c r="FZ77" i="1"/>
  <c r="GB74" i="1"/>
  <c r="GB75" i="1"/>
  <c r="GB76" i="1"/>
  <c r="GB77" i="1"/>
  <c r="GD74" i="1"/>
  <c r="GD75" i="1"/>
  <c r="GD76" i="1"/>
  <c r="GD77" i="1"/>
  <c r="GF74" i="1"/>
  <c r="GF75" i="1"/>
  <c r="GF76" i="1"/>
  <c r="GF77" i="1"/>
  <c r="GH74" i="1"/>
  <c r="GH75" i="1"/>
  <c r="GH76" i="1"/>
  <c r="GH77" i="1"/>
  <c r="GJ74" i="1"/>
  <c r="GJ75" i="1"/>
  <c r="GJ76" i="1"/>
  <c r="GJ77" i="1"/>
  <c r="GL74" i="1"/>
  <c r="GL75" i="1"/>
  <c r="GL76" i="1"/>
  <c r="GL77" i="1"/>
  <c r="GN74" i="1"/>
  <c r="GN75" i="1"/>
  <c r="GN76" i="1"/>
  <c r="GN77" i="1"/>
  <c r="GP74" i="1"/>
  <c r="GP75" i="1"/>
  <c r="GP76" i="1"/>
  <c r="GP77" i="1"/>
  <c r="GR74" i="1"/>
  <c r="GR75" i="1"/>
  <c r="GR76" i="1"/>
  <c r="GR77" i="1"/>
  <c r="GT74" i="1"/>
  <c r="GT75" i="1"/>
  <c r="GT76" i="1"/>
  <c r="GT77" i="1"/>
  <c r="BB74" i="1"/>
  <c r="BB75" i="1"/>
  <c r="BB76" i="1"/>
  <c r="BB77" i="1"/>
  <c r="BD74" i="1"/>
  <c r="BD75" i="1"/>
  <c r="BD76" i="1"/>
  <c r="BD77" i="1"/>
  <c r="BF74" i="1"/>
  <c r="BF75" i="1"/>
  <c r="BF76" i="1"/>
  <c r="BF77" i="1"/>
  <c r="AX74" i="1"/>
  <c r="AX75" i="1"/>
  <c r="AX76" i="1"/>
  <c r="AX77" i="1"/>
  <c r="AZ74" i="1"/>
  <c r="AZ75" i="1"/>
  <c r="AZ76" i="1"/>
  <c r="AZ77" i="1"/>
  <c r="AV74" i="1"/>
  <c r="AV75" i="1"/>
  <c r="AV76" i="1"/>
  <c r="AV77" i="1"/>
  <c r="AU74" i="1"/>
  <c r="AU75" i="1"/>
  <c r="AU76" i="1"/>
  <c r="AU77" i="1"/>
  <c r="AT74" i="1"/>
  <c r="AT75" i="1"/>
  <c r="AT76" i="1"/>
  <c r="AT77" i="1"/>
  <c r="AR74" i="1"/>
  <c r="AR75" i="1"/>
  <c r="AR76" i="1"/>
  <c r="AR77" i="1"/>
  <c r="AP74" i="1"/>
  <c r="AP75" i="1"/>
  <c r="AP76" i="1"/>
  <c r="AP77" i="1"/>
  <c r="AN74" i="1"/>
  <c r="AN75" i="1"/>
  <c r="AN76" i="1"/>
  <c r="AN77" i="1"/>
  <c r="AL74" i="1"/>
  <c r="AL75" i="1"/>
  <c r="AL76" i="1"/>
  <c r="AL77" i="1"/>
  <c r="AJ74" i="1"/>
  <c r="AJ75" i="1"/>
  <c r="AJ76" i="1"/>
  <c r="AJ77" i="1"/>
  <c r="AH74" i="1"/>
  <c r="AH75" i="1"/>
  <c r="AH76" i="1"/>
  <c r="AH77" i="1"/>
  <c r="AF74" i="1"/>
  <c r="AF75" i="1"/>
  <c r="AF76" i="1"/>
  <c r="AF77" i="1"/>
  <c r="AD74" i="1"/>
  <c r="AD75" i="1"/>
  <c r="AD76" i="1"/>
  <c r="AD77" i="1"/>
  <c r="AB74" i="1"/>
  <c r="AB75" i="1"/>
  <c r="AB76" i="1"/>
  <c r="AB77" i="1"/>
  <c r="Z74" i="1"/>
  <c r="Z75" i="1"/>
  <c r="Z76" i="1"/>
  <c r="Z77" i="1"/>
  <c r="X74" i="1"/>
  <c r="X75" i="1"/>
  <c r="X76" i="1"/>
  <c r="X77" i="1"/>
  <c r="V74" i="1"/>
  <c r="V75" i="1"/>
  <c r="V76" i="1"/>
  <c r="V77" i="1"/>
  <c r="T74" i="1"/>
  <c r="T75" i="1"/>
  <c r="T76" i="1"/>
  <c r="T77" i="1"/>
  <c r="R74" i="1"/>
  <c r="R75" i="1"/>
  <c r="R76" i="1"/>
  <c r="R77" i="1"/>
  <c r="P74" i="1"/>
  <c r="P75" i="1"/>
  <c r="P76" i="1"/>
  <c r="P77" i="1"/>
  <c r="N74" i="1"/>
  <c r="N75" i="1"/>
  <c r="N76" i="1"/>
  <c r="N77" i="1"/>
  <c r="L74" i="1"/>
  <c r="L75" i="1"/>
  <c r="L76" i="1"/>
  <c r="L77" i="1"/>
  <c r="J74" i="1"/>
  <c r="J75" i="1"/>
  <c r="J76" i="1"/>
  <c r="J77" i="1"/>
  <c r="H74" i="1"/>
  <c r="H75" i="1"/>
  <c r="H76" i="1"/>
  <c r="H77" i="1"/>
  <c r="F74" i="1"/>
  <c r="F75" i="1"/>
  <c r="F76" i="1"/>
  <c r="F77" i="1"/>
  <c r="D74" i="1"/>
  <c r="D75" i="1"/>
  <c r="D76" i="1"/>
  <c r="D77" i="1"/>
  <c r="BC74" i="1"/>
  <c r="BC75" i="1"/>
  <c r="BC76" i="1"/>
  <c r="BC77" i="1"/>
  <c r="BA74" i="1"/>
  <c r="BA75" i="1"/>
  <c r="BA76" i="1"/>
  <c r="BA77" i="1"/>
  <c r="AY74" i="1"/>
  <c r="AY75" i="1"/>
  <c r="AY76" i="1"/>
  <c r="AY77" i="1"/>
  <c r="AS74" i="1"/>
  <c r="AS75" i="1"/>
  <c r="AS76" i="1"/>
  <c r="AS77" i="1"/>
  <c r="AM74" i="1"/>
  <c r="AM75" i="1"/>
  <c r="AM76" i="1"/>
  <c r="AM77" i="1"/>
  <c r="AK74" i="1"/>
  <c r="AK75" i="1"/>
  <c r="AK76" i="1"/>
  <c r="AK77" i="1"/>
  <c r="AC74" i="1"/>
  <c r="AC75" i="1"/>
  <c r="AC76" i="1"/>
  <c r="AC77" i="1"/>
  <c r="Y74" i="1"/>
  <c r="Y75" i="1"/>
  <c r="Y76" i="1"/>
  <c r="Y77" i="1"/>
  <c r="U74" i="1"/>
  <c r="U75" i="1"/>
  <c r="U76" i="1"/>
  <c r="U77" i="1"/>
  <c r="Q74" i="1"/>
  <c r="Q75" i="1"/>
  <c r="Q76" i="1"/>
  <c r="Q77" i="1"/>
  <c r="M74" i="1"/>
  <c r="M75" i="1"/>
  <c r="M76" i="1"/>
  <c r="M77" i="1"/>
  <c r="I74" i="1"/>
  <c r="I75" i="1"/>
  <c r="I76" i="1"/>
  <c r="I77" i="1"/>
  <c r="E74" i="1"/>
  <c r="E75" i="1"/>
  <c r="E76" i="1"/>
  <c r="E77" i="1"/>
  <c r="GU71" i="1"/>
  <c r="B71" i="1" s="1"/>
  <c r="BE66" i="1"/>
  <c r="C74" i="1"/>
  <c r="AU66" i="1"/>
  <c r="AV66" i="1"/>
  <c r="AW66" i="1"/>
  <c r="AZ66" i="1"/>
  <c r="C76" i="1"/>
  <c r="C75" i="1"/>
  <c r="BH66" i="1"/>
  <c r="BL66" i="1"/>
  <c r="BP66" i="1"/>
  <c r="BT66" i="1"/>
  <c r="BX66" i="1"/>
  <c r="BZ66" i="1"/>
  <c r="CD66" i="1"/>
  <c r="CH66" i="1"/>
  <c r="CL66" i="1"/>
  <c r="CP66" i="1"/>
  <c r="CV66" i="1"/>
  <c r="CZ66" i="1"/>
  <c r="DD66" i="1"/>
  <c r="DH66" i="1"/>
  <c r="DL66" i="1"/>
  <c r="DR66" i="1"/>
  <c r="DV66" i="1"/>
  <c r="DZ66" i="1"/>
  <c r="ED66" i="1"/>
  <c r="EH66" i="1"/>
  <c r="EJ66" i="1"/>
  <c r="EN66" i="1"/>
  <c r="ER66" i="1"/>
  <c r="EV66" i="1"/>
  <c r="GU70" i="1"/>
  <c r="GU72" i="1"/>
  <c r="GU47" i="1"/>
  <c r="GU48" i="1"/>
  <c r="GU49" i="1"/>
  <c r="GU46" i="1"/>
  <c r="GU50" i="1"/>
  <c r="GU51" i="1"/>
  <c r="GU52" i="1"/>
  <c r="GU53" i="1"/>
  <c r="GU54" i="1"/>
  <c r="GU55" i="1"/>
  <c r="GU56" i="1"/>
  <c r="GU57" i="1"/>
  <c r="GU58" i="1"/>
  <c r="GU59" i="1"/>
  <c r="GU60" i="1"/>
  <c r="GU61" i="1"/>
  <c r="GU62" i="1"/>
  <c r="GU63" i="1"/>
  <c r="GU64" i="1"/>
  <c r="GU65" i="1"/>
  <c r="BG66" i="1"/>
  <c r="BI66" i="1"/>
  <c r="BK66" i="1"/>
  <c r="BM66" i="1"/>
  <c r="BO66" i="1"/>
  <c r="BQ66" i="1"/>
  <c r="BS66" i="1"/>
  <c r="BU66" i="1"/>
  <c r="BW66" i="1"/>
  <c r="BY66" i="1"/>
  <c r="CA66" i="1"/>
  <c r="CC66" i="1"/>
  <c r="CE66" i="1"/>
  <c r="CG66" i="1"/>
  <c r="CI66" i="1"/>
  <c r="CK66" i="1"/>
  <c r="CM66" i="1"/>
  <c r="CO66" i="1"/>
  <c r="CQ66" i="1"/>
  <c r="CS66" i="1"/>
  <c r="CU66" i="1"/>
  <c r="CW66" i="1"/>
  <c r="CY66" i="1"/>
  <c r="DA66" i="1"/>
  <c r="DC66" i="1"/>
  <c r="DE66" i="1"/>
  <c r="DG66" i="1"/>
  <c r="DI66" i="1"/>
  <c r="DK66" i="1"/>
  <c r="DM66" i="1"/>
  <c r="DO66" i="1"/>
  <c r="DQ66" i="1"/>
  <c r="DS66" i="1"/>
  <c r="DU66" i="1"/>
  <c r="DW66" i="1"/>
  <c r="DY66" i="1"/>
  <c r="EA66" i="1"/>
  <c r="EC66" i="1"/>
  <c r="EE66" i="1"/>
  <c r="EG66" i="1"/>
  <c r="EI66" i="1"/>
  <c r="EK66" i="1"/>
  <c r="EM66" i="1"/>
  <c r="EO66" i="1"/>
  <c r="EQ66" i="1"/>
  <c r="ES66" i="1"/>
  <c r="EU66" i="1"/>
  <c r="EW66" i="1"/>
  <c r="EY66" i="1"/>
  <c r="FA66" i="1"/>
  <c r="FC66" i="1"/>
  <c r="FE66" i="1"/>
  <c r="FG66" i="1"/>
  <c r="FI66" i="1"/>
  <c r="FK66" i="1"/>
  <c r="FM66" i="1"/>
  <c r="FO66" i="1"/>
  <c r="FQ66" i="1"/>
  <c r="FS66" i="1"/>
  <c r="FU66" i="1"/>
  <c r="FW66" i="1"/>
  <c r="FY66" i="1"/>
  <c r="GA66" i="1"/>
  <c r="GC66" i="1"/>
  <c r="GE66" i="1"/>
  <c r="GG66" i="1"/>
  <c r="GI66" i="1"/>
  <c r="GK66" i="1"/>
  <c r="GM66" i="1"/>
  <c r="GO66" i="1"/>
  <c r="GQ66" i="1"/>
  <c r="GS66" i="1"/>
  <c r="BJ66" i="1"/>
  <c r="BN66" i="1"/>
  <c r="BR66" i="1"/>
  <c r="BV66" i="1"/>
  <c r="CB66" i="1"/>
  <c r="CF66" i="1"/>
  <c r="CJ66" i="1"/>
  <c r="CN66" i="1"/>
  <c r="CR66" i="1"/>
  <c r="CT66" i="1"/>
  <c r="CX66" i="1"/>
  <c r="DB66" i="1"/>
  <c r="DF66" i="1"/>
  <c r="DJ66" i="1"/>
  <c r="DN66" i="1"/>
  <c r="DP66" i="1"/>
  <c r="DT66" i="1"/>
  <c r="DX66" i="1"/>
  <c r="EB66" i="1"/>
  <c r="EF66" i="1"/>
  <c r="EL66" i="1"/>
  <c r="EP66" i="1"/>
  <c r="ET66" i="1"/>
  <c r="EX66" i="1"/>
  <c r="EZ66" i="1"/>
  <c r="FB66" i="1"/>
  <c r="FD66" i="1"/>
  <c r="FF66" i="1"/>
  <c r="FH66" i="1"/>
  <c r="FJ66" i="1"/>
  <c r="FL66" i="1"/>
  <c r="FN66" i="1"/>
  <c r="FP66" i="1"/>
  <c r="FR66" i="1"/>
  <c r="FT66" i="1"/>
  <c r="FV66" i="1"/>
  <c r="FX66" i="1"/>
  <c r="FZ66" i="1"/>
  <c r="GB66" i="1"/>
  <c r="GD66" i="1"/>
  <c r="GF66" i="1"/>
  <c r="GH66" i="1"/>
  <c r="GJ66" i="1"/>
  <c r="GL66" i="1"/>
  <c r="GN66" i="1"/>
  <c r="GP66" i="1"/>
  <c r="GR66" i="1"/>
  <c r="GT66" i="1"/>
  <c r="BC66" i="1"/>
  <c r="BB66" i="1"/>
  <c r="BF66" i="1"/>
  <c r="AX66" i="1"/>
  <c r="BD66" i="1"/>
  <c r="BA66" i="1"/>
  <c r="AY66" i="1"/>
  <c r="GU78" i="1" l="1"/>
  <c r="GU81" i="1"/>
  <c r="GU79" i="1"/>
  <c r="GU80" i="1"/>
  <c r="GU74" i="1"/>
  <c r="GU75" i="1"/>
  <c r="GU76" i="1"/>
  <c r="GU77" i="1"/>
  <c r="AT66" i="1"/>
  <c r="B64" i="1" l="1"/>
  <c r="B62" i="1"/>
  <c r="B65" i="1"/>
  <c r="B63" i="1"/>
  <c r="B61" i="1"/>
  <c r="B2" i="8" l="1"/>
  <c r="A2" i="8"/>
  <c r="M2" i="8" l="1"/>
  <c r="K2" i="8"/>
  <c r="N2" i="8"/>
  <c r="C86" i="1"/>
  <c r="D94" i="1" s="1"/>
  <c r="D86" i="1" l="1"/>
  <c r="E94" i="1" s="1"/>
  <c r="W66" i="1"/>
  <c r="AR66" i="1"/>
  <c r="P66" i="1"/>
  <c r="AL66" i="1"/>
  <c r="AD66" i="1"/>
  <c r="H66" i="1"/>
  <c r="H67" i="1" s="1"/>
  <c r="AM66" i="1"/>
  <c r="K66" i="1"/>
  <c r="K67" i="1" s="1"/>
  <c r="C66" i="1"/>
  <c r="C67" i="1" s="1"/>
  <c r="AN66" i="1"/>
  <c r="AJ66" i="1"/>
  <c r="AF66" i="1"/>
  <c r="AB66" i="1"/>
  <c r="X66" i="1"/>
  <c r="T66" i="1"/>
  <c r="L66" i="1"/>
  <c r="D66" i="1"/>
  <c r="D67" i="1" s="1"/>
  <c r="AP66" i="1"/>
  <c r="AH66" i="1"/>
  <c r="Z66" i="1"/>
  <c r="V66" i="1"/>
  <c r="R66" i="1"/>
  <c r="N66" i="1"/>
  <c r="J66" i="1"/>
  <c r="J67" i="1" s="1"/>
  <c r="F66" i="1"/>
  <c r="F67" i="1" s="1"/>
  <c r="GU66" i="1"/>
  <c r="AQ66" i="1"/>
  <c r="AI66" i="1"/>
  <c r="AA66" i="1"/>
  <c r="S66" i="1"/>
  <c r="G66" i="1"/>
  <c r="G67" i="1" s="1"/>
  <c r="B72" i="1"/>
  <c r="AE66" i="1"/>
  <c r="O66" i="1"/>
  <c r="B59" i="1"/>
  <c r="B70" i="1"/>
  <c r="AS66" i="1"/>
  <c r="AO66" i="1"/>
  <c r="AK66" i="1"/>
  <c r="AG66" i="1"/>
  <c r="AC66" i="1"/>
  <c r="Y66" i="1"/>
  <c r="U66" i="1"/>
  <c r="Q66" i="1"/>
  <c r="M66" i="1"/>
  <c r="I66" i="1"/>
  <c r="I67" i="1" s="1"/>
  <c r="E66" i="1"/>
  <c r="E67" i="1" s="1"/>
  <c r="B57" i="1"/>
  <c r="B53" i="1"/>
  <c r="B49" i="1"/>
  <c r="B46" i="1"/>
  <c r="B60" i="1"/>
  <c r="B56" i="1"/>
  <c r="B52" i="1"/>
  <c r="B48" i="1"/>
  <c r="B55" i="1"/>
  <c r="B51" i="1"/>
  <c r="B47" i="1"/>
  <c r="B58" i="1"/>
  <c r="B54" i="1"/>
  <c r="B50" i="1"/>
  <c r="E86" i="1" l="1"/>
  <c r="C87" i="1"/>
  <c r="C95" i="1" s="1"/>
  <c r="C89" i="1"/>
  <c r="C88" i="1"/>
  <c r="C96" i="1" s="1"/>
  <c r="C102" i="1"/>
  <c r="C103" i="1"/>
  <c r="B66" i="1"/>
  <c r="F86" i="1" l="1"/>
  <c r="G86" i="1" s="1"/>
  <c r="H86" i="1" s="1"/>
  <c r="I86" i="1" s="1"/>
  <c r="J86" i="1" s="1"/>
  <c r="K86" i="1" s="1"/>
  <c r="L86" i="1" s="1"/>
  <c r="M86" i="1" s="1"/>
  <c r="N86" i="1" s="1"/>
  <c r="O86" i="1" s="1"/>
  <c r="P86" i="1" s="1"/>
  <c r="Q86" i="1" s="1"/>
  <c r="R86" i="1" s="1"/>
  <c r="S86" i="1" s="1"/>
  <c r="T86" i="1" s="1"/>
  <c r="U86" i="1" s="1"/>
  <c r="V86" i="1" s="1"/>
  <c r="W86" i="1" s="1"/>
  <c r="X86" i="1" s="1"/>
  <c r="Y86" i="1" s="1"/>
  <c r="Z86" i="1" s="1"/>
  <c r="AA86" i="1" s="1"/>
  <c r="AB86" i="1" s="1"/>
  <c r="AC86" i="1" s="1"/>
  <c r="AD86" i="1" s="1"/>
  <c r="AE86" i="1" s="1"/>
  <c r="AF86" i="1" s="1"/>
  <c r="AG86" i="1" s="1"/>
  <c r="AH86" i="1" s="1"/>
  <c r="AI86" i="1" s="1"/>
  <c r="AJ86" i="1" s="1"/>
  <c r="AK86" i="1" s="1"/>
  <c r="AL86" i="1" s="1"/>
  <c r="AM86" i="1" s="1"/>
  <c r="AN86" i="1" s="1"/>
  <c r="AO86" i="1" s="1"/>
  <c r="AP86" i="1" s="1"/>
  <c r="AQ86" i="1" s="1"/>
  <c r="AR86" i="1" s="1"/>
  <c r="AS86" i="1" s="1"/>
  <c r="AT86" i="1" s="1"/>
  <c r="AU94" i="1" s="1"/>
  <c r="F94" i="1"/>
  <c r="D87" i="1"/>
  <c r="E87" i="1" s="1"/>
  <c r="C104" i="1"/>
  <c r="D89" i="1"/>
  <c r="D97" i="1" s="1"/>
  <c r="D103" i="1"/>
  <c r="D88" i="1"/>
  <c r="E88" i="1" s="1"/>
  <c r="C97" i="1"/>
  <c r="D102" i="1"/>
  <c r="AU86" i="1" l="1"/>
  <c r="AV86" i="1" s="1"/>
  <c r="AV103" i="1" s="1"/>
  <c r="E95" i="1"/>
  <c r="D95" i="1"/>
  <c r="F87" i="1"/>
  <c r="E89" i="1"/>
  <c r="E97" i="1" s="1"/>
  <c r="D104" i="1"/>
  <c r="F88" i="1"/>
  <c r="E96" i="1"/>
  <c r="D96" i="1"/>
  <c r="G94" i="1"/>
  <c r="E102" i="1"/>
  <c r="E103" i="1"/>
  <c r="AW86" i="1" l="1"/>
  <c r="AW103" i="1" s="1"/>
  <c r="AV102" i="1"/>
  <c r="AW94" i="1"/>
  <c r="AU103" i="1"/>
  <c r="AV94" i="1"/>
  <c r="AU102" i="1"/>
  <c r="F89" i="1"/>
  <c r="G89" i="1" s="1"/>
  <c r="G87" i="1"/>
  <c r="G95" i="1" s="1"/>
  <c r="F95" i="1"/>
  <c r="E104" i="1"/>
  <c r="G88" i="1"/>
  <c r="G96" i="1" s="1"/>
  <c r="F103" i="1"/>
  <c r="F102" i="1"/>
  <c r="AW102" i="1" l="1"/>
  <c r="AX94" i="1"/>
  <c r="AX86" i="1"/>
  <c r="AX103" i="1" s="1"/>
  <c r="F104" i="1"/>
  <c r="G103" i="1"/>
  <c r="H94" i="1"/>
  <c r="G97" i="1"/>
  <c r="F97" i="1"/>
  <c r="F96" i="1"/>
  <c r="G102" i="1"/>
  <c r="I94" i="1"/>
  <c r="H103" i="1"/>
  <c r="AX102" i="1" l="1"/>
  <c r="AY94" i="1"/>
  <c r="AY86" i="1"/>
  <c r="AY103" i="1" s="1"/>
  <c r="H87" i="1"/>
  <c r="I87" i="1" s="1"/>
  <c r="G104" i="1"/>
  <c r="H88" i="1"/>
  <c r="H96" i="1" s="1"/>
  <c r="H89" i="1"/>
  <c r="I89" i="1" s="1"/>
  <c r="I97" i="1" s="1"/>
  <c r="H102" i="1"/>
  <c r="J94" i="1"/>
  <c r="I103" i="1"/>
  <c r="AY102" i="1" l="1"/>
  <c r="AZ94" i="1"/>
  <c r="AZ86" i="1"/>
  <c r="AZ102" i="1" s="1"/>
  <c r="H95" i="1"/>
  <c r="J87" i="1"/>
  <c r="J95" i="1" s="1"/>
  <c r="I95" i="1"/>
  <c r="I88" i="1"/>
  <c r="I96" i="1" s="1"/>
  <c r="H104" i="1"/>
  <c r="H97" i="1"/>
  <c r="J89" i="1"/>
  <c r="J97" i="1" s="1"/>
  <c r="I102" i="1"/>
  <c r="K94" i="1"/>
  <c r="J103" i="1"/>
  <c r="BA86" i="1" l="1"/>
  <c r="BA103" i="1" s="1"/>
  <c r="BA94" i="1"/>
  <c r="AZ103" i="1"/>
  <c r="K87" i="1"/>
  <c r="J88" i="1"/>
  <c r="J96" i="1" s="1"/>
  <c r="I104" i="1"/>
  <c r="BB86" i="1"/>
  <c r="K89" i="1"/>
  <c r="K97" i="1" s="1"/>
  <c r="J102" i="1"/>
  <c r="BA102" i="1" l="1"/>
  <c r="BB94" i="1"/>
  <c r="K88" i="1"/>
  <c r="K96" i="1" s="1"/>
  <c r="K95" i="1"/>
  <c r="J104" i="1"/>
  <c r="BC86" i="1"/>
  <c r="BC103" i="1" s="1"/>
  <c r="BC94" i="1"/>
  <c r="BB102" i="1"/>
  <c r="BB103" i="1"/>
  <c r="K103" i="1"/>
  <c r="L94" i="1"/>
  <c r="K102" i="1"/>
  <c r="M94" i="1"/>
  <c r="L87" i="1" l="1"/>
  <c r="M87" i="1" s="1"/>
  <c r="K104" i="1"/>
  <c r="BD86" i="1"/>
  <c r="BD103" i="1" s="1"/>
  <c r="BC102" i="1"/>
  <c r="BD94" i="1"/>
  <c r="L88" i="1"/>
  <c r="L96" i="1" s="1"/>
  <c r="L89" i="1"/>
  <c r="M89" i="1" s="1"/>
  <c r="M97" i="1" s="1"/>
  <c r="L103" i="1"/>
  <c r="N94" i="1"/>
  <c r="L102" i="1"/>
  <c r="M88" i="1" l="1"/>
  <c r="M96" i="1" s="1"/>
  <c r="L95" i="1"/>
  <c r="N87" i="1"/>
  <c r="M95" i="1"/>
  <c r="L97" i="1"/>
  <c r="L104" i="1"/>
  <c r="BE94" i="1"/>
  <c r="BE86" i="1"/>
  <c r="BE103" i="1" s="1"/>
  <c r="BD102" i="1"/>
  <c r="N89" i="1"/>
  <c r="N97" i="1" s="1"/>
  <c r="M102" i="1"/>
  <c r="O94" i="1"/>
  <c r="N103" i="1"/>
  <c r="M103" i="1"/>
  <c r="N88" i="1" l="1"/>
  <c r="N96" i="1" s="1"/>
  <c r="O87" i="1"/>
  <c r="N95" i="1"/>
  <c r="M104" i="1"/>
  <c r="BF94" i="1"/>
  <c r="BE102" i="1"/>
  <c r="BF86" i="1"/>
  <c r="O89" i="1"/>
  <c r="O97" i="1" s="1"/>
  <c r="N102" i="1"/>
  <c r="N104" i="1" s="1"/>
  <c r="P94" i="1"/>
  <c r="O88" i="1" l="1"/>
  <c r="O96" i="1" s="1"/>
  <c r="P87" i="1"/>
  <c r="O95" i="1"/>
  <c r="BG94" i="1"/>
  <c r="BG86" i="1"/>
  <c r="BG103" i="1" s="1"/>
  <c r="BF103" i="1"/>
  <c r="BF102" i="1"/>
  <c r="P89" i="1"/>
  <c r="P97" i="1" s="1"/>
  <c r="Q94" i="1"/>
  <c r="O102" i="1"/>
  <c r="P103" i="1"/>
  <c r="O103" i="1"/>
  <c r="P88" i="1" l="1"/>
  <c r="P96" i="1" s="1"/>
  <c r="Q87" i="1"/>
  <c r="Q95" i="1" s="1"/>
  <c r="P95" i="1"/>
  <c r="BH86" i="1"/>
  <c r="BH103" i="1" s="1"/>
  <c r="BH94" i="1"/>
  <c r="BG102" i="1"/>
  <c r="O104" i="1"/>
  <c r="Q89" i="1"/>
  <c r="Q97" i="1" s="1"/>
  <c r="P102" i="1"/>
  <c r="P104" i="1" s="1"/>
  <c r="R94" i="1"/>
  <c r="Q88" i="1" l="1"/>
  <c r="Q96" i="1" s="1"/>
  <c r="R87" i="1"/>
  <c r="BI86" i="1"/>
  <c r="BI94" i="1"/>
  <c r="BH102" i="1"/>
  <c r="R89" i="1"/>
  <c r="R97" i="1" s="1"/>
  <c r="Q102" i="1"/>
  <c r="S94" i="1"/>
  <c r="Q103" i="1"/>
  <c r="R88" i="1" l="1"/>
  <c r="R96" i="1" s="1"/>
  <c r="S87" i="1"/>
  <c r="R95" i="1"/>
  <c r="BJ86" i="1"/>
  <c r="BJ103" i="1" s="1"/>
  <c r="BJ94" i="1"/>
  <c r="BI102" i="1"/>
  <c r="BI103" i="1"/>
  <c r="Q104" i="1"/>
  <c r="S89" i="1"/>
  <c r="S97" i="1" s="1"/>
  <c r="R103" i="1"/>
  <c r="R102" i="1"/>
  <c r="T94" i="1"/>
  <c r="S88" i="1" l="1"/>
  <c r="S96" i="1" s="1"/>
  <c r="T87" i="1"/>
  <c r="T95" i="1" s="1"/>
  <c r="S95" i="1"/>
  <c r="R104" i="1"/>
  <c r="BK86" i="1"/>
  <c r="BK103" i="1" s="1"/>
  <c r="BK94" i="1"/>
  <c r="BJ102" i="1"/>
  <c r="T88" i="1"/>
  <c r="T96" i="1" s="1"/>
  <c r="T89" i="1"/>
  <c r="T97" i="1" s="1"/>
  <c r="S103" i="1"/>
  <c r="S102" i="1"/>
  <c r="S104" i="1" l="1"/>
  <c r="BL86" i="1"/>
  <c r="BL103" i="1" s="1"/>
  <c r="BL94" i="1"/>
  <c r="BK102" i="1"/>
  <c r="T103" i="1"/>
  <c r="U94" i="1"/>
  <c r="T102" i="1"/>
  <c r="U87" i="1" l="1"/>
  <c r="T104" i="1"/>
  <c r="BM86" i="1"/>
  <c r="BM94" i="1"/>
  <c r="BL102" i="1"/>
  <c r="U88" i="1"/>
  <c r="U96" i="1" s="1"/>
  <c r="U89" i="1"/>
  <c r="U97" i="1" s="1"/>
  <c r="U103" i="1"/>
  <c r="V94" i="1"/>
  <c r="V103" i="1"/>
  <c r="W94" i="1"/>
  <c r="U102" i="1"/>
  <c r="V87" i="1" l="1"/>
  <c r="W87" i="1" s="1"/>
  <c r="U95" i="1"/>
  <c r="U104" i="1"/>
  <c r="BN86" i="1"/>
  <c r="BN94" i="1"/>
  <c r="BM102" i="1"/>
  <c r="BM103" i="1"/>
  <c r="V88" i="1"/>
  <c r="W88" i="1" s="1"/>
  <c r="W96" i="1" s="1"/>
  <c r="V89" i="1"/>
  <c r="W89" i="1" s="1"/>
  <c r="W97" i="1" s="1"/>
  <c r="V102" i="1"/>
  <c r="V104" i="1" s="1"/>
  <c r="X94" i="1"/>
  <c r="W103" i="1"/>
  <c r="X87" i="1" l="1"/>
  <c r="X95" i="1" s="1"/>
  <c r="V95" i="1"/>
  <c r="W95" i="1"/>
  <c r="V97" i="1"/>
  <c r="V96" i="1"/>
  <c r="BO94" i="1"/>
  <c r="BO86" i="1"/>
  <c r="BN102" i="1"/>
  <c r="BN103" i="1"/>
  <c r="X88" i="1"/>
  <c r="X96" i="1" s="1"/>
  <c r="X89" i="1"/>
  <c r="X97" i="1" s="1"/>
  <c r="W102" i="1"/>
  <c r="BO103" i="1" l="1"/>
  <c r="W104" i="1"/>
  <c r="BP86" i="1"/>
  <c r="BP94" i="1"/>
  <c r="BO102" i="1"/>
  <c r="X103" i="1"/>
  <c r="Y94" i="1"/>
  <c r="X102" i="1"/>
  <c r="Z94" i="1"/>
  <c r="BP103" i="1" l="1"/>
  <c r="Y87" i="1"/>
  <c r="Z87" i="1" s="1"/>
  <c r="BQ86" i="1"/>
  <c r="BQ94" i="1"/>
  <c r="BP102" i="1"/>
  <c r="X104" i="1"/>
  <c r="Y88" i="1"/>
  <c r="Z88" i="1" s="1"/>
  <c r="Z96" i="1" s="1"/>
  <c r="Y89" i="1"/>
  <c r="Z89" i="1" s="1"/>
  <c r="Z97" i="1" s="1"/>
  <c r="Y102" i="1"/>
  <c r="Y103" i="1"/>
  <c r="BQ103" i="1" l="1"/>
  <c r="Y95" i="1"/>
  <c r="Z95" i="1"/>
  <c r="Y96" i="1"/>
  <c r="Y104" i="1"/>
  <c r="BR86" i="1"/>
  <c r="BR94" i="1"/>
  <c r="BQ102" i="1"/>
  <c r="Y97" i="1"/>
  <c r="Z103" i="1"/>
  <c r="AA94" i="1"/>
  <c r="Z102" i="1"/>
  <c r="AB94" i="1"/>
  <c r="AA103" i="1"/>
  <c r="AA87" i="1" l="1"/>
  <c r="AB87" i="1" s="1"/>
  <c r="BR103" i="1"/>
  <c r="Z104" i="1"/>
  <c r="BS86" i="1"/>
  <c r="BS94" i="1"/>
  <c r="BR102" i="1"/>
  <c r="AA88" i="1"/>
  <c r="AB88" i="1" s="1"/>
  <c r="AB96" i="1" s="1"/>
  <c r="AA89" i="1"/>
  <c r="AA97" i="1" s="1"/>
  <c r="AC94" i="1"/>
  <c r="AA102" i="1"/>
  <c r="AA104" i="1" s="1"/>
  <c r="AB95" i="1" l="1"/>
  <c r="AC87" i="1"/>
  <c r="AC95" i="1" s="1"/>
  <c r="AA95" i="1"/>
  <c r="BS103" i="1"/>
  <c r="AA96" i="1"/>
  <c r="BT86" i="1"/>
  <c r="BT94" i="1"/>
  <c r="BS102" i="1"/>
  <c r="AC88" i="1"/>
  <c r="AC96" i="1" s="1"/>
  <c r="AB89" i="1"/>
  <c r="AB97" i="1" s="1"/>
  <c r="AB103" i="1"/>
  <c r="AB102" i="1"/>
  <c r="AD94" i="1"/>
  <c r="AD87" i="1" l="1"/>
  <c r="BT103" i="1"/>
  <c r="AB104" i="1"/>
  <c r="BU86" i="1"/>
  <c r="BU94" i="1"/>
  <c r="BT102" i="1"/>
  <c r="AD88" i="1"/>
  <c r="AD96" i="1" s="1"/>
  <c r="AC89" i="1"/>
  <c r="AC97" i="1" s="1"/>
  <c r="AE94" i="1"/>
  <c r="AC102" i="1"/>
  <c r="AD103" i="1"/>
  <c r="AC103" i="1"/>
  <c r="AE87" i="1" l="1"/>
  <c r="AE95" i="1" s="1"/>
  <c r="AD95" i="1"/>
  <c r="BU103" i="1"/>
  <c r="BV86" i="1"/>
  <c r="BU102" i="1"/>
  <c r="BV94" i="1"/>
  <c r="AC104" i="1"/>
  <c r="AE88" i="1"/>
  <c r="AE96" i="1" s="1"/>
  <c r="AD89" i="1"/>
  <c r="AD97" i="1" s="1"/>
  <c r="AF94" i="1"/>
  <c r="AD102" i="1"/>
  <c r="AD104" i="1" s="1"/>
  <c r="AF87" i="1" l="1"/>
  <c r="BV103" i="1"/>
  <c r="BW94" i="1"/>
  <c r="BW86" i="1"/>
  <c r="BV102" i="1"/>
  <c r="AF88" i="1"/>
  <c r="AF96" i="1" s="1"/>
  <c r="AE89" i="1"/>
  <c r="AF89" i="1" s="1"/>
  <c r="AF97" i="1" s="1"/>
  <c r="AG94" i="1"/>
  <c r="AE102" i="1"/>
  <c r="AF103" i="1"/>
  <c r="AE103" i="1"/>
  <c r="AG87" i="1" l="1"/>
  <c r="AG95" i="1" s="1"/>
  <c r="AF95" i="1"/>
  <c r="BW103" i="1"/>
  <c r="BX86" i="1"/>
  <c r="BX94" i="1"/>
  <c r="BW102" i="1"/>
  <c r="AE104" i="1"/>
  <c r="AE97" i="1"/>
  <c r="AG88" i="1"/>
  <c r="AG96" i="1" s="1"/>
  <c r="AG89" i="1"/>
  <c r="AG97" i="1" s="1"/>
  <c r="AF102" i="1"/>
  <c r="AH94" i="1"/>
  <c r="AG103" i="1"/>
  <c r="AH87" i="1" l="1"/>
  <c r="BX103" i="1"/>
  <c r="AF104" i="1"/>
  <c r="BY86" i="1"/>
  <c r="BY94" i="1"/>
  <c r="BX102" i="1"/>
  <c r="AH88" i="1"/>
  <c r="AH96" i="1" s="1"/>
  <c r="AH89" i="1"/>
  <c r="AH97" i="1" s="1"/>
  <c r="AI94" i="1"/>
  <c r="AG102" i="1"/>
  <c r="AH103" i="1"/>
  <c r="AI87" i="1" l="1"/>
  <c r="AI95" i="1" s="1"/>
  <c r="AH95" i="1"/>
  <c r="AG104" i="1"/>
  <c r="BZ86" i="1"/>
  <c r="BZ94" i="1"/>
  <c r="BY102" i="1"/>
  <c r="BY103" i="1"/>
  <c r="AI88" i="1"/>
  <c r="AI96" i="1" s="1"/>
  <c r="AI89" i="1"/>
  <c r="AI97" i="1" s="1"/>
  <c r="AH102" i="1"/>
  <c r="AH104" i="1" s="1"/>
  <c r="AJ94" i="1"/>
  <c r="AJ87" i="1" l="1"/>
  <c r="BZ103" i="1"/>
  <c r="CA86" i="1"/>
  <c r="CA94" i="1"/>
  <c r="BZ102" i="1"/>
  <c r="AJ88" i="1"/>
  <c r="AJ96" i="1" s="1"/>
  <c r="AJ89" i="1"/>
  <c r="AJ97" i="1" s="1"/>
  <c r="AK94" i="1"/>
  <c r="AI102" i="1"/>
  <c r="AI103" i="1"/>
  <c r="AK87" i="1" l="1"/>
  <c r="AK95" i="1" s="1"/>
  <c r="AJ95" i="1"/>
  <c r="CA103" i="1"/>
  <c r="AI104" i="1"/>
  <c r="CB86" i="1"/>
  <c r="CB94" i="1"/>
  <c r="CA102" i="1"/>
  <c r="AK88" i="1"/>
  <c r="AK96" i="1" s="1"/>
  <c r="AK89" i="1"/>
  <c r="AK97" i="1" s="1"/>
  <c r="AJ103" i="1"/>
  <c r="AJ102" i="1"/>
  <c r="AL94" i="1"/>
  <c r="AK103" i="1"/>
  <c r="AL87" i="1" l="1"/>
  <c r="CB103" i="1"/>
  <c r="AJ104" i="1"/>
  <c r="CC86" i="1"/>
  <c r="CC94" i="1"/>
  <c r="CB102" i="1"/>
  <c r="AL89" i="1"/>
  <c r="AL97" i="1" s="1"/>
  <c r="AL88" i="1"/>
  <c r="AL96" i="1" s="1"/>
  <c r="AM94" i="1"/>
  <c r="AK102" i="1"/>
  <c r="AK104" i="1" s="1"/>
  <c r="AL103" i="1"/>
  <c r="AM87" i="1" l="1"/>
  <c r="AL95" i="1"/>
  <c r="CD86" i="1"/>
  <c r="CD94" i="1"/>
  <c r="CC102" i="1"/>
  <c r="CC103" i="1"/>
  <c r="AM88" i="1"/>
  <c r="AM96" i="1" s="1"/>
  <c r="AM89" i="1"/>
  <c r="AM97" i="1" s="1"/>
  <c r="AL102" i="1"/>
  <c r="AL104" i="1" s="1"/>
  <c r="AN94" i="1"/>
  <c r="AN87" i="1" l="1"/>
  <c r="AN95" i="1" s="1"/>
  <c r="AM95" i="1"/>
  <c r="CD103" i="1"/>
  <c r="CE94" i="1"/>
  <c r="CE86" i="1"/>
  <c r="CD102" i="1"/>
  <c r="AN89" i="1"/>
  <c r="AN97" i="1" s="1"/>
  <c r="AN88" i="1"/>
  <c r="AN96" i="1" s="1"/>
  <c r="AO94" i="1"/>
  <c r="AM102" i="1"/>
  <c r="AN103" i="1"/>
  <c r="AM103" i="1"/>
  <c r="AO87" i="1" l="1"/>
  <c r="CF86" i="1"/>
  <c r="CF94" i="1"/>
  <c r="CE102" i="1"/>
  <c r="CE103" i="1"/>
  <c r="AM104" i="1"/>
  <c r="AO88" i="1"/>
  <c r="AO96" i="1" s="1"/>
  <c r="AO89" i="1"/>
  <c r="AO97" i="1" s="1"/>
  <c r="AN102" i="1"/>
  <c r="AN104" i="1" s="1"/>
  <c r="AP94" i="1"/>
  <c r="AO103" i="1"/>
  <c r="AP87" i="1" l="1"/>
  <c r="AP95" i="1" s="1"/>
  <c r="AO95" i="1"/>
  <c r="CF103" i="1"/>
  <c r="CG86" i="1"/>
  <c r="CG94" i="1"/>
  <c r="CF102" i="1"/>
  <c r="AP89" i="1"/>
  <c r="AP97" i="1" s="1"/>
  <c r="AP88" i="1"/>
  <c r="AP96" i="1" s="1"/>
  <c r="AQ94" i="1"/>
  <c r="AO102" i="1"/>
  <c r="AO104" i="1" s="1"/>
  <c r="AP103" i="1"/>
  <c r="AQ87" i="1" l="1"/>
  <c r="CH86" i="1"/>
  <c r="CH94" i="1"/>
  <c r="CG102" i="1"/>
  <c r="CG103" i="1"/>
  <c r="AQ88" i="1"/>
  <c r="AQ96" i="1" s="1"/>
  <c r="AQ89" i="1"/>
  <c r="AQ97" i="1" s="1"/>
  <c r="AP102" i="1"/>
  <c r="AP104" i="1" s="1"/>
  <c r="AR94" i="1"/>
  <c r="AR87" i="1" l="1"/>
  <c r="AR95" i="1" s="1"/>
  <c r="AQ95" i="1"/>
  <c r="CH103" i="1"/>
  <c r="CI86" i="1"/>
  <c r="CI94" i="1"/>
  <c r="CH102" i="1"/>
  <c r="AR89" i="1"/>
  <c r="AR97" i="1" s="1"/>
  <c r="AR88" i="1"/>
  <c r="AR96" i="1" s="1"/>
  <c r="AQ103" i="1"/>
  <c r="AS94" i="1"/>
  <c r="AQ102" i="1"/>
  <c r="AR103" i="1"/>
  <c r="AS87" i="1" l="1"/>
  <c r="CI103" i="1"/>
  <c r="AQ104" i="1"/>
  <c r="CJ86" i="1"/>
  <c r="CJ94" i="1"/>
  <c r="CI102" i="1"/>
  <c r="AS88" i="1"/>
  <c r="AS96" i="1" s="1"/>
  <c r="AS89" i="1"/>
  <c r="AS97" i="1" s="1"/>
  <c r="AR102" i="1"/>
  <c r="AR104" i="1" s="1"/>
  <c r="AT94" i="1"/>
  <c r="AT87" i="1" l="1"/>
  <c r="AT95" i="1" s="1"/>
  <c r="AS95" i="1"/>
  <c r="CJ103" i="1"/>
  <c r="CK86" i="1"/>
  <c r="CK94" i="1"/>
  <c r="CJ102" i="1"/>
  <c r="AT89" i="1"/>
  <c r="AU89" i="1" s="1"/>
  <c r="AT88" i="1"/>
  <c r="AU88" i="1" s="1"/>
  <c r="AS103" i="1"/>
  <c r="AS102" i="1"/>
  <c r="AT103" i="1"/>
  <c r="AU87" i="1" l="1"/>
  <c r="AU95" i="1" s="1"/>
  <c r="AT97" i="1"/>
  <c r="AS104" i="1"/>
  <c r="CL86" i="1"/>
  <c r="CK102" i="1"/>
  <c r="CL94" i="1"/>
  <c r="CK103" i="1"/>
  <c r="AU96" i="1"/>
  <c r="AV88" i="1"/>
  <c r="AU97" i="1"/>
  <c r="AV89" i="1"/>
  <c r="AV97" i="1" s="1"/>
  <c r="AT96" i="1"/>
  <c r="AT102" i="1"/>
  <c r="CF104" i="1" s="1"/>
  <c r="AV87" i="1" l="1"/>
  <c r="AV95" i="1" s="1"/>
  <c r="CL103" i="1"/>
  <c r="CM94" i="1"/>
  <c r="CM86" i="1"/>
  <c r="CL102" i="1"/>
  <c r="BG104" i="1"/>
  <c r="BH104" i="1"/>
  <c r="BI104" i="1"/>
  <c r="BJ104" i="1"/>
  <c r="BL104" i="1"/>
  <c r="BK104" i="1"/>
  <c r="BM104" i="1"/>
  <c r="BN104" i="1"/>
  <c r="BO104" i="1"/>
  <c r="BP104" i="1"/>
  <c r="BR104" i="1"/>
  <c r="BQ104" i="1"/>
  <c r="BT104" i="1"/>
  <c r="BS104" i="1"/>
  <c r="BU104" i="1"/>
  <c r="BX104" i="1"/>
  <c r="BV104" i="1"/>
  <c r="BW104" i="1"/>
  <c r="BY104" i="1"/>
  <c r="BZ104" i="1"/>
  <c r="CA104" i="1"/>
  <c r="CB104" i="1"/>
  <c r="CC104" i="1"/>
  <c r="CD104" i="1"/>
  <c r="CE104" i="1"/>
  <c r="CH104" i="1"/>
  <c r="CI104" i="1"/>
  <c r="CG104" i="1"/>
  <c r="CK104" i="1"/>
  <c r="CJ104" i="1"/>
  <c r="AV104" i="1"/>
  <c r="AU104" i="1"/>
  <c r="AY104" i="1"/>
  <c r="AT104" i="1"/>
  <c r="AW104" i="1"/>
  <c r="AX104" i="1"/>
  <c r="AZ104" i="1"/>
  <c r="BA104" i="1"/>
  <c r="BB104" i="1"/>
  <c r="BC104" i="1"/>
  <c r="BD104" i="1"/>
  <c r="BE104" i="1"/>
  <c r="BF104" i="1"/>
  <c r="AW88" i="1"/>
  <c r="AX88" i="1" s="1"/>
  <c r="AW89" i="1"/>
  <c r="AV96" i="1"/>
  <c r="CL104" i="1" l="1"/>
  <c r="AW87" i="1"/>
  <c r="AW95" i="1" s="1"/>
  <c r="CM103" i="1"/>
  <c r="CN86" i="1"/>
  <c r="CN94" i="1"/>
  <c r="CM102" i="1"/>
  <c r="AW97" i="1"/>
  <c r="AX89" i="1"/>
  <c r="AX96" i="1"/>
  <c r="AY88" i="1"/>
  <c r="AZ88" i="1" s="1"/>
  <c r="BA88" i="1" s="1"/>
  <c r="BB88" i="1" s="1"/>
  <c r="AW96" i="1"/>
  <c r="CM104" i="1" l="1"/>
  <c r="AX87" i="1"/>
  <c r="AX95" i="1" s="1"/>
  <c r="CN103" i="1"/>
  <c r="CO86" i="1"/>
  <c r="CO94" i="1"/>
  <c r="CN102" i="1"/>
  <c r="BB96" i="1"/>
  <c r="BC88" i="1"/>
  <c r="BA96" i="1"/>
  <c r="AZ96" i="1"/>
  <c r="AX97" i="1"/>
  <c r="AY89" i="1"/>
  <c r="AY96" i="1"/>
  <c r="CN104" i="1" l="1"/>
  <c r="AY87" i="1"/>
  <c r="AY95" i="1" s="1"/>
  <c r="CO103" i="1"/>
  <c r="CP86" i="1"/>
  <c r="CP94" i="1"/>
  <c r="CO102" i="1"/>
  <c r="BC96" i="1"/>
  <c r="BD88" i="1"/>
  <c r="BE88" i="1" s="1"/>
  <c r="AZ89" i="1"/>
  <c r="BA89" i="1" s="1"/>
  <c r="AY97" i="1"/>
  <c r="CO104" i="1" l="1"/>
  <c r="AZ87" i="1"/>
  <c r="AZ95" i="1" s="1"/>
  <c r="CP103" i="1"/>
  <c r="CQ86" i="1"/>
  <c r="CQ94" i="1"/>
  <c r="CP102" i="1"/>
  <c r="BD96" i="1"/>
  <c r="BE96" i="1"/>
  <c r="BF88" i="1"/>
  <c r="BB89" i="1"/>
  <c r="BB97" i="1" s="1"/>
  <c r="BA97" i="1"/>
  <c r="AZ97" i="1"/>
  <c r="CP104" i="1" l="1"/>
  <c r="BA87" i="1"/>
  <c r="BA95" i="1" s="1"/>
  <c r="BF96" i="1"/>
  <c r="BG88" i="1"/>
  <c r="BG96" i="1" s="1"/>
  <c r="CR86" i="1"/>
  <c r="CR94" i="1"/>
  <c r="CQ102" i="1"/>
  <c r="CQ103" i="1"/>
  <c r="BC89" i="1"/>
  <c r="BC97" i="1" s="1"/>
  <c r="BB87" i="1" l="1"/>
  <c r="BB95" i="1" s="1"/>
  <c r="CR103" i="1"/>
  <c r="CQ104" i="1"/>
  <c r="BH88" i="1"/>
  <c r="CS86" i="1"/>
  <c r="CS94" i="1"/>
  <c r="CR102" i="1"/>
  <c r="BD89" i="1"/>
  <c r="BE89" i="1" s="1"/>
  <c r="CR104" i="1" l="1"/>
  <c r="BC87" i="1"/>
  <c r="BC95" i="1" s="1"/>
  <c r="CS103" i="1"/>
  <c r="BI88" i="1"/>
  <c r="BI96" i="1" s="1"/>
  <c r="BH96" i="1"/>
  <c r="CT86" i="1"/>
  <c r="CT94" i="1"/>
  <c r="CS102" i="1"/>
  <c r="BD97" i="1"/>
  <c r="BE97" i="1"/>
  <c r="BF89" i="1"/>
  <c r="CS104" i="1" l="1"/>
  <c r="BD87" i="1"/>
  <c r="BD95" i="1" s="1"/>
  <c r="CT103" i="1"/>
  <c r="BF97" i="1"/>
  <c r="BG89" i="1"/>
  <c r="BG97" i="1" s="1"/>
  <c r="BJ88" i="1"/>
  <c r="BJ96" i="1" s="1"/>
  <c r="CU94" i="1"/>
  <c r="CU86" i="1"/>
  <c r="CT102" i="1"/>
  <c r="CT104" i="1" l="1"/>
  <c r="BE87" i="1"/>
  <c r="BE95" i="1" s="1"/>
  <c r="CU103" i="1"/>
  <c r="BK88" i="1"/>
  <c r="BH89" i="1"/>
  <c r="CV86" i="1"/>
  <c r="CV94" i="1"/>
  <c r="CU102" i="1"/>
  <c r="CU104" i="1" l="1"/>
  <c r="BF87" i="1"/>
  <c r="BF95" i="1" s="1"/>
  <c r="CV103" i="1"/>
  <c r="BI89" i="1"/>
  <c r="BL88" i="1"/>
  <c r="BH97" i="1"/>
  <c r="BK96" i="1"/>
  <c r="CW86" i="1"/>
  <c r="CW94" i="1"/>
  <c r="CV102" i="1"/>
  <c r="CV104" i="1" l="1"/>
  <c r="BG87" i="1"/>
  <c r="BG95" i="1" s="1"/>
  <c r="CW103" i="1"/>
  <c r="BM88" i="1"/>
  <c r="BM96" i="1" s="1"/>
  <c r="BJ89" i="1"/>
  <c r="BJ97" i="1" s="1"/>
  <c r="BL96" i="1"/>
  <c r="BI97" i="1"/>
  <c r="CX86" i="1"/>
  <c r="CX94" i="1"/>
  <c r="CW102" i="1"/>
  <c r="CW104" i="1" l="1"/>
  <c r="BH87" i="1"/>
  <c r="BH95" i="1" s="1"/>
  <c r="CX103" i="1"/>
  <c r="BK89" i="1"/>
  <c r="BK97" i="1" s="1"/>
  <c r="BN88" i="1"/>
  <c r="BN96" i="1" s="1"/>
  <c r="CY86" i="1"/>
  <c r="CY94" i="1"/>
  <c r="CX102" i="1"/>
  <c r="CX104" i="1" l="1"/>
  <c r="CY87" i="1"/>
  <c r="BI87" i="1"/>
  <c r="BI95" i="1" s="1"/>
  <c r="CY103" i="1"/>
  <c r="CY95" i="1"/>
  <c r="BO88" i="1"/>
  <c r="BO96" i="1" s="1"/>
  <c r="BL89" i="1"/>
  <c r="BL97" i="1" s="1"/>
  <c r="CZ86" i="1"/>
  <c r="CZ94" i="1"/>
  <c r="CY102" i="1"/>
  <c r="CY104" i="1" l="1"/>
  <c r="BJ87" i="1"/>
  <c r="BJ95" i="1" s="1"/>
  <c r="CZ87" i="1"/>
  <c r="CZ95" i="1" s="1"/>
  <c r="CZ103" i="1"/>
  <c r="BM89" i="1"/>
  <c r="BM97" i="1" s="1"/>
  <c r="BP88" i="1"/>
  <c r="BP96" i="1" s="1"/>
  <c r="DA86" i="1"/>
  <c r="DA94" i="1"/>
  <c r="CZ102" i="1"/>
  <c r="CZ104" i="1" l="1"/>
  <c r="BK87" i="1"/>
  <c r="BK95" i="1" s="1"/>
  <c r="DA87" i="1"/>
  <c r="DA95" i="1" s="1"/>
  <c r="DA103" i="1"/>
  <c r="BQ88" i="1"/>
  <c r="BQ96" i="1" s="1"/>
  <c r="BN89" i="1"/>
  <c r="BN97" i="1" s="1"/>
  <c r="DB86" i="1"/>
  <c r="DA102" i="1"/>
  <c r="DB94" i="1"/>
  <c r="DB87" i="1" l="1"/>
  <c r="DA104" i="1"/>
  <c r="BL87" i="1"/>
  <c r="BL95" i="1" s="1"/>
  <c r="DB95" i="1"/>
  <c r="DB103" i="1"/>
  <c r="BO89" i="1"/>
  <c r="BO97" i="1" s="1"/>
  <c r="BR88" i="1"/>
  <c r="BR96" i="1" s="1"/>
  <c r="DC94" i="1"/>
  <c r="DC86" i="1"/>
  <c r="DB102" i="1"/>
  <c r="DB104" i="1" l="1"/>
  <c r="BM87" i="1"/>
  <c r="BM95" i="1" s="1"/>
  <c r="DC103" i="1"/>
  <c r="DC87" i="1"/>
  <c r="DC95" i="1" s="1"/>
  <c r="BS88" i="1"/>
  <c r="BS96" i="1" s="1"/>
  <c r="BP89" i="1"/>
  <c r="BP97" i="1" s="1"/>
  <c r="DD86" i="1"/>
  <c r="DD94" i="1"/>
  <c r="DC102" i="1"/>
  <c r="DC104" i="1" l="1"/>
  <c r="BN87" i="1"/>
  <c r="BN95" i="1" s="1"/>
  <c r="DD103" i="1"/>
  <c r="DD87" i="1"/>
  <c r="DD95" i="1" s="1"/>
  <c r="BQ89" i="1"/>
  <c r="BQ97" i="1" s="1"/>
  <c r="BT88" i="1"/>
  <c r="BT96" i="1" s="1"/>
  <c r="DE86" i="1"/>
  <c r="DE94" i="1"/>
  <c r="DD102" i="1"/>
  <c r="DD104" i="1" l="1"/>
  <c r="BO87" i="1"/>
  <c r="DE103" i="1"/>
  <c r="DE87" i="1"/>
  <c r="DE95" i="1" s="1"/>
  <c r="BU88" i="1"/>
  <c r="BR89" i="1"/>
  <c r="DF86" i="1"/>
  <c r="DF94" i="1"/>
  <c r="DE102" i="1"/>
  <c r="DF87" i="1" l="1"/>
  <c r="DE104" i="1"/>
  <c r="BO95" i="1"/>
  <c r="BP87" i="1"/>
  <c r="DF103" i="1"/>
  <c r="DF95" i="1"/>
  <c r="BS89" i="1"/>
  <c r="BV88" i="1"/>
  <c r="BV96" i="1" s="1"/>
  <c r="BR97" i="1"/>
  <c r="BU96" i="1"/>
  <c r="DG86" i="1"/>
  <c r="DG94" i="1"/>
  <c r="DF102" i="1"/>
  <c r="DF104" i="1" s="1"/>
  <c r="BQ87" i="1" l="1"/>
  <c r="BQ95" i="1" s="1"/>
  <c r="BP95" i="1"/>
  <c r="DG87" i="1"/>
  <c r="DG95" i="1" s="1"/>
  <c r="DG103" i="1"/>
  <c r="BT89" i="1"/>
  <c r="BW88" i="1"/>
  <c r="BW96" i="1" s="1"/>
  <c r="BS97" i="1"/>
  <c r="DH86" i="1"/>
  <c r="DH94" i="1"/>
  <c r="DG102" i="1"/>
  <c r="DG104" i="1" l="1"/>
  <c r="DH87" i="1"/>
  <c r="BR87" i="1"/>
  <c r="DH103" i="1"/>
  <c r="DH95" i="1"/>
  <c r="BU89" i="1"/>
  <c r="BU97" i="1" s="1"/>
  <c r="BX88" i="1"/>
  <c r="BT97" i="1"/>
  <c r="DI86" i="1"/>
  <c r="DI94" i="1"/>
  <c r="DH102" i="1"/>
  <c r="DH104" i="1" l="1"/>
  <c r="DI87" i="1"/>
  <c r="BR95" i="1"/>
  <c r="BS87" i="1"/>
  <c r="BS95" i="1" s="1"/>
  <c r="DI103" i="1"/>
  <c r="DI95" i="1"/>
  <c r="BY88" i="1"/>
  <c r="BY96" i="1" s="1"/>
  <c r="BX96" i="1"/>
  <c r="BV89" i="1"/>
  <c r="DJ86" i="1"/>
  <c r="DJ94" i="1"/>
  <c r="DI102" i="1"/>
  <c r="DI104" i="1" l="1"/>
  <c r="DJ87" i="1"/>
  <c r="BT87" i="1"/>
  <c r="DJ103" i="1"/>
  <c r="DJ95" i="1"/>
  <c r="BW89" i="1"/>
  <c r="BW97" i="1" s="1"/>
  <c r="BZ88" i="1"/>
  <c r="BZ96" i="1" s="1"/>
  <c r="BV97" i="1"/>
  <c r="DK94" i="1"/>
  <c r="DK86" i="1"/>
  <c r="DJ102" i="1"/>
  <c r="DK87" i="1" l="1"/>
  <c r="DJ104" i="1"/>
  <c r="BU87" i="1"/>
  <c r="BT95" i="1"/>
  <c r="DK103" i="1"/>
  <c r="DL87" i="1"/>
  <c r="DK95" i="1"/>
  <c r="CA88" i="1"/>
  <c r="CA96" i="1" s="1"/>
  <c r="BX89" i="1"/>
  <c r="BX97" i="1" s="1"/>
  <c r="DL86" i="1"/>
  <c r="DL94" i="1"/>
  <c r="DK102" i="1"/>
  <c r="DK104" i="1" s="1"/>
  <c r="DL95" i="1" l="1"/>
  <c r="BU95" i="1"/>
  <c r="BV87" i="1"/>
  <c r="DL103" i="1"/>
  <c r="DM87" i="1"/>
  <c r="BY89" i="1"/>
  <c r="BY97" i="1" s="1"/>
  <c r="CB88" i="1"/>
  <c r="CB96" i="1" s="1"/>
  <c r="DM86" i="1"/>
  <c r="DM94" i="1"/>
  <c r="DL102" i="1"/>
  <c r="DL104" i="1" l="1"/>
  <c r="DM95" i="1"/>
  <c r="BW87" i="1"/>
  <c r="BW95" i="1" s="1"/>
  <c r="BV95" i="1"/>
  <c r="DM103" i="1"/>
  <c r="DN87" i="1"/>
  <c r="CC88" i="1"/>
  <c r="BZ89" i="1"/>
  <c r="DN86" i="1"/>
  <c r="DN94" i="1"/>
  <c r="DM102" i="1"/>
  <c r="DN95" i="1" l="1"/>
  <c r="BX87" i="1"/>
  <c r="BY87" i="1" s="1"/>
  <c r="DM104" i="1"/>
  <c r="DN103" i="1"/>
  <c r="DO87" i="1"/>
  <c r="CA89" i="1"/>
  <c r="CD88" i="1"/>
  <c r="CD96" i="1" s="1"/>
  <c r="BZ97" i="1"/>
  <c r="CC96" i="1"/>
  <c r="DO86" i="1"/>
  <c r="DO94" i="1"/>
  <c r="DN102" i="1"/>
  <c r="DO95" i="1" l="1"/>
  <c r="BX95" i="1"/>
  <c r="BY95" i="1"/>
  <c r="BZ87" i="1"/>
  <c r="DN104" i="1"/>
  <c r="DO103" i="1"/>
  <c r="DP87" i="1"/>
  <c r="CB89" i="1"/>
  <c r="CB97" i="1" s="1"/>
  <c r="CE88" i="1"/>
  <c r="CA97" i="1"/>
  <c r="DP86" i="1"/>
  <c r="DP94" i="1"/>
  <c r="DO102" i="1"/>
  <c r="DO104" i="1" l="1"/>
  <c r="DP95" i="1"/>
  <c r="BZ95" i="1"/>
  <c r="CA87" i="1"/>
  <c r="DP103" i="1"/>
  <c r="DQ87" i="1"/>
  <c r="CF88" i="1"/>
  <c r="CE96" i="1"/>
  <c r="CC89" i="1"/>
  <c r="CC97" i="1" s="1"/>
  <c r="DQ86" i="1"/>
  <c r="DQ94" i="1"/>
  <c r="DP102" i="1"/>
  <c r="DP104" i="1" l="1"/>
  <c r="DQ95" i="1"/>
  <c r="CA95" i="1"/>
  <c r="CB87" i="1"/>
  <c r="DQ103" i="1"/>
  <c r="DR87" i="1"/>
  <c r="CG88" i="1"/>
  <c r="CD89" i="1"/>
  <c r="CD97" i="1" s="1"/>
  <c r="CF96" i="1"/>
  <c r="DR86" i="1"/>
  <c r="DQ102" i="1"/>
  <c r="DR94" i="1"/>
  <c r="DQ104" i="1" l="1"/>
  <c r="DR95" i="1"/>
  <c r="CB95" i="1"/>
  <c r="CC87" i="1"/>
  <c r="DR103" i="1"/>
  <c r="DS87" i="1"/>
  <c r="CH88" i="1"/>
  <c r="CE89" i="1"/>
  <c r="CG96" i="1"/>
  <c r="DS94" i="1"/>
  <c r="DS86" i="1"/>
  <c r="DR102" i="1"/>
  <c r="DR104" i="1" l="1"/>
  <c r="DS95" i="1"/>
  <c r="CC95" i="1"/>
  <c r="CD87" i="1"/>
  <c r="DS103" i="1"/>
  <c r="DT87" i="1"/>
  <c r="CF89" i="1"/>
  <c r="CF97" i="1" s="1"/>
  <c r="CI88" i="1"/>
  <c r="CI96" i="1" s="1"/>
  <c r="CE97" i="1"/>
  <c r="CH96" i="1"/>
  <c r="DT86" i="1"/>
  <c r="DT94" i="1"/>
  <c r="DS102" i="1"/>
  <c r="DS104" i="1" l="1"/>
  <c r="DT95" i="1"/>
  <c r="CD95" i="1"/>
  <c r="CE87" i="1"/>
  <c r="DT103" i="1"/>
  <c r="DU87" i="1"/>
  <c r="CJ88" i="1"/>
  <c r="CJ96" i="1" s="1"/>
  <c r="CG89" i="1"/>
  <c r="DU86" i="1"/>
  <c r="DU94" i="1"/>
  <c r="DT102" i="1"/>
  <c r="DT104" i="1" s="1"/>
  <c r="DU95" i="1" l="1"/>
  <c r="CE95" i="1"/>
  <c r="CF87" i="1"/>
  <c r="DU103" i="1"/>
  <c r="DV87" i="1"/>
  <c r="CH89" i="1"/>
  <c r="CH97" i="1" s="1"/>
  <c r="CG97" i="1"/>
  <c r="CK88" i="1"/>
  <c r="DV86" i="1"/>
  <c r="DV94" i="1"/>
  <c r="DU102" i="1"/>
  <c r="DU104" i="1" l="1"/>
  <c r="DV95" i="1"/>
  <c r="CF95" i="1"/>
  <c r="CG87" i="1"/>
  <c r="DV103" i="1"/>
  <c r="DW87" i="1"/>
  <c r="CL88" i="1"/>
  <c r="CL96" i="1" s="1"/>
  <c r="CK96" i="1"/>
  <c r="CI89" i="1"/>
  <c r="DW86" i="1"/>
  <c r="DW94" i="1"/>
  <c r="DV102" i="1"/>
  <c r="DW95" i="1" l="1"/>
  <c r="CG95" i="1"/>
  <c r="CH87" i="1"/>
  <c r="DV104" i="1"/>
  <c r="DW103" i="1"/>
  <c r="DX87" i="1"/>
  <c r="CJ89" i="1"/>
  <c r="CI97" i="1"/>
  <c r="CM88" i="1"/>
  <c r="CM96" i="1" s="1"/>
  <c r="DX86" i="1"/>
  <c r="DX94" i="1"/>
  <c r="DW102" i="1"/>
  <c r="DX95" i="1" l="1"/>
  <c r="CH95" i="1"/>
  <c r="CI87" i="1"/>
  <c r="DW104" i="1"/>
  <c r="DX103" i="1"/>
  <c r="DY87" i="1"/>
  <c r="CK89" i="1"/>
  <c r="CN88" i="1"/>
  <c r="CN96" i="1" s="1"/>
  <c r="CJ97" i="1"/>
  <c r="DY86" i="1"/>
  <c r="DY94" i="1"/>
  <c r="DX102" i="1"/>
  <c r="DX104" i="1" l="1"/>
  <c r="DY95" i="1"/>
  <c r="CI95" i="1"/>
  <c r="CJ87" i="1"/>
  <c r="CJ95" i="1" s="1"/>
  <c r="DY103" i="1"/>
  <c r="DZ87" i="1"/>
  <c r="CL89" i="1"/>
  <c r="CO88" i="1"/>
  <c r="CO96" i="1" s="1"/>
  <c r="CK97" i="1"/>
  <c r="DZ86" i="1"/>
  <c r="DZ94" i="1"/>
  <c r="DY102" i="1"/>
  <c r="DY104" i="1" l="1"/>
  <c r="DZ95" i="1"/>
  <c r="CK87" i="1"/>
  <c r="CL87" i="1" s="1"/>
  <c r="CK95" i="1"/>
  <c r="DZ103" i="1"/>
  <c r="EA87" i="1"/>
  <c r="CM89" i="1"/>
  <c r="CM97" i="1" s="1"/>
  <c r="CP88" i="1"/>
  <c r="CP96" i="1" s="1"/>
  <c r="CL97" i="1"/>
  <c r="EA94" i="1"/>
  <c r="EA86" i="1"/>
  <c r="DZ102" i="1"/>
  <c r="DZ104" i="1" l="1"/>
  <c r="EA95" i="1"/>
  <c r="CL95" i="1"/>
  <c r="CM87" i="1"/>
  <c r="EA103" i="1"/>
  <c r="EB87" i="1"/>
  <c r="CQ88" i="1"/>
  <c r="CN89" i="1"/>
  <c r="CN97" i="1" s="1"/>
  <c r="EB86" i="1"/>
  <c r="EB94" i="1"/>
  <c r="EA102" i="1"/>
  <c r="EA104" i="1" l="1"/>
  <c r="EB95" i="1"/>
  <c r="CM95" i="1"/>
  <c r="CN87" i="1"/>
  <c r="EB103" i="1"/>
  <c r="EC87" i="1"/>
  <c r="CR88" i="1"/>
  <c r="CO89" i="1"/>
  <c r="CO97" i="1" s="1"/>
  <c r="CQ96" i="1"/>
  <c r="EC86" i="1"/>
  <c r="EC94" i="1"/>
  <c r="EB102" i="1"/>
  <c r="EB104" i="1" l="1"/>
  <c r="EC95" i="1"/>
  <c r="CN95" i="1"/>
  <c r="CO87" i="1"/>
  <c r="EC103" i="1"/>
  <c r="ED87" i="1"/>
  <c r="CS88" i="1"/>
  <c r="CP89" i="1"/>
  <c r="CP97" i="1" s="1"/>
  <c r="CR96" i="1"/>
  <c r="ED86" i="1"/>
  <c r="ED94" i="1"/>
  <c r="EC102" i="1"/>
  <c r="EC104" i="1" s="1"/>
  <c r="ED95" i="1" l="1"/>
  <c r="CO95" i="1"/>
  <c r="CP87" i="1"/>
  <c r="ED103" i="1"/>
  <c r="EE87" i="1"/>
  <c r="CT88" i="1"/>
  <c r="CT96" i="1" s="1"/>
  <c r="CQ89" i="1"/>
  <c r="CQ97" i="1" s="1"/>
  <c r="CS96" i="1"/>
  <c r="EE86" i="1"/>
  <c r="EE94" i="1"/>
  <c r="ED102" i="1"/>
  <c r="EE95" i="1" l="1"/>
  <c r="CP95" i="1"/>
  <c r="CQ87" i="1"/>
  <c r="ED104" i="1"/>
  <c r="EE103" i="1"/>
  <c r="EF87" i="1"/>
  <c r="CR89" i="1"/>
  <c r="CR97" i="1" s="1"/>
  <c r="CU88" i="1"/>
  <c r="CU96" i="1" s="1"/>
  <c r="EF86" i="1"/>
  <c r="EF94" i="1"/>
  <c r="EE102" i="1"/>
  <c r="EF95" i="1" l="1"/>
  <c r="CQ95" i="1"/>
  <c r="CR87" i="1"/>
  <c r="EE104" i="1"/>
  <c r="EF103" i="1"/>
  <c r="EG87" i="1"/>
  <c r="CS89" i="1"/>
  <c r="CS97" i="1" s="1"/>
  <c r="CV88" i="1"/>
  <c r="CV96" i="1" s="1"/>
  <c r="EG86" i="1"/>
  <c r="EG94" i="1"/>
  <c r="EF102" i="1"/>
  <c r="EG95" i="1" l="1"/>
  <c r="CR95" i="1"/>
  <c r="CS87" i="1"/>
  <c r="EF104" i="1"/>
  <c r="EG103" i="1"/>
  <c r="EH87" i="1"/>
  <c r="CW88" i="1"/>
  <c r="CT89" i="1"/>
  <c r="EH86" i="1"/>
  <c r="EG102" i="1"/>
  <c r="EH94" i="1"/>
  <c r="EH95" i="1" l="1"/>
  <c r="CS95" i="1"/>
  <c r="CT87" i="1"/>
  <c r="EG104" i="1"/>
  <c r="EH103" i="1"/>
  <c r="EI87" i="1"/>
  <c r="CU89" i="1"/>
  <c r="CU97" i="1" s="1"/>
  <c r="CX88" i="1"/>
  <c r="CX96" i="1" s="1"/>
  <c r="CT97" i="1"/>
  <c r="CW96" i="1"/>
  <c r="EI94" i="1"/>
  <c r="EI86" i="1"/>
  <c r="EH102" i="1"/>
  <c r="EH104" i="1" s="1"/>
  <c r="EI95" i="1" l="1"/>
  <c r="CT95" i="1"/>
  <c r="CU87" i="1"/>
  <c r="CV87" i="1" s="1"/>
  <c r="CU95" i="1"/>
  <c r="EI103" i="1"/>
  <c r="EJ87" i="1"/>
  <c r="CY88" i="1"/>
  <c r="CV89" i="1"/>
  <c r="EJ86" i="1"/>
  <c r="EJ94" i="1"/>
  <c r="EI102" i="1"/>
  <c r="EJ95" i="1" l="1"/>
  <c r="EI104" i="1"/>
  <c r="CV95" i="1"/>
  <c r="CW87" i="1"/>
  <c r="EJ103" i="1"/>
  <c r="EK87" i="1"/>
  <c r="CW89" i="1"/>
  <c r="CZ88" i="1"/>
  <c r="CV97" i="1"/>
  <c r="CY96" i="1"/>
  <c r="EK86" i="1"/>
  <c r="EK94" i="1"/>
  <c r="EJ102" i="1"/>
  <c r="EJ104" i="1" s="1"/>
  <c r="EK95" i="1" l="1"/>
  <c r="CW95" i="1"/>
  <c r="CX87" i="1"/>
  <c r="CX95" i="1" s="1"/>
  <c r="EK103" i="1"/>
  <c r="EL87" i="1"/>
  <c r="DA88" i="1"/>
  <c r="CX89" i="1"/>
  <c r="CZ96" i="1"/>
  <c r="CW97" i="1"/>
  <c r="EL86" i="1"/>
  <c r="EL94" i="1"/>
  <c r="EK102" i="1"/>
  <c r="EK104" i="1" s="1"/>
  <c r="EL95" i="1" l="1"/>
  <c r="EL103" i="1"/>
  <c r="EM87" i="1"/>
  <c r="CY89" i="1"/>
  <c r="CY97" i="1" s="1"/>
  <c r="DB88" i="1"/>
  <c r="DB96" i="1" s="1"/>
  <c r="CX97" i="1"/>
  <c r="DA96" i="1"/>
  <c r="EM86" i="1"/>
  <c r="EM94" i="1"/>
  <c r="EL102" i="1"/>
  <c r="EL104" i="1" s="1"/>
  <c r="EM95" i="1" l="1"/>
  <c r="EM103" i="1"/>
  <c r="EN87" i="1"/>
  <c r="DC88" i="1"/>
  <c r="CZ89" i="1"/>
  <c r="CZ97" i="1" s="1"/>
  <c r="EN86" i="1"/>
  <c r="EN94" i="1"/>
  <c r="EM102" i="1"/>
  <c r="EM104" i="1" s="1"/>
  <c r="EN95" i="1" l="1"/>
  <c r="EN103" i="1"/>
  <c r="EO87" i="1"/>
  <c r="DD88" i="1"/>
  <c r="DA89" i="1"/>
  <c r="DC96" i="1"/>
  <c r="EO86" i="1"/>
  <c r="EO94" i="1"/>
  <c r="EN102" i="1"/>
  <c r="EN104" i="1" l="1"/>
  <c r="EO95" i="1"/>
  <c r="EO103" i="1"/>
  <c r="EP87" i="1"/>
  <c r="DB89" i="1"/>
  <c r="DB97" i="1" s="1"/>
  <c r="DE88" i="1"/>
  <c r="DA97" i="1"/>
  <c r="DD96" i="1"/>
  <c r="EP86" i="1"/>
  <c r="EP94" i="1"/>
  <c r="EO102" i="1"/>
  <c r="EO104" i="1" l="1"/>
  <c r="EP95" i="1"/>
  <c r="EP103" i="1"/>
  <c r="EQ87" i="1"/>
  <c r="DF88" i="1"/>
  <c r="DF96" i="1" s="1"/>
  <c r="DC89" i="1"/>
  <c r="DE96" i="1"/>
  <c r="EQ94" i="1"/>
  <c r="EQ86" i="1"/>
  <c r="EP102" i="1"/>
  <c r="EQ95" i="1" l="1"/>
  <c r="EP104" i="1"/>
  <c r="EQ103" i="1"/>
  <c r="ER87" i="1"/>
  <c r="DD89" i="1"/>
  <c r="DD97" i="1" s="1"/>
  <c r="DC97" i="1"/>
  <c r="DG88" i="1"/>
  <c r="DG96" i="1" s="1"/>
  <c r="ER86" i="1"/>
  <c r="ER94" i="1"/>
  <c r="EQ102" i="1"/>
  <c r="ER95" i="1" l="1"/>
  <c r="EQ104" i="1"/>
  <c r="ER103" i="1"/>
  <c r="ES87" i="1"/>
  <c r="DH88" i="1"/>
  <c r="DH96" i="1" s="1"/>
  <c r="DE89" i="1"/>
  <c r="DE97" i="1" s="1"/>
  <c r="ES86" i="1"/>
  <c r="ES94" i="1"/>
  <c r="ER102" i="1"/>
  <c r="ER104" i="1" l="1"/>
  <c r="ES95" i="1"/>
  <c r="ES103" i="1"/>
  <c r="ET87" i="1"/>
  <c r="DF89" i="1"/>
  <c r="DI88" i="1"/>
  <c r="DI96" i="1" s="1"/>
  <c r="ET86" i="1"/>
  <c r="ET94" i="1"/>
  <c r="ES102" i="1"/>
  <c r="ES104" i="1" l="1"/>
  <c r="ET95" i="1"/>
  <c r="ET103" i="1"/>
  <c r="EU87" i="1"/>
  <c r="DG89" i="1"/>
  <c r="DG97" i="1" s="1"/>
  <c r="DJ88" i="1"/>
  <c r="DJ96" i="1" s="1"/>
  <c r="DF97" i="1"/>
  <c r="EU86" i="1"/>
  <c r="EU94" i="1"/>
  <c r="ET102" i="1"/>
  <c r="ET104" i="1" s="1"/>
  <c r="EU95" i="1" l="1"/>
  <c r="EU103" i="1"/>
  <c r="EV87" i="1"/>
  <c r="DK88" i="1"/>
  <c r="DH89" i="1"/>
  <c r="DH97" i="1" s="1"/>
  <c r="EV86" i="1"/>
  <c r="EV94" i="1"/>
  <c r="EU102" i="1"/>
  <c r="EU104" i="1" s="1"/>
  <c r="EV95" i="1" l="1"/>
  <c r="EV103" i="1"/>
  <c r="EW87" i="1"/>
  <c r="DL88" i="1"/>
  <c r="DL96" i="1" s="1"/>
  <c r="DI89" i="1"/>
  <c r="DI97" i="1" s="1"/>
  <c r="DK96" i="1"/>
  <c r="EW86" i="1"/>
  <c r="EW94" i="1"/>
  <c r="EV102" i="1"/>
  <c r="EV104" i="1" l="1"/>
  <c r="EW95" i="1"/>
  <c r="EW103" i="1"/>
  <c r="EX87" i="1"/>
  <c r="DJ89" i="1"/>
  <c r="DM88" i="1"/>
  <c r="DM96" i="1" s="1"/>
  <c r="EX86" i="1"/>
  <c r="EW102" i="1"/>
  <c r="EX94" i="1"/>
  <c r="EW104" i="1" l="1"/>
  <c r="EX95" i="1"/>
  <c r="EX103" i="1"/>
  <c r="EY87" i="1"/>
  <c r="DK89" i="1"/>
  <c r="DN88" i="1"/>
  <c r="DN96" i="1" s="1"/>
  <c r="DJ97" i="1"/>
  <c r="EY94" i="1"/>
  <c r="EY86" i="1"/>
  <c r="EX102" i="1"/>
  <c r="EY95" i="1" l="1"/>
  <c r="EX104" i="1"/>
  <c r="EY103" i="1"/>
  <c r="EZ87" i="1"/>
  <c r="DL89" i="1"/>
  <c r="DL97" i="1" s="1"/>
  <c r="DO88" i="1"/>
  <c r="DK97" i="1"/>
  <c r="EZ86" i="1"/>
  <c r="EZ94" i="1"/>
  <c r="EY102" i="1"/>
  <c r="EY104" i="1" l="1"/>
  <c r="EZ95" i="1"/>
  <c r="EZ103" i="1"/>
  <c r="FA87" i="1"/>
  <c r="DP88" i="1"/>
  <c r="DO96" i="1"/>
  <c r="DM89" i="1"/>
  <c r="FA86" i="1"/>
  <c r="FA94" i="1"/>
  <c r="EZ102" i="1"/>
  <c r="EZ104" i="1" l="1"/>
  <c r="FA95" i="1"/>
  <c r="FA103" i="1"/>
  <c r="FB87" i="1"/>
  <c r="DN89" i="1"/>
  <c r="DN97" i="1" s="1"/>
  <c r="DQ88" i="1"/>
  <c r="DM97" i="1"/>
  <c r="DP96" i="1"/>
  <c r="FB86" i="1"/>
  <c r="FB94" i="1"/>
  <c r="FA102" i="1"/>
  <c r="FA104" i="1" s="1"/>
  <c r="FB95" i="1" l="1"/>
  <c r="FB103" i="1"/>
  <c r="FC87" i="1"/>
  <c r="DR88" i="1"/>
  <c r="DR96" i="1" s="1"/>
  <c r="DQ96" i="1"/>
  <c r="DO89" i="1"/>
  <c r="FC86" i="1"/>
  <c r="FC94" i="1"/>
  <c r="FB102" i="1"/>
  <c r="FB104" i="1" l="1"/>
  <c r="FC95" i="1"/>
  <c r="FC103" i="1"/>
  <c r="FD87" i="1"/>
  <c r="DP89" i="1"/>
  <c r="DP97" i="1" s="1"/>
  <c r="DO97" i="1"/>
  <c r="DS88" i="1"/>
  <c r="FD86" i="1"/>
  <c r="FD94" i="1"/>
  <c r="FC102" i="1"/>
  <c r="FC104" i="1" l="1"/>
  <c r="FD95" i="1"/>
  <c r="FD103" i="1"/>
  <c r="FE87" i="1"/>
  <c r="DT88" i="1"/>
  <c r="DT96" i="1" s="1"/>
  <c r="DS96" i="1"/>
  <c r="DQ89" i="1"/>
  <c r="DQ97" i="1" s="1"/>
  <c r="FE86" i="1"/>
  <c r="FE94" i="1"/>
  <c r="FD102" i="1"/>
  <c r="FD104" i="1" l="1"/>
  <c r="FE95" i="1"/>
  <c r="FE103" i="1"/>
  <c r="FF87" i="1"/>
  <c r="DR89" i="1"/>
  <c r="DR97" i="1" s="1"/>
  <c r="DU88" i="1"/>
  <c r="DU96" i="1" s="1"/>
  <c r="FF86" i="1"/>
  <c r="FF94" i="1"/>
  <c r="FE102" i="1"/>
  <c r="FE104" i="1" s="1"/>
  <c r="FF95" i="1" l="1"/>
  <c r="FF103" i="1"/>
  <c r="FG87" i="1"/>
  <c r="DV88" i="1"/>
  <c r="DV96" i="1" s="1"/>
  <c r="DS89" i="1"/>
  <c r="DS97" i="1" s="1"/>
  <c r="FG94" i="1"/>
  <c r="FG86" i="1"/>
  <c r="FF102" i="1"/>
  <c r="FF104" i="1" s="1"/>
  <c r="FG95" i="1" l="1"/>
  <c r="FG103" i="1"/>
  <c r="FH87" i="1"/>
  <c r="DT89" i="1"/>
  <c r="DT97" i="1" s="1"/>
  <c r="DW88" i="1"/>
  <c r="DW96" i="1" s="1"/>
  <c r="FH86" i="1"/>
  <c r="FH94" i="1"/>
  <c r="FG102" i="1"/>
  <c r="FG104" i="1" s="1"/>
  <c r="FH95" i="1" l="1"/>
  <c r="FH103" i="1"/>
  <c r="FI87" i="1"/>
  <c r="DX88" i="1"/>
  <c r="DX96" i="1" s="1"/>
  <c r="DU89" i="1"/>
  <c r="DU97" i="1" s="1"/>
  <c r="FI86" i="1"/>
  <c r="FI94" i="1"/>
  <c r="FH102" i="1"/>
  <c r="FH104" i="1" s="1"/>
  <c r="FI95" i="1" l="1"/>
  <c r="FI103" i="1"/>
  <c r="FJ87" i="1"/>
  <c r="DV89" i="1"/>
  <c r="DV97" i="1" s="1"/>
  <c r="DY88" i="1"/>
  <c r="DY96" i="1" s="1"/>
  <c r="FJ86" i="1"/>
  <c r="FJ94" i="1"/>
  <c r="FI102" i="1"/>
  <c r="FI104" i="1" s="1"/>
  <c r="FJ95" i="1" l="1"/>
  <c r="FJ103" i="1"/>
  <c r="FK87" i="1"/>
  <c r="DW89" i="1"/>
  <c r="DW97" i="1" s="1"/>
  <c r="DZ88" i="1"/>
  <c r="DZ96" i="1" s="1"/>
  <c r="FK86" i="1"/>
  <c r="FK94" i="1"/>
  <c r="FJ102" i="1"/>
  <c r="FJ104" i="1" s="1"/>
  <c r="FK95" i="1" l="1"/>
  <c r="FK103" i="1"/>
  <c r="FL87" i="1"/>
  <c r="EA88" i="1"/>
  <c r="DX89" i="1"/>
  <c r="FL86" i="1"/>
  <c r="FL94" i="1"/>
  <c r="FK102" i="1"/>
  <c r="FL95" i="1" l="1"/>
  <c r="FK104" i="1"/>
  <c r="FL103" i="1"/>
  <c r="FM87" i="1"/>
  <c r="DY89" i="1"/>
  <c r="DY97" i="1" s="1"/>
  <c r="EB88" i="1"/>
  <c r="DX97" i="1"/>
  <c r="EA96" i="1"/>
  <c r="FM86" i="1"/>
  <c r="FM94" i="1"/>
  <c r="FL102" i="1"/>
  <c r="FM95" i="1" l="1"/>
  <c r="FL104" i="1"/>
  <c r="FM103" i="1"/>
  <c r="FN87" i="1"/>
  <c r="EC88" i="1"/>
  <c r="EB96" i="1"/>
  <c r="DZ89" i="1"/>
  <c r="DZ97" i="1" s="1"/>
  <c r="FN86" i="1"/>
  <c r="FM102" i="1"/>
  <c r="FN94" i="1"/>
  <c r="FM104" i="1" l="1"/>
  <c r="FN95" i="1"/>
  <c r="FN103" i="1"/>
  <c r="FO87" i="1"/>
  <c r="ED88" i="1"/>
  <c r="ED96" i="1" s="1"/>
  <c r="EA89" i="1"/>
  <c r="EA97" i="1" s="1"/>
  <c r="EC96" i="1"/>
  <c r="FO94" i="1"/>
  <c r="FO86" i="1"/>
  <c r="FN102" i="1"/>
  <c r="FN104" i="1" l="1"/>
  <c r="FO95" i="1"/>
  <c r="FO103" i="1"/>
  <c r="FP87" i="1"/>
  <c r="EB89" i="1"/>
  <c r="EB97" i="1" s="1"/>
  <c r="EE88" i="1"/>
  <c r="EE96" i="1" s="1"/>
  <c r="FP86" i="1"/>
  <c r="FP94" i="1"/>
  <c r="FO102" i="1"/>
  <c r="FO104" i="1" s="1"/>
  <c r="FP95" i="1" l="1"/>
  <c r="FP103" i="1"/>
  <c r="FQ87" i="1"/>
  <c r="EF88" i="1"/>
  <c r="EF96" i="1" s="1"/>
  <c r="EC89" i="1"/>
  <c r="EC97" i="1" s="1"/>
  <c r="FQ86" i="1"/>
  <c r="FQ94" i="1"/>
  <c r="FP102" i="1"/>
  <c r="FP104" i="1" s="1"/>
  <c r="FQ95" i="1" l="1"/>
  <c r="FQ103" i="1"/>
  <c r="FR87" i="1"/>
  <c r="ED89" i="1"/>
  <c r="ED97" i="1" s="1"/>
  <c r="EG88" i="1"/>
  <c r="EG96" i="1" s="1"/>
  <c r="FR86" i="1"/>
  <c r="FR94" i="1"/>
  <c r="FQ102" i="1"/>
  <c r="FQ104" i="1" s="1"/>
  <c r="FR95" i="1" l="1"/>
  <c r="FR103" i="1"/>
  <c r="FS87" i="1"/>
  <c r="EH88" i="1"/>
  <c r="EH96" i="1" s="1"/>
  <c r="EE89" i="1"/>
  <c r="EE97" i="1" s="1"/>
  <c r="FS86" i="1"/>
  <c r="FS94" i="1"/>
  <c r="FR102" i="1"/>
  <c r="FS95" i="1" l="1"/>
  <c r="FR104" i="1"/>
  <c r="FS103" i="1"/>
  <c r="FT87" i="1"/>
  <c r="EF89" i="1"/>
  <c r="EF97" i="1" s="1"/>
  <c r="EI88" i="1"/>
  <c r="FT86" i="1"/>
  <c r="FT94" i="1"/>
  <c r="FS102" i="1"/>
  <c r="FT95" i="1" l="1"/>
  <c r="FS104" i="1"/>
  <c r="FT103" i="1"/>
  <c r="FU87" i="1"/>
  <c r="EJ88" i="1"/>
  <c r="EJ96" i="1" s="1"/>
  <c r="EI96" i="1"/>
  <c r="EG89" i="1"/>
  <c r="FU86" i="1"/>
  <c r="FU94" i="1"/>
  <c r="FT102" i="1"/>
  <c r="FU95" i="1" l="1"/>
  <c r="FT104" i="1"/>
  <c r="FU103" i="1"/>
  <c r="FV87" i="1"/>
  <c r="EH89" i="1"/>
  <c r="EG97" i="1"/>
  <c r="EK88" i="1"/>
  <c r="EK96" i="1" s="1"/>
  <c r="FV86" i="1"/>
  <c r="FV94" i="1"/>
  <c r="FU102" i="1"/>
  <c r="FV95" i="1" l="1"/>
  <c r="FU104" i="1"/>
  <c r="FV103" i="1"/>
  <c r="FW87" i="1"/>
  <c r="EI89" i="1"/>
  <c r="EI97" i="1" s="1"/>
  <c r="EL88" i="1"/>
  <c r="EL96" i="1" s="1"/>
  <c r="EH97" i="1"/>
  <c r="FW94" i="1"/>
  <c r="FW86" i="1"/>
  <c r="FV102" i="1"/>
  <c r="FV104" i="1" l="1"/>
  <c r="FW95" i="1"/>
  <c r="FW103" i="1"/>
  <c r="FX87" i="1"/>
  <c r="EM88" i="1"/>
  <c r="EM96" i="1" s="1"/>
  <c r="EJ89" i="1"/>
  <c r="EJ97" i="1" s="1"/>
  <c r="FX86" i="1"/>
  <c r="FX94" i="1"/>
  <c r="FW102" i="1"/>
  <c r="FW104" i="1" s="1"/>
  <c r="FX95" i="1" l="1"/>
  <c r="FX103" i="1"/>
  <c r="FY87" i="1"/>
  <c r="EK89" i="1"/>
  <c r="EK97" i="1" s="1"/>
  <c r="EN88" i="1"/>
  <c r="EN96" i="1" s="1"/>
  <c r="FY86" i="1"/>
  <c r="FY94" i="1"/>
  <c r="FX102" i="1"/>
  <c r="FX104" i="1" s="1"/>
  <c r="FY95" i="1" l="1"/>
  <c r="FY103" i="1"/>
  <c r="FZ87" i="1"/>
  <c r="EO88" i="1"/>
  <c r="EO96" i="1" s="1"/>
  <c r="EL89" i="1"/>
  <c r="EL97" i="1" s="1"/>
  <c r="FZ86" i="1"/>
  <c r="FZ94" i="1"/>
  <c r="FY102" i="1"/>
  <c r="FY104" i="1" s="1"/>
  <c r="FZ95" i="1" l="1"/>
  <c r="FZ103" i="1"/>
  <c r="GA87" i="1"/>
  <c r="EM89" i="1"/>
  <c r="EM97" i="1" s="1"/>
  <c r="EP88" i="1"/>
  <c r="EP96" i="1" s="1"/>
  <c r="GA86" i="1"/>
  <c r="GA94" i="1"/>
  <c r="FZ102" i="1"/>
  <c r="FZ104" i="1" s="1"/>
  <c r="GA95" i="1" l="1"/>
  <c r="GA103" i="1"/>
  <c r="GB87" i="1"/>
  <c r="EQ88" i="1"/>
  <c r="EQ96" i="1" s="1"/>
  <c r="EN89" i="1"/>
  <c r="EN97" i="1" s="1"/>
  <c r="GB86" i="1"/>
  <c r="GB94" i="1"/>
  <c r="GA102" i="1"/>
  <c r="GA104" i="1" s="1"/>
  <c r="GB95" i="1" l="1"/>
  <c r="GB103" i="1"/>
  <c r="GC87" i="1"/>
  <c r="EO89" i="1"/>
  <c r="ER88" i="1"/>
  <c r="ER96" i="1" s="1"/>
  <c r="GC86" i="1"/>
  <c r="GC94" i="1"/>
  <c r="GB102" i="1"/>
  <c r="GC95" i="1" l="1"/>
  <c r="GB104" i="1"/>
  <c r="GC103" i="1"/>
  <c r="GD87" i="1"/>
  <c r="EP89" i="1"/>
  <c r="EP97" i="1" s="1"/>
  <c r="ES88" i="1"/>
  <c r="ES96" i="1" s="1"/>
  <c r="EO97" i="1"/>
  <c r="GD86" i="1"/>
  <c r="GC102" i="1"/>
  <c r="GD94" i="1"/>
  <c r="GD95" i="1" l="1"/>
  <c r="GC104" i="1"/>
  <c r="GD103" i="1"/>
  <c r="GE87" i="1"/>
  <c r="ET88" i="1"/>
  <c r="ET96" i="1" s="1"/>
  <c r="EQ89" i="1"/>
  <c r="EQ97" i="1" s="1"/>
  <c r="GE94" i="1"/>
  <c r="GE86" i="1"/>
  <c r="GD102" i="1"/>
  <c r="GE95" i="1" l="1"/>
  <c r="GD104" i="1"/>
  <c r="GE103" i="1"/>
  <c r="GF87" i="1"/>
  <c r="ER89" i="1"/>
  <c r="ER97" i="1" s="1"/>
  <c r="EU88" i="1"/>
  <c r="EU96" i="1" s="1"/>
  <c r="GF86" i="1"/>
  <c r="GF94" i="1"/>
  <c r="GE102" i="1"/>
  <c r="GE104" i="1" l="1"/>
  <c r="GF95" i="1"/>
  <c r="GF103" i="1"/>
  <c r="GG87" i="1"/>
  <c r="EV88" i="1"/>
  <c r="EV96" i="1" s="1"/>
  <c r="ES89" i="1"/>
  <c r="ES97" i="1" s="1"/>
  <c r="GG86" i="1"/>
  <c r="GG94" i="1"/>
  <c r="GF102" i="1"/>
  <c r="GF104" i="1" s="1"/>
  <c r="GG95" i="1" l="1"/>
  <c r="GG103" i="1"/>
  <c r="GH87" i="1"/>
  <c r="ET89" i="1"/>
  <c r="ET97" i="1" s="1"/>
  <c r="EW88" i="1"/>
  <c r="EW96" i="1" s="1"/>
  <c r="GH86" i="1"/>
  <c r="GH94" i="1"/>
  <c r="GG102" i="1"/>
  <c r="GG104" i="1" s="1"/>
  <c r="GH95" i="1" l="1"/>
  <c r="GH103" i="1"/>
  <c r="GI87" i="1"/>
  <c r="EX88" i="1"/>
  <c r="EX96" i="1" s="1"/>
  <c r="EU89" i="1"/>
  <c r="EU97" i="1" s="1"/>
  <c r="GI86" i="1"/>
  <c r="GI94" i="1"/>
  <c r="GH102" i="1"/>
  <c r="GI95" i="1" l="1"/>
  <c r="GH104" i="1"/>
  <c r="GI103" i="1"/>
  <c r="GJ87" i="1"/>
  <c r="EV89" i="1"/>
  <c r="EV97" i="1" s="1"/>
  <c r="EY88" i="1"/>
  <c r="EY96" i="1" s="1"/>
  <c r="GJ86" i="1"/>
  <c r="GJ94" i="1"/>
  <c r="GI102" i="1"/>
  <c r="GI104" i="1" l="1"/>
  <c r="GJ95" i="1"/>
  <c r="GJ103" i="1"/>
  <c r="GK87" i="1"/>
  <c r="EZ88" i="1"/>
  <c r="EZ96" i="1" s="1"/>
  <c r="EW89" i="1"/>
  <c r="EW97" i="1" s="1"/>
  <c r="GK86" i="1"/>
  <c r="GK94" i="1"/>
  <c r="GJ102" i="1"/>
  <c r="GK95" i="1" l="1"/>
  <c r="GJ104" i="1"/>
  <c r="GK103" i="1"/>
  <c r="GL87" i="1"/>
  <c r="EX89" i="1"/>
  <c r="FA88" i="1"/>
  <c r="FA96" i="1" s="1"/>
  <c r="GL86" i="1"/>
  <c r="GL94" i="1"/>
  <c r="GK102" i="1"/>
  <c r="GK104" i="1" l="1"/>
  <c r="GL95" i="1"/>
  <c r="GL103" i="1"/>
  <c r="GM87" i="1"/>
  <c r="EY89" i="1"/>
  <c r="EY97" i="1" s="1"/>
  <c r="FB88" i="1"/>
  <c r="FB96" i="1" s="1"/>
  <c r="EX97" i="1"/>
  <c r="GM94" i="1"/>
  <c r="GM86" i="1"/>
  <c r="GL102" i="1"/>
  <c r="GL104" i="1" l="1"/>
  <c r="GM95" i="1"/>
  <c r="GM103" i="1"/>
  <c r="GN87" i="1"/>
  <c r="FC88" i="1"/>
  <c r="FC96" i="1" s="1"/>
  <c r="EZ89" i="1"/>
  <c r="EZ97" i="1" s="1"/>
  <c r="GN86" i="1"/>
  <c r="GN94" i="1"/>
  <c r="GM102" i="1"/>
  <c r="GN95" i="1" l="1"/>
  <c r="GM104" i="1"/>
  <c r="GN103" i="1"/>
  <c r="GO87" i="1"/>
  <c r="FA89" i="1"/>
  <c r="FA97" i="1" s="1"/>
  <c r="FD88" i="1"/>
  <c r="FD96" i="1" s="1"/>
  <c r="GO86" i="1"/>
  <c r="GO94" i="1"/>
  <c r="GN102" i="1"/>
  <c r="GO95" i="1" l="1"/>
  <c r="GN104" i="1"/>
  <c r="GO103" i="1"/>
  <c r="GP87" i="1"/>
  <c r="FE88" i="1"/>
  <c r="FE96" i="1" s="1"/>
  <c r="FB89" i="1"/>
  <c r="FB97" i="1" s="1"/>
  <c r="GP86" i="1"/>
  <c r="GP94" i="1"/>
  <c r="GO102" i="1"/>
  <c r="GP95" i="1" l="1"/>
  <c r="GO104" i="1"/>
  <c r="GP103" i="1"/>
  <c r="GQ87" i="1"/>
  <c r="FC89" i="1"/>
  <c r="FC97" i="1" s="1"/>
  <c r="FF88" i="1"/>
  <c r="FF96" i="1" s="1"/>
  <c r="GQ86" i="1"/>
  <c r="GQ94" i="1"/>
  <c r="GP102" i="1"/>
  <c r="GQ95" i="1" l="1"/>
  <c r="GP104" i="1"/>
  <c r="GQ103" i="1"/>
  <c r="GR87" i="1"/>
  <c r="FG88" i="1"/>
  <c r="FG96" i="1" s="1"/>
  <c r="FD89" i="1"/>
  <c r="FD97" i="1" s="1"/>
  <c r="GR86" i="1"/>
  <c r="GR94" i="1"/>
  <c r="GQ102" i="1"/>
  <c r="GR95" i="1" l="1"/>
  <c r="GQ104" i="1"/>
  <c r="GR103" i="1"/>
  <c r="GS87" i="1"/>
  <c r="FE89" i="1"/>
  <c r="FH88" i="1"/>
  <c r="FH96" i="1" s="1"/>
  <c r="GS86" i="1"/>
  <c r="GS94" i="1"/>
  <c r="GR102" i="1"/>
  <c r="GS95" i="1" l="1"/>
  <c r="GR104" i="1"/>
  <c r="GS103" i="1"/>
  <c r="GT87" i="1"/>
  <c r="FF89" i="1"/>
  <c r="FF97" i="1" s="1"/>
  <c r="FI88" i="1"/>
  <c r="FI96" i="1" s="1"/>
  <c r="FE97" i="1"/>
  <c r="GT86" i="1"/>
  <c r="GT102" i="1" s="1"/>
  <c r="GS102" i="1"/>
  <c r="GT94" i="1"/>
  <c r="GT95" i="1" l="1"/>
  <c r="GS104" i="1"/>
  <c r="GT103" i="1"/>
  <c r="GT104" i="1" s="1"/>
  <c r="FJ88" i="1"/>
  <c r="FJ96" i="1" s="1"/>
  <c r="FG89" i="1"/>
  <c r="FG97" i="1" s="1"/>
  <c r="B94" i="1"/>
  <c r="B104" i="1" l="1"/>
  <c r="FH89" i="1"/>
  <c r="FH97" i="1" s="1"/>
  <c r="FK88" i="1"/>
  <c r="FK96" i="1" s="1"/>
  <c r="FL88" i="1" l="1"/>
  <c r="FL96" i="1" s="1"/>
  <c r="FI89" i="1"/>
  <c r="FJ89" i="1" l="1"/>
  <c r="FJ97" i="1" s="1"/>
  <c r="FI97" i="1"/>
  <c r="FM88" i="1"/>
  <c r="FM96" i="1" s="1"/>
  <c r="FN88" i="1" l="1"/>
  <c r="FN96" i="1" s="1"/>
  <c r="FK89" i="1"/>
  <c r="FK97" i="1" s="1"/>
  <c r="FL89" i="1" l="1"/>
  <c r="FL97" i="1" s="1"/>
  <c r="FO88" i="1"/>
  <c r="FO96" i="1" s="1"/>
  <c r="FP88" i="1" l="1"/>
  <c r="FP96" i="1" s="1"/>
  <c r="FM89" i="1"/>
  <c r="FM97" i="1" s="1"/>
  <c r="FN89" i="1" l="1"/>
  <c r="FN97" i="1" s="1"/>
  <c r="FQ88" i="1"/>
  <c r="FQ96" i="1" s="1"/>
  <c r="FR88" i="1" l="1"/>
  <c r="FR96" i="1" s="1"/>
  <c r="FO89" i="1"/>
  <c r="FP89" i="1" l="1"/>
  <c r="FO97" i="1"/>
  <c r="FS88" i="1"/>
  <c r="FS96" i="1" s="1"/>
  <c r="FT88" i="1" l="1"/>
  <c r="FT96" i="1" s="1"/>
  <c r="FQ89" i="1"/>
  <c r="FP97" i="1"/>
  <c r="FU88" i="1" l="1"/>
  <c r="FR89" i="1"/>
  <c r="FR97" i="1" s="1"/>
  <c r="FQ97" i="1"/>
  <c r="FV88" i="1" l="1"/>
  <c r="FU96" i="1"/>
  <c r="FS89" i="1"/>
  <c r="FS97" i="1" l="1"/>
  <c r="FT89" i="1"/>
  <c r="FT97" i="1" s="1"/>
  <c r="FW88" i="1"/>
  <c r="FW96" i="1" s="1"/>
  <c r="FV96" i="1"/>
  <c r="FU89" i="1" l="1"/>
  <c r="FU97" i="1" s="1"/>
  <c r="FX88" i="1"/>
  <c r="FX96" i="1" s="1"/>
  <c r="FY88" i="1" l="1"/>
  <c r="FY96" i="1" s="1"/>
  <c r="FV89" i="1"/>
  <c r="FW89" i="1" l="1"/>
  <c r="FV97" i="1"/>
  <c r="FZ88" i="1"/>
  <c r="FZ96" i="1" s="1"/>
  <c r="GA88" i="1" l="1"/>
  <c r="GA96" i="1" s="1"/>
  <c r="FX89" i="1"/>
  <c r="FX97" i="1" s="1"/>
  <c r="FW97" i="1"/>
  <c r="FY89" i="1" l="1"/>
  <c r="FY97" i="1" s="1"/>
  <c r="GB88" i="1"/>
  <c r="GC88" i="1" l="1"/>
  <c r="GC96" i="1" s="1"/>
  <c r="GB96" i="1"/>
  <c r="FZ89" i="1"/>
  <c r="FZ97" i="1" s="1"/>
  <c r="GA89" i="1" l="1"/>
  <c r="GA97" i="1" s="1"/>
  <c r="GD88" i="1"/>
  <c r="GD96" i="1" s="1"/>
  <c r="GE88" i="1" l="1"/>
  <c r="GE96" i="1" s="1"/>
  <c r="GB89" i="1"/>
  <c r="GB97" i="1" s="1"/>
  <c r="GC89" i="1" l="1"/>
  <c r="GC97" i="1" s="1"/>
  <c r="GF88" i="1"/>
  <c r="GG88" i="1" l="1"/>
  <c r="GG96" i="1" s="1"/>
  <c r="GF96" i="1"/>
  <c r="GD89" i="1"/>
  <c r="GD97" i="1" s="1"/>
  <c r="GE89" i="1" l="1"/>
  <c r="GH88" i="1"/>
  <c r="GI88" i="1" l="1"/>
  <c r="GI96" i="1" s="1"/>
  <c r="GH96" i="1"/>
  <c r="GF89" i="1"/>
  <c r="GF97" i="1" s="1"/>
  <c r="GE97" i="1"/>
  <c r="GG89" i="1" l="1"/>
  <c r="GG97" i="1" s="1"/>
  <c r="GJ88" i="1"/>
  <c r="GK88" i="1" l="1"/>
  <c r="GK96" i="1" s="1"/>
  <c r="GJ96" i="1"/>
  <c r="GH89" i="1"/>
  <c r="GH97" i="1" s="1"/>
  <c r="GI89" i="1" l="1"/>
  <c r="GL88" i="1"/>
  <c r="GL96" i="1" s="1"/>
  <c r="GJ89" i="1" l="1"/>
  <c r="GM88" i="1"/>
  <c r="GM96" i="1" s="1"/>
  <c r="GI97" i="1"/>
  <c r="GK89" i="1" l="1"/>
  <c r="GN88" i="1"/>
  <c r="GJ97" i="1"/>
  <c r="GO88" i="1" l="1"/>
  <c r="GL89" i="1"/>
  <c r="GL97" i="1" s="1"/>
  <c r="GN96" i="1"/>
  <c r="GK97" i="1"/>
  <c r="GP88" i="1" l="1"/>
  <c r="GP96" i="1" s="1"/>
  <c r="GM89" i="1"/>
  <c r="GO96" i="1"/>
  <c r="GN89" i="1" l="1"/>
  <c r="GN97" i="1" s="1"/>
  <c r="GQ88" i="1"/>
  <c r="GQ96" i="1" s="1"/>
  <c r="GM97" i="1"/>
  <c r="GR88" i="1" l="1"/>
  <c r="GR96" i="1" s="1"/>
  <c r="GO89" i="1"/>
  <c r="GO97" i="1" s="1"/>
  <c r="GP89" i="1" l="1"/>
  <c r="GP97" i="1" s="1"/>
  <c r="GS88" i="1"/>
  <c r="GS96" i="1" s="1"/>
  <c r="GT88" i="1" l="1"/>
  <c r="GT96" i="1" s="1"/>
  <c r="GQ89" i="1"/>
  <c r="GQ97" i="1" s="1"/>
  <c r="GR89" i="1" l="1"/>
  <c r="GR97" i="1" s="1"/>
  <c r="GS89" i="1" l="1"/>
  <c r="GS97" i="1" s="1"/>
  <c r="GT89" i="1" l="1"/>
  <c r="GT97" i="1" s="1"/>
</calcChain>
</file>

<file path=xl/sharedStrings.xml><?xml version="1.0" encoding="utf-8"?>
<sst xmlns="http://schemas.openxmlformats.org/spreadsheetml/2006/main" count="117" uniqueCount="65">
  <si>
    <t>PIT</t>
  </si>
  <si>
    <t>BENCH</t>
  </si>
  <si>
    <t>ORE</t>
  </si>
  <si>
    <t>PERIOD</t>
  </si>
  <si>
    <t>Schedule:</t>
  </si>
  <si>
    <t>Tonnage tolerance for vertical advance</t>
  </si>
  <si>
    <t>Periods in schedule</t>
  </si>
  <si>
    <t>PRIORITY</t>
  </si>
  <si>
    <t>FLAG1</t>
  </si>
  <si>
    <t>FLAG2</t>
  </si>
  <si>
    <t>FLAG3</t>
  </si>
  <si>
    <t>FLAG4</t>
  </si>
  <si>
    <t>ADVANCE</t>
  </si>
  <si>
    <t>Export Schedule</t>
  </si>
  <si>
    <t>Run scheduler</t>
  </si>
  <si>
    <t>Import Results</t>
  </si>
  <si>
    <t>Ore</t>
  </si>
  <si>
    <t>Total</t>
  </si>
  <si>
    <t>TOTAL</t>
  </si>
  <si>
    <t>Budget:</t>
  </si>
  <si>
    <t>GRADE1</t>
  </si>
  <si>
    <t>GRADE2</t>
  </si>
  <si>
    <t>GRADE3</t>
  </si>
  <si>
    <t>Parameter</t>
  </si>
  <si>
    <t>Value</t>
  </si>
  <si>
    <t>First row of budget</t>
  </si>
  <si>
    <t>Number of grades</t>
  </si>
  <si>
    <t>Number of flags</t>
  </si>
  <si>
    <t>Plant Specification</t>
  </si>
  <si>
    <t>ROM Stockpile Size</t>
  </si>
  <si>
    <t>ROM Stockpile rehandle</t>
  </si>
  <si>
    <t>to ROM SP</t>
  </si>
  <si>
    <t>from ROM SP</t>
  </si>
  <si>
    <t>Total movements:</t>
  </si>
  <si>
    <t>To Stockpile:</t>
  </si>
  <si>
    <t>To Plant:</t>
  </si>
  <si>
    <t>Schedule work files prefix</t>
  </si>
  <si>
    <t>SiO2</t>
  </si>
  <si>
    <t>Al2O3</t>
  </si>
  <si>
    <t>WASTE</t>
  </si>
  <si>
    <t>Annual rates</t>
  </si>
  <si>
    <t>Fe</t>
  </si>
  <si>
    <t>Constraints:</t>
  </si>
  <si>
    <t>Metal1</t>
  </si>
  <si>
    <t>Metal2</t>
  </si>
  <si>
    <t>Metal3</t>
  </si>
  <si>
    <t>Look ahead periods</t>
  </si>
  <si>
    <t>Look ahead priority factor</t>
  </si>
  <si>
    <t>Schedule makeup factor</t>
  </si>
  <si>
    <t>Waste</t>
  </si>
  <si>
    <t>Calculated</t>
  </si>
  <si>
    <t>Pit</t>
  </si>
  <si>
    <t>Precedence</t>
  </si>
  <si>
    <t>Bench</t>
  </si>
  <si>
    <t>GRADE4</t>
  </si>
  <si>
    <t>100%-Fe</t>
  </si>
  <si>
    <t>Madoonga</t>
  </si>
  <si>
    <t>Beebyn</t>
  </si>
  <si>
    <t>Production</t>
  </si>
  <si>
    <t>Pre-Strip</t>
  </si>
  <si>
    <t>Bench splits (&gt;=1)</t>
  </si>
  <si>
    <t>Solver</t>
  </si>
  <si>
    <t>WRX</t>
  </si>
  <si>
    <t>SimpleSchedulerV1_65</t>
  </si>
  <si>
    <t>Original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</si>
</sst>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0"/>
    <numFmt numFmtId="165" formatCode="#,##0.0"/>
    <numFmt numFmtId="166" formatCode="0.000"/>
    <numFmt numFmtId="167" formatCode="0.0"/>
    <numFmt numFmtId="168" formatCode="#,##0.00000000000000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color rgb="FF0070C0"/>
      <name val="Calibri"/>
      <family val="2"/>
      <scheme val="minor"/>
    </font>
    <font>
      <b/>
      <sz val="10"/>
      <color theme="1"/>
      <name val="Arial Narrow"/>
      <family val="2"/>
    </font>
    <font>
      <sz val="10"/>
      <color indexed="8"/>
      <name val="Arial Narrow"/>
      <family val="2"/>
    </font>
    <font>
      <sz val="10"/>
      <color theme="1"/>
      <name val="Arial Narrow"/>
      <family val="2"/>
    </font>
    <font>
      <sz val="10"/>
      <color rgb="FF0070C0"/>
      <name val="Arial Narrow"/>
      <family val="2"/>
    </font>
    <font>
      <sz val="10"/>
      <color rgb="FFFF0000"/>
      <name val="Arial Narrow"/>
      <family val="2"/>
    </font>
    <font>
      <sz val="11"/>
      <color theme="1"/>
      <name val="Calibri"/>
      <family val="2"/>
      <scheme val="minor"/>
    </font>
    <font>
      <b/>
      <sz val="10"/>
      <color indexed="8"/>
      <name val="Arial Narrow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1"/>
      <color theme="1"/>
      <name val="Arial Narrow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11" fillId="0" borderId="0" applyFont="0" applyFill="0" applyBorder="0" applyAlignment="0" applyProtection="0"/>
  </cellStyleXfs>
  <cellXfs count="10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6" fontId="5" fillId="0" borderId="0" xfId="0" applyNumberFormat="1" applyFont="1" applyBorder="1"/>
    <xf numFmtId="164" fontId="4" fillId="0" borderId="0" xfId="0" applyNumberFormat="1" applyFont="1" applyBorder="1"/>
    <xf numFmtId="16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65" fontId="0" fillId="0" borderId="0" xfId="0" applyNumberFormat="1"/>
    <xf numFmtId="1" fontId="4" fillId="0" borderId="0" xfId="0" applyNumberFormat="1" applyFont="1" applyFill="1" applyBorder="1" applyAlignment="1">
      <alignment horizontal="right" vertical="center"/>
    </xf>
    <xf numFmtId="4" fontId="6" fillId="0" borderId="0" xfId="0" applyNumberFormat="1" applyFont="1" applyFill="1" applyBorder="1" applyAlignment="1">
      <alignment horizontal="right" vertical="center"/>
    </xf>
    <xf numFmtId="164" fontId="6" fillId="0" borderId="0" xfId="0" applyNumberFormat="1" applyFont="1" applyBorder="1" applyAlignment="1">
      <alignment horizontal="center"/>
    </xf>
    <xf numFmtId="164" fontId="13" fillId="0" borderId="0" xfId="2" applyNumberFormat="1" applyFont="1" applyFill="1" applyBorder="1"/>
    <xf numFmtId="164" fontId="12" fillId="0" borderId="0" xfId="0" applyNumberFormat="1" applyFont="1" applyFill="1" applyBorder="1" applyAlignment="1">
      <alignment horizontal="left" indent="1"/>
    </xf>
    <xf numFmtId="1" fontId="12" fillId="0" borderId="0" xfId="0" applyNumberFormat="1" applyFont="1" applyFill="1" applyBorder="1" applyAlignment="1">
      <alignment horizontal="right"/>
    </xf>
    <xf numFmtId="0" fontId="0" fillId="0" borderId="0" xfId="0" applyBorder="1"/>
    <xf numFmtId="164" fontId="6" fillId="0" borderId="0" xfId="0" applyNumberFormat="1" applyFont="1" applyBorder="1"/>
    <xf numFmtId="164" fontId="4" fillId="0" borderId="0" xfId="0" applyNumberFormat="1" applyFont="1" applyBorder="1" applyAlignment="1">
      <alignment horizontal="center"/>
    </xf>
    <xf numFmtId="0" fontId="5" fillId="0" borderId="0" xfId="0" applyFont="1" applyBorder="1"/>
    <xf numFmtId="1" fontId="5" fillId="0" borderId="0" xfId="0" applyNumberFormat="1" applyFont="1" applyBorder="1"/>
    <xf numFmtId="166" fontId="7" fillId="0" borderId="0" xfId="0" applyNumberFormat="1" applyFont="1" applyBorder="1"/>
    <xf numFmtId="166" fontId="2" fillId="0" borderId="0" xfId="0" applyNumberFormat="1" applyFont="1" applyBorder="1" applyAlignment="1">
      <alignment horizontal="center" vertical="center"/>
    </xf>
    <xf numFmtId="3" fontId="4" fillId="0" borderId="0" xfId="0" applyNumberFormat="1" applyFont="1" applyBorder="1" applyAlignment="1"/>
    <xf numFmtId="10" fontId="4" fillId="0" borderId="0" xfId="0" applyNumberFormat="1" applyFont="1" applyBorder="1" applyAlignment="1">
      <alignment horizontal="center"/>
    </xf>
    <xf numFmtId="3" fontId="4" fillId="0" borderId="0" xfId="0" applyNumberFormat="1" applyFont="1" applyFill="1" applyBorder="1" applyAlignment="1"/>
    <xf numFmtId="164" fontId="4" fillId="0" borderId="0" xfId="0" applyNumberFormat="1" applyFont="1" applyBorder="1" applyAlignment="1"/>
    <xf numFmtId="3" fontId="4" fillId="0" borderId="0" xfId="0" applyNumberFormat="1" applyFont="1" applyFill="1" applyBorder="1" applyAlignment="1">
      <alignment vertical="center"/>
    </xf>
    <xf numFmtId="164" fontId="6" fillId="0" borderId="0" xfId="0" applyNumberFormat="1" applyFont="1" applyBorder="1" applyAlignment="1"/>
    <xf numFmtId="3" fontId="4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/>
    <xf numFmtId="3" fontId="6" fillId="0" borderId="0" xfId="0" applyNumberFormat="1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right" vertical="center"/>
    </xf>
    <xf numFmtId="164" fontId="5" fillId="0" borderId="0" xfId="0" applyNumberFormat="1" applyFont="1" applyBorder="1"/>
    <xf numFmtId="0" fontId="0" fillId="0" borderId="0" xfId="0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9" fontId="4" fillId="0" borderId="0" xfId="1" applyFont="1" applyBorder="1" applyAlignment="1">
      <alignment horizontal="left"/>
    </xf>
    <xf numFmtId="164" fontId="4" fillId="0" borderId="0" xfId="0" applyNumberFormat="1" applyFont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164" fontId="6" fillId="2" borderId="0" xfId="0" applyNumberFormat="1" applyFont="1" applyFill="1" applyBorder="1"/>
    <xf numFmtId="0" fontId="5" fillId="0" borderId="0" xfId="0" applyFont="1" applyBorder="1" applyAlignment="1">
      <alignment horizontal="right"/>
    </xf>
    <xf numFmtId="0" fontId="10" fillId="0" borderId="0" xfId="2" applyFont="1" applyFill="1" applyBorder="1"/>
    <xf numFmtId="0" fontId="10" fillId="0" borderId="0" xfId="0" applyFont="1" applyFill="1" applyBorder="1"/>
    <xf numFmtId="0" fontId="7" fillId="0" borderId="0" xfId="0" applyFont="1" applyBorder="1"/>
    <xf numFmtId="3" fontId="4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168" fontId="6" fillId="0" borderId="0" xfId="0" applyNumberFormat="1" applyFont="1" applyBorder="1"/>
    <xf numFmtId="164" fontId="14" fillId="0" borderId="0" xfId="2" applyNumberFormat="1" applyFont="1" applyBorder="1"/>
    <xf numFmtId="1" fontId="15" fillId="0" borderId="0" xfId="2" applyNumberFormat="1" applyFont="1" applyBorder="1"/>
    <xf numFmtId="1" fontId="5" fillId="0" borderId="0" xfId="0" applyNumberFormat="1" applyFont="1" applyFill="1" applyBorder="1" applyAlignment="1">
      <alignment horizontal="right"/>
    </xf>
    <xf numFmtId="0" fontId="16" fillId="0" borderId="0" xfId="0" applyFont="1" applyBorder="1"/>
    <xf numFmtId="164" fontId="15" fillId="0" borderId="0" xfId="2" applyNumberFormat="1" applyFont="1" applyBorder="1" applyAlignment="1">
      <alignment horizontal="left" indent="1"/>
    </xf>
    <xf numFmtId="164" fontId="6" fillId="0" borderId="0" xfId="2" applyNumberFormat="1" applyFont="1" applyBorder="1"/>
    <xf numFmtId="164" fontId="15" fillId="0" borderId="0" xfId="2" applyNumberFormat="1" applyFont="1" applyBorder="1"/>
    <xf numFmtId="164" fontId="16" fillId="0" borderId="0" xfId="0" applyNumberFormat="1" applyFont="1" applyBorder="1"/>
    <xf numFmtId="164" fontId="15" fillId="0" borderId="0" xfId="2" applyNumberFormat="1" applyFont="1" applyFill="1" applyBorder="1"/>
    <xf numFmtId="0" fontId="16" fillId="0" borderId="0" xfId="0" applyFont="1" applyFill="1" applyBorder="1"/>
    <xf numFmtId="164" fontId="15" fillId="2" borderId="0" xfId="2" applyNumberFormat="1" applyFont="1" applyFill="1" applyBorder="1" applyAlignment="1">
      <alignment horizontal="left" indent="1"/>
    </xf>
    <xf numFmtId="164" fontId="5" fillId="2" borderId="0" xfId="0" applyNumberFormat="1" applyFont="1" applyFill="1" applyBorder="1"/>
    <xf numFmtId="164" fontId="15" fillId="0" borderId="0" xfId="2" applyNumberFormat="1" applyFont="1" applyFill="1" applyBorder="1" applyAlignment="1">
      <alignment horizontal="left" indent="1"/>
    </xf>
    <xf numFmtId="164" fontId="16" fillId="0" borderId="0" xfId="0" applyNumberFormat="1" applyFont="1" applyFill="1" applyBorder="1"/>
    <xf numFmtId="164" fontId="4" fillId="0" borderId="0" xfId="0" applyNumberFormat="1" applyFont="1" applyBorder="1" applyAlignment="1">
      <alignment horizontal="left"/>
    </xf>
    <xf numFmtId="165" fontId="6" fillId="0" borderId="0" xfId="0" applyNumberFormat="1" applyFont="1" applyFill="1" applyBorder="1" applyAlignment="1">
      <alignment horizontal="right" vertical="center"/>
    </xf>
    <xf numFmtId="164" fontId="5" fillId="0" borderId="0" xfId="0" quotePrefix="1" applyNumberFormat="1" applyFont="1" applyBorder="1" applyAlignment="1">
      <alignment horizontal="left"/>
    </xf>
    <xf numFmtId="164" fontId="0" fillId="0" borderId="0" xfId="0" applyNumberFormat="1" applyFont="1" applyAlignment="1">
      <alignment horizontal="left" vertical="center"/>
    </xf>
    <xf numFmtId="3" fontId="0" fillId="0" borderId="0" xfId="0" applyNumberFormat="1" applyFont="1" applyAlignment="1">
      <alignment horizontal="left" vertical="center"/>
    </xf>
    <xf numFmtId="164" fontId="15" fillId="0" borderId="0" xfId="2" applyNumberFormat="1" applyFont="1" applyBorder="1" applyAlignment="1">
      <alignment horizontal="left"/>
    </xf>
    <xf numFmtId="3" fontId="4" fillId="0" borderId="0" xfId="0" applyNumberFormat="1" applyFont="1" applyBorder="1" applyAlignment="1">
      <alignment horizontal="left"/>
    </xf>
    <xf numFmtId="167" fontId="0" fillId="0" borderId="0" xfId="0" applyNumberFormat="1"/>
    <xf numFmtId="0" fontId="0" fillId="2" borderId="0" xfId="0" applyFill="1"/>
    <xf numFmtId="166" fontId="7" fillId="0" borderId="0" xfId="0" applyNumberFormat="1" applyFont="1" applyBorder="1" applyAlignment="1">
      <alignment horizontal="center"/>
    </xf>
    <xf numFmtId="4" fontId="5" fillId="0" borderId="0" xfId="0" applyNumberFormat="1" applyFont="1" applyFill="1" applyBorder="1" applyAlignment="1">
      <alignment horizontal="right" vertical="center"/>
    </xf>
    <xf numFmtId="164" fontId="7" fillId="0" borderId="0" xfId="0" applyNumberFormat="1" applyFont="1" applyFill="1" applyBorder="1" applyAlignment="1">
      <alignment horizontal="left" vertical="center"/>
    </xf>
    <xf numFmtId="164" fontId="5" fillId="0" borderId="0" xfId="0" applyNumberFormat="1" applyFont="1" applyFill="1" applyBorder="1" applyAlignment="1">
      <alignment horizontal="left" vertical="center"/>
    </xf>
    <xf numFmtId="3" fontId="7" fillId="0" borderId="0" xfId="0" applyNumberFormat="1" applyFont="1" applyFill="1" applyBorder="1" applyAlignment="1">
      <alignment horizontal="left" vertical="center"/>
    </xf>
    <xf numFmtId="164" fontId="4" fillId="0" borderId="0" xfId="0" applyNumberFormat="1" applyFont="1" applyBorder="1" applyAlignment="1">
      <alignment horizontal="left"/>
    </xf>
    <xf numFmtId="4" fontId="2" fillId="0" borderId="0" xfId="0" applyNumberFormat="1" applyFont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2" fontId="5" fillId="0" borderId="0" xfId="0" applyNumberFormat="1" applyFont="1" applyBorder="1"/>
    <xf numFmtId="4" fontId="7" fillId="0" borderId="0" xfId="0" applyNumberFormat="1" applyFont="1" applyFill="1" applyBorder="1" applyAlignment="1">
      <alignment horizontal="right" vertical="center"/>
    </xf>
    <xf numFmtId="164" fontId="4" fillId="0" borderId="0" xfId="0" applyNumberFormat="1" applyFont="1" applyBorder="1" applyAlignment="1">
      <alignment horizontal="left"/>
    </xf>
    <xf numFmtId="166" fontId="0" fillId="0" borderId="0" xfId="0" applyNumberFormat="1" applyFont="1" applyAlignment="1">
      <alignment horizontal="center" vertical="center"/>
    </xf>
    <xf numFmtId="0" fontId="0" fillId="0" borderId="0" xfId="0" applyFill="1"/>
    <xf numFmtId="165" fontId="7" fillId="0" borderId="0" xfId="0" applyNumberFormat="1" applyFont="1" applyFill="1" applyBorder="1" applyAlignment="1">
      <alignment horizontal="right" vertical="center"/>
    </xf>
    <xf numFmtId="164" fontId="4" fillId="0" borderId="0" xfId="0" applyNumberFormat="1" applyFont="1" applyBorder="1" applyAlignment="1">
      <alignment horizontal="left"/>
    </xf>
    <xf numFmtId="3" fontId="4" fillId="0" borderId="0" xfId="0" applyNumberFormat="1" applyFont="1" applyBorder="1" applyAlignment="1">
      <alignment horizontal="left"/>
    </xf>
    <xf numFmtId="3" fontId="4" fillId="0" borderId="0" xfId="0" applyNumberFormat="1" applyFont="1" applyFill="1" applyBorder="1" applyAlignment="1">
      <alignment horizontal="left"/>
    </xf>
    <xf numFmtId="3" fontId="9" fillId="2" borderId="0" xfId="0" applyNumberFormat="1" applyFont="1" applyFill="1" applyBorder="1" applyAlignment="1">
      <alignment horizontal="left" vertical="center"/>
    </xf>
    <xf numFmtId="1" fontId="5" fillId="0" borderId="0" xfId="0" applyNumberFormat="1" applyFont="1" applyBorder="1" applyAlignment="1">
      <alignment horizontal="left"/>
    </xf>
    <xf numFmtId="0" fontId="17" fillId="0" borderId="0" xfId="0" applyFont="1" applyAlignment="1"/>
    <xf numFmtId="166" fontId="17" fillId="0" borderId="0" xfId="0" applyNumberFormat="1" applyFont="1"/>
  </cellXfs>
  <cellStyles count="3">
    <cellStyle name="Normal" xfId="0" builtinId="0"/>
    <cellStyle name="Normal 107" xfId="2"/>
    <cellStyle name="Percent" xfId="1" builtinId="5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81478452176003"/>
          <c:y val="9.3473634108901346E-2"/>
          <c:w val="0.831056242543743"/>
          <c:h val="0.73057451960763309"/>
        </c:manualLayout>
      </c:layout>
      <c:lineChart>
        <c:grouping val="standard"/>
        <c:varyColors val="0"/>
        <c:ser>
          <c:idx val="21"/>
          <c:order val="0"/>
          <c:tx>
            <c:v>Total Mined</c:v>
          </c:tx>
          <c:marker>
            <c:symbol val="none"/>
          </c:marker>
          <c:cat>
            <c:numRef>
              <c:f>Schedule!$C$25:$GT$25</c:f>
              <c:numCache>
                <c:formatCode>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Schedule!$C$70:$GU$70</c:f>
              <c:numCache>
                <c:formatCode>0.000</c:formatCode>
                <c:ptCount val="10"/>
                <c:pt idx="0">
                  <c:v>40.448000000000008</c:v>
                </c:pt>
                <c:pt idx="1">
                  <c:v>124.9666</c:v>
                </c:pt>
                <c:pt idx="2">
                  <c:v>123.7157</c:v>
                </c:pt>
                <c:pt idx="3">
                  <c:v>88.526299999999992</c:v>
                </c:pt>
                <c:pt idx="4">
                  <c:v>71.454400000000007</c:v>
                </c:pt>
                <c:pt idx="5">
                  <c:v>14.583599999999999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23"/>
          <c:order val="1"/>
          <c:tx>
            <c:v>Mined Ore</c:v>
          </c:tx>
          <c:marker>
            <c:symbol val="none"/>
          </c:marker>
          <c:cat>
            <c:numRef>
              <c:f>Schedule!$C$25:$GT$25</c:f>
              <c:numCache>
                <c:formatCode>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Schedule!$C$72:$GU$72</c:f>
              <c:numCache>
                <c:formatCode>0.000</c:formatCode>
                <c:ptCount val="10"/>
                <c:pt idx="0">
                  <c:v>7.5004</c:v>
                </c:pt>
                <c:pt idx="1">
                  <c:v>14.9771</c:v>
                </c:pt>
                <c:pt idx="2">
                  <c:v>15.019599999999999</c:v>
                </c:pt>
                <c:pt idx="3">
                  <c:v>15.002899999999999</c:v>
                </c:pt>
                <c:pt idx="4">
                  <c:v>11.707400000000002</c:v>
                </c:pt>
                <c:pt idx="5">
                  <c:v>5.226799999999999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Feed Ore</c:v>
          </c:tx>
          <c:marker>
            <c:symbol val="none"/>
          </c:marker>
          <c:cat>
            <c:numRef>
              <c:f>Schedule!$C$25:$GT$25</c:f>
              <c:numCache>
                <c:formatCode>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Schedule!$C$94:$GU$94</c:f>
              <c:numCache>
                <c:formatCode>#,##0.000</c:formatCode>
                <c:ptCount val="10"/>
                <c:pt idx="0">
                  <c:v>4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5.4341999999999935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785280"/>
        <c:axId val="130786816"/>
      </c:lineChart>
      <c:lineChart>
        <c:grouping val="standard"/>
        <c:varyColors val="0"/>
        <c:ser>
          <c:idx val="2"/>
          <c:order val="3"/>
          <c:tx>
            <c:v>Feed Fe Grade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Schedule!$C$95:$GT$95</c:f>
              <c:numCache>
                <c:formatCode>#,##0.000</c:formatCode>
                <c:ptCount val="9"/>
                <c:pt idx="0">
                  <c:v>59.094250306650324</c:v>
                </c:pt>
                <c:pt idx="1">
                  <c:v>60.159197119382974</c:v>
                </c:pt>
                <c:pt idx="2">
                  <c:v>60.395883353750278</c:v>
                </c:pt>
                <c:pt idx="3">
                  <c:v>60.404936631156758</c:v>
                </c:pt>
                <c:pt idx="4">
                  <c:v>60.098224299291694</c:v>
                </c:pt>
                <c:pt idx="5">
                  <c:v>57.796086216862314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"/>
          <c:order val="4"/>
          <c:tx>
            <c:v>Mined Fe Grade</c:v>
          </c:tx>
          <c:marker>
            <c:symbol val="none"/>
          </c:marker>
          <c:val>
            <c:numRef>
              <c:f>Schedule!$C$74:$GT$74</c:f>
              <c:numCache>
                <c:formatCode>0.000</c:formatCode>
                <c:ptCount val="9"/>
                <c:pt idx="0">
                  <c:v>59.094250306650324</c:v>
                </c:pt>
                <c:pt idx="1">
                  <c:v>60.408093088782209</c:v>
                </c:pt>
                <c:pt idx="2">
                  <c:v>60.450683506884339</c:v>
                </c:pt>
                <c:pt idx="3">
                  <c:v>60.407046904265165</c:v>
                </c:pt>
                <c:pt idx="4">
                  <c:v>60.00653074124056</c:v>
                </c:pt>
                <c:pt idx="5">
                  <c:v>57.704737124052976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70464"/>
        <c:axId val="130788736"/>
      </c:lineChart>
      <c:catAx>
        <c:axId val="1307852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aseline="0"/>
            </a:pPr>
            <a:endParaRPr lang="en-US"/>
          </a:p>
        </c:txPr>
        <c:crossAx val="130786816"/>
        <c:crosses val="autoZero"/>
        <c:auto val="1"/>
        <c:lblAlgn val="ctr"/>
        <c:lblOffset val="100"/>
        <c:tickLblSkip val="1"/>
        <c:noMultiLvlLbl val="1"/>
      </c:catAx>
      <c:valAx>
        <c:axId val="130786816"/>
        <c:scaling>
          <c:orientation val="minMax"/>
          <c:max val="13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Mtpa</a:t>
                </a:r>
              </a:p>
            </c:rich>
          </c:tx>
          <c:layout>
            <c:manualLayout>
              <c:xMode val="edge"/>
              <c:yMode val="edge"/>
              <c:x val="2.3648058456127727E-3"/>
              <c:y val="0.40772248282520451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30785280"/>
        <c:crosses val="autoZero"/>
        <c:crossBetween val="midCat"/>
        <c:majorUnit val="5"/>
      </c:valAx>
      <c:valAx>
        <c:axId val="130788736"/>
        <c:scaling>
          <c:orientation val="minMax"/>
          <c:max val="70"/>
          <c:min val="46"/>
        </c:scaling>
        <c:delete val="0"/>
        <c:axPos val="r"/>
        <c:numFmt formatCode="#,##0.0" sourceLinked="0"/>
        <c:majorTickMark val="out"/>
        <c:minorTickMark val="none"/>
        <c:tickLblPos val="nextTo"/>
        <c:crossAx val="131470464"/>
        <c:crosses val="max"/>
        <c:crossBetween val="between"/>
        <c:majorUnit val="1"/>
      </c:valAx>
      <c:catAx>
        <c:axId val="1314704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30788736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82022</xdr:colOff>
      <xdr:row>8</xdr:row>
      <xdr:rowOff>22680</xdr:rowOff>
    </xdr:from>
    <xdr:to>
      <xdr:col>0</xdr:col>
      <xdr:colOff>982022</xdr:colOff>
      <xdr:row>9</xdr:row>
      <xdr:rowOff>143774</xdr:rowOff>
    </xdr:to>
    <xdr:sp macro="[0]!ExportSchedule" textlink="">
      <xdr:nvSpPr>
        <xdr:cNvPr id="4" name="AutoShape 4"/>
        <xdr:cNvSpPr>
          <a:spLocks noChangeAspect="1" noChangeArrowheads="1"/>
        </xdr:cNvSpPr>
      </xdr:nvSpPr>
      <xdr:spPr bwMode="auto">
        <a:xfrm>
          <a:off x="82022" y="1324430"/>
          <a:ext cx="900000" cy="279844"/>
        </a:xfrm>
        <a:prstGeom prst="rightArrow">
          <a:avLst>
            <a:gd name="adj1" fmla="val 50000"/>
            <a:gd name="adj2" fmla="val 80000"/>
          </a:avLst>
        </a:prstGeom>
        <a:solidFill>
          <a:srgbClr val="FFC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82019</xdr:colOff>
      <xdr:row>10</xdr:row>
      <xdr:rowOff>13606</xdr:rowOff>
    </xdr:from>
    <xdr:to>
      <xdr:col>0</xdr:col>
      <xdr:colOff>982019</xdr:colOff>
      <xdr:row>11</xdr:row>
      <xdr:rowOff>138320</xdr:rowOff>
    </xdr:to>
    <xdr:sp macro="[0]!RunScheduler" textlink="">
      <xdr:nvSpPr>
        <xdr:cNvPr id="6" name="AutoShape 4"/>
        <xdr:cNvSpPr>
          <a:spLocks noChangeArrowheads="1"/>
        </xdr:cNvSpPr>
      </xdr:nvSpPr>
      <xdr:spPr bwMode="auto">
        <a:xfrm>
          <a:off x="82019" y="1632856"/>
          <a:ext cx="900000" cy="283464"/>
        </a:xfrm>
        <a:prstGeom prst="rightArrow">
          <a:avLst>
            <a:gd name="adj1" fmla="val 50000"/>
            <a:gd name="adj2" fmla="val 80000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82021</xdr:colOff>
      <xdr:row>12</xdr:row>
      <xdr:rowOff>27589</xdr:rowOff>
    </xdr:from>
    <xdr:to>
      <xdr:col>0</xdr:col>
      <xdr:colOff>982021</xdr:colOff>
      <xdr:row>13</xdr:row>
      <xdr:rowOff>147768</xdr:rowOff>
    </xdr:to>
    <xdr:sp macro="[0]!ImportSchedule" textlink="">
      <xdr:nvSpPr>
        <xdr:cNvPr id="8" name="AutoShape 4"/>
        <xdr:cNvSpPr>
          <a:spLocks noChangeArrowheads="1"/>
        </xdr:cNvSpPr>
      </xdr:nvSpPr>
      <xdr:spPr bwMode="auto">
        <a:xfrm>
          <a:off x="82021" y="1964339"/>
          <a:ext cx="900000" cy="278929"/>
        </a:xfrm>
        <a:prstGeom prst="rightArrow">
          <a:avLst>
            <a:gd name="adj1" fmla="val 50000"/>
            <a:gd name="adj2" fmla="val 80000"/>
          </a:avLst>
        </a:prstGeom>
        <a:solidFill>
          <a:srgbClr val="92D05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387799</xdr:colOff>
      <xdr:row>0</xdr:row>
      <xdr:rowOff>38100</xdr:rowOff>
    </xdr:from>
    <xdr:to>
      <xdr:col>210</xdr:col>
      <xdr:colOff>437029</xdr:colOff>
      <xdr:row>23</xdr:row>
      <xdr:rowOff>123265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DJ185"/>
  <sheetViews>
    <sheetView workbookViewId="0">
      <pane ySplit="1" topLeftCell="A164" activePane="bottomLeft" state="frozen"/>
      <selection pane="bottomLeft" activeCell="D173" sqref="D173"/>
    </sheetView>
  </sheetViews>
  <sheetFormatPr defaultRowHeight="15" x14ac:dyDescent="0.25"/>
  <cols>
    <col min="1" max="1" width="3.7109375" style="4" bestFit="1" customWidth="1"/>
    <col min="2" max="2" width="7" style="5" bestFit="1" customWidth="1"/>
    <col min="3" max="3" width="7.5703125" style="3" bestFit="1" customWidth="1"/>
    <col min="4" max="4" width="6.5703125" style="3" bestFit="1" customWidth="1"/>
    <col min="5" max="5" width="7.5703125" style="86" bestFit="1" customWidth="1"/>
    <col min="6" max="6" width="9.140625" style="86" bestFit="1" customWidth="1"/>
    <col min="7" max="7" width="5.5703125" style="86" bestFit="1" customWidth="1"/>
    <col min="8" max="11" width="8.5703125" style="3" bestFit="1" customWidth="1"/>
    <col min="12" max="12" width="7.140625" style="3" bestFit="1" customWidth="1"/>
    <col min="13" max="16" width="6.5703125" style="3" bestFit="1" customWidth="1"/>
    <col min="17" max="18" width="5.5703125" style="3" bestFit="1" customWidth="1"/>
    <col min="19" max="19" width="9.28515625" style="3" bestFit="1" customWidth="1"/>
    <col min="20" max="20" width="6.5703125" style="3" bestFit="1" customWidth="1"/>
    <col min="21" max="21" width="8.140625" style="3" bestFit="1" customWidth="1"/>
    <col min="22" max="22" width="9.7109375" style="3" bestFit="1" customWidth="1"/>
    <col min="23" max="23" width="5.5703125" style="3" bestFit="1" customWidth="1"/>
    <col min="24" max="24" width="7" style="3" bestFit="1" customWidth="1"/>
    <col min="25" max="25" width="9.7109375" style="3" bestFit="1" customWidth="1"/>
    <col min="26" max="26" width="6.5703125" style="3" bestFit="1" customWidth="1"/>
    <col min="27" max="27" width="8.5703125" style="3" bestFit="1" customWidth="1"/>
    <col min="28" max="28" width="10.140625" style="3" bestFit="1" customWidth="1"/>
    <col min="29" max="29" width="5.7109375" style="3" bestFit="1" customWidth="1"/>
    <col min="30" max="30" width="7.42578125" style="3" bestFit="1" customWidth="1"/>
    <col min="31" max="31" width="9.85546875" style="3" bestFit="1" customWidth="1"/>
    <col min="32" max="32" width="6.7109375" style="3" bestFit="1" customWidth="1"/>
    <col min="33" max="33" width="8.7109375" style="3" bestFit="1" customWidth="1"/>
    <col min="34" max="34" width="10.28515625" style="3" bestFit="1" customWidth="1"/>
    <col min="35" max="35" width="5.85546875" style="3" bestFit="1" customWidth="1"/>
    <col min="36" max="36" width="7.5703125" style="3" bestFit="1" customWidth="1"/>
    <col min="37" max="37" width="10.28515625" style="3" bestFit="1" customWidth="1"/>
    <col min="38" max="38" width="7.140625" style="3" bestFit="1" customWidth="1"/>
    <col min="39" max="39" width="9.140625" style="3" bestFit="1" customWidth="1"/>
    <col min="40" max="40" width="10.7109375" style="3" bestFit="1" customWidth="1"/>
    <col min="41" max="41" width="6.28515625" style="3" bestFit="1" customWidth="1"/>
    <col min="42" max="42" width="8" style="3" bestFit="1" customWidth="1"/>
    <col min="43" max="43" width="8.140625" style="3" bestFit="1" customWidth="1"/>
    <col min="44" max="44" width="6.28515625" style="3" bestFit="1" customWidth="1"/>
    <col min="45" max="45" width="8.28515625" style="3" bestFit="1" customWidth="1"/>
    <col min="46" max="46" width="9.85546875" style="3" bestFit="1" customWidth="1"/>
    <col min="47" max="47" width="5.5703125" style="3" bestFit="1" customWidth="1"/>
    <col min="48" max="48" width="7.140625" style="3" bestFit="1" customWidth="1"/>
    <col min="49" max="49" width="9.42578125" style="3" bestFit="1" customWidth="1"/>
    <col min="50" max="50" width="7.5703125" style="3" bestFit="1" customWidth="1"/>
    <col min="51" max="51" width="9.5703125" style="3" bestFit="1" customWidth="1"/>
    <col min="52" max="52" width="11.140625" style="3" bestFit="1" customWidth="1"/>
    <col min="53" max="53" width="6.7109375" style="3" bestFit="1" customWidth="1"/>
    <col min="54" max="54" width="8.42578125" style="3" bestFit="1" customWidth="1"/>
    <col min="55" max="57" width="7" style="3" bestFit="1" customWidth="1"/>
    <col min="58" max="60" width="8" style="3" bestFit="1" customWidth="1"/>
    <col min="61" max="62" width="10.5703125" style="3" bestFit="1" customWidth="1"/>
    <col min="63" max="64" width="10.140625" style="3" bestFit="1" customWidth="1"/>
    <col min="65" max="65" width="8.140625" style="3" bestFit="1" customWidth="1"/>
    <col min="66" max="66" width="10.42578125" style="3" bestFit="1" customWidth="1"/>
    <col min="67" max="67" width="8.85546875" style="3" bestFit="1" customWidth="1"/>
    <col min="68" max="68" width="7" style="3" bestFit="1" customWidth="1"/>
    <col min="69" max="69" width="9" style="2" bestFit="1" customWidth="1"/>
    <col min="70" max="70" width="10.5703125" style="2" bestFit="1" customWidth="1"/>
    <col min="71" max="71" width="6.140625" style="2" bestFit="1" customWidth="1"/>
    <col min="72" max="72" width="9.42578125" style="2" bestFit="1" customWidth="1"/>
    <col min="73" max="73" width="8.85546875" style="2" bestFit="1" customWidth="1"/>
    <col min="74" max="74" width="6" style="2" bestFit="1" customWidth="1"/>
    <col min="75" max="75" width="8.140625" style="2" bestFit="1" customWidth="1"/>
    <col min="76" max="76" width="9" style="2" bestFit="1" customWidth="1"/>
    <col min="77" max="77" width="8.5703125" style="2" bestFit="1" customWidth="1"/>
    <col min="78" max="78" width="7.85546875" style="2" bestFit="1" customWidth="1"/>
    <col min="79" max="80" width="11" style="2" bestFit="1" customWidth="1"/>
    <col min="81" max="82" width="10.5703125" style="2" bestFit="1" customWidth="1"/>
    <col min="83" max="83" width="8.5703125" style="2" bestFit="1" customWidth="1"/>
    <col min="84" max="84" width="10.85546875" style="2" bestFit="1" customWidth="1"/>
    <col min="85" max="85" width="8.42578125" style="2" bestFit="1" customWidth="1"/>
    <col min="86" max="86" width="6.5703125" style="2" bestFit="1" customWidth="1"/>
    <col min="87" max="87" width="8.5703125" style="2" bestFit="1" customWidth="1"/>
    <col min="88" max="88" width="10.140625" style="2" bestFit="1" customWidth="1"/>
    <col min="89" max="89" width="5.7109375" style="2" bestFit="1" customWidth="1"/>
    <col min="90" max="90" width="9" style="2" bestFit="1" customWidth="1"/>
    <col min="91" max="91" width="8.42578125" style="2" bestFit="1" customWidth="1"/>
    <col min="92" max="92" width="5.5703125" style="2" bestFit="1" customWidth="1"/>
    <col min="93" max="93" width="7.7109375" style="2" bestFit="1" customWidth="1"/>
    <col min="94" max="94" width="8.5703125" style="2" bestFit="1" customWidth="1"/>
    <col min="95" max="95" width="8.140625" style="2" bestFit="1" customWidth="1"/>
    <col min="96" max="96" width="7.42578125" style="2" bestFit="1" customWidth="1"/>
    <col min="97" max="98" width="10.5703125" style="2" bestFit="1" customWidth="1"/>
    <col min="99" max="100" width="10.140625" style="2" bestFit="1" customWidth="1"/>
    <col min="101" max="101" width="8.140625" style="2" bestFit="1" customWidth="1"/>
    <col min="102" max="102" width="10.42578125" style="2" bestFit="1" customWidth="1"/>
    <col min="103" max="106" width="9.5703125" style="2" bestFit="1" customWidth="1"/>
    <col min="107" max="107" width="11.140625" style="2" bestFit="1" customWidth="1"/>
    <col min="108" max="108" width="12.7109375" style="2" bestFit="1" customWidth="1"/>
    <col min="109" max="109" width="7.5703125" style="2" bestFit="1" customWidth="1"/>
    <col min="110" max="110" width="6.28515625" style="2" bestFit="1" customWidth="1"/>
    <col min="111" max="111" width="6.5703125" style="2" bestFit="1" customWidth="1"/>
    <col min="112" max="112" width="9.28515625" style="2" bestFit="1" customWidth="1"/>
    <col min="113" max="113" width="9.42578125" style="2" bestFit="1" customWidth="1"/>
    <col min="114" max="114" width="6.140625" style="2" bestFit="1" customWidth="1"/>
    <col min="115" max="16384" width="9.140625" style="2"/>
  </cols>
  <sheetData>
    <row r="1" spans="1:114" x14ac:dyDescent="0.25">
      <c r="A1" s="3" t="s">
        <v>51</v>
      </c>
      <c r="B1" s="5" t="s">
        <v>53</v>
      </c>
      <c r="C1" s="3" t="s">
        <v>16</v>
      </c>
      <c r="D1" s="3" t="s">
        <v>49</v>
      </c>
      <c r="E1" s="86" t="s">
        <v>41</v>
      </c>
      <c r="F1" s="86" t="s">
        <v>37</v>
      </c>
      <c r="G1" s="86" t="s">
        <v>38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</row>
    <row r="2" spans="1:114" x14ac:dyDescent="0.25">
      <c r="A2" s="4">
        <v>1</v>
      </c>
      <c r="B2" s="5">
        <v>576</v>
      </c>
      <c r="C2" s="3">
        <v>2.8540000000000002E-3</v>
      </c>
      <c r="D2" s="3">
        <v>7.6090000000000005E-2</v>
      </c>
      <c r="E2" s="86">
        <v>56</v>
      </c>
      <c r="F2" s="86">
        <v>7.67</v>
      </c>
      <c r="G2" s="86">
        <v>1.97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</row>
    <row r="3" spans="1:114" x14ac:dyDescent="0.25">
      <c r="A3" s="4">
        <v>1</v>
      </c>
      <c r="B3" s="5">
        <v>564</v>
      </c>
      <c r="C3" s="3">
        <v>1.2952E-2</v>
      </c>
      <c r="D3" s="3">
        <v>3.4669999999999999E-2</v>
      </c>
      <c r="E3" s="86">
        <v>59.4</v>
      </c>
      <c r="F3" s="86">
        <v>5.52</v>
      </c>
      <c r="G3" s="86">
        <v>1.93</v>
      </c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</row>
    <row r="4" spans="1:114" x14ac:dyDescent="0.25">
      <c r="A4" s="4">
        <v>1</v>
      </c>
      <c r="B4" s="5">
        <v>552</v>
      </c>
      <c r="C4" s="3">
        <v>3.7012000000000003E-2</v>
      </c>
      <c r="D4" s="3">
        <v>8.7510000000000001E-3</v>
      </c>
      <c r="E4" s="86">
        <v>60.5</v>
      </c>
      <c r="F4" s="86">
        <v>4.71</v>
      </c>
      <c r="G4" s="86">
        <v>2.2200000000000002</v>
      </c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</row>
    <row r="5" spans="1:114" x14ac:dyDescent="0.25">
      <c r="A5" s="4">
        <v>1</v>
      </c>
      <c r="B5" s="5">
        <v>540</v>
      </c>
      <c r="C5" s="3">
        <v>1.0579999999999999E-3</v>
      </c>
      <c r="D5" s="3">
        <v>1.0848E-2</v>
      </c>
      <c r="E5" s="86">
        <v>59.81</v>
      </c>
      <c r="F5" s="86">
        <v>4.74</v>
      </c>
      <c r="G5" s="86">
        <v>1.69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</row>
    <row r="6" spans="1:114" x14ac:dyDescent="0.25">
      <c r="A6" s="4">
        <v>1</v>
      </c>
      <c r="B6" s="5">
        <v>528</v>
      </c>
      <c r="C6" s="3">
        <v>1.5100000000000001E-4</v>
      </c>
      <c r="D6" s="3">
        <v>7.4393000000000001E-2</v>
      </c>
      <c r="E6" s="86">
        <v>57.23</v>
      </c>
      <c r="F6" s="86">
        <v>5.47</v>
      </c>
      <c r="G6" s="86">
        <v>2.48</v>
      </c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</row>
    <row r="7" spans="1:114" x14ac:dyDescent="0.25">
      <c r="A7" s="4">
        <v>2</v>
      </c>
      <c r="B7" s="5">
        <v>564</v>
      </c>
      <c r="C7" s="3">
        <v>0.15829399999999999</v>
      </c>
      <c r="D7" s="3">
        <v>0.51915</v>
      </c>
      <c r="E7" s="86">
        <v>57.48</v>
      </c>
      <c r="F7" s="86">
        <v>6.92</v>
      </c>
      <c r="G7" s="86">
        <v>2.04</v>
      </c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x14ac:dyDescent="0.25">
      <c r="A8" s="4">
        <v>2</v>
      </c>
      <c r="B8" s="5">
        <v>552</v>
      </c>
      <c r="C8" s="3">
        <v>0.42755599999999999</v>
      </c>
      <c r="D8" s="3">
        <v>1.01892</v>
      </c>
      <c r="E8" s="86">
        <v>58.81</v>
      </c>
      <c r="F8" s="86">
        <v>5.79</v>
      </c>
      <c r="G8" s="86">
        <v>2.2999999999999998</v>
      </c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</row>
    <row r="9" spans="1:114" x14ac:dyDescent="0.25">
      <c r="A9" s="4">
        <v>2</v>
      </c>
      <c r="B9" s="5">
        <v>540</v>
      </c>
      <c r="C9" s="3">
        <v>0.91185700000000003</v>
      </c>
      <c r="D9" s="3">
        <v>1.7284379999999999</v>
      </c>
      <c r="E9" s="86">
        <v>58.69</v>
      </c>
      <c r="F9" s="86">
        <v>5.62</v>
      </c>
      <c r="G9" s="86">
        <v>2.21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</row>
    <row r="10" spans="1:114" x14ac:dyDescent="0.25">
      <c r="A10" s="4">
        <v>2</v>
      </c>
      <c r="B10" s="5">
        <v>528</v>
      </c>
      <c r="C10" s="3">
        <v>1.184661</v>
      </c>
      <c r="D10" s="3">
        <v>3.3808180000000001</v>
      </c>
      <c r="E10" s="86">
        <v>58.79</v>
      </c>
      <c r="F10" s="86">
        <v>5.25</v>
      </c>
      <c r="G10" s="86">
        <v>2.1800000000000002</v>
      </c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</row>
    <row r="11" spans="1:114" x14ac:dyDescent="0.25">
      <c r="A11" s="4">
        <v>2</v>
      </c>
      <c r="B11" s="5">
        <v>516</v>
      </c>
      <c r="C11" s="3">
        <v>1.3053520000000001</v>
      </c>
      <c r="D11" s="3">
        <v>6.6161839999999996</v>
      </c>
      <c r="E11" s="86">
        <v>59.23</v>
      </c>
      <c r="F11" s="86">
        <v>4.8899999999999997</v>
      </c>
      <c r="G11" s="86">
        <v>2.0699999999999998</v>
      </c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</row>
    <row r="12" spans="1:114" x14ac:dyDescent="0.25">
      <c r="A12" s="4">
        <v>2</v>
      </c>
      <c r="B12" s="5">
        <v>504</v>
      </c>
      <c r="C12" s="3">
        <v>1.320433</v>
      </c>
      <c r="D12" s="3">
        <v>7.8066500000000003</v>
      </c>
      <c r="E12" s="86">
        <v>59.35</v>
      </c>
      <c r="F12" s="86">
        <v>4.7300000000000004</v>
      </c>
      <c r="G12" s="86">
        <v>2.1800000000000002</v>
      </c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</row>
    <row r="13" spans="1:114" x14ac:dyDescent="0.25">
      <c r="A13" s="4">
        <v>2</v>
      </c>
      <c r="B13" s="5">
        <v>492</v>
      </c>
      <c r="C13" s="3">
        <v>1.3587940000000001</v>
      </c>
      <c r="D13" s="3">
        <v>7.004721</v>
      </c>
      <c r="E13" s="86">
        <v>59.22</v>
      </c>
      <c r="F13" s="86">
        <v>4.57</v>
      </c>
      <c r="G13" s="86">
        <v>2.04</v>
      </c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</row>
    <row r="14" spans="1:114" x14ac:dyDescent="0.25">
      <c r="A14" s="4">
        <v>2</v>
      </c>
      <c r="B14" s="5">
        <v>480</v>
      </c>
      <c r="C14" s="3">
        <v>1.336055</v>
      </c>
      <c r="D14" s="3">
        <v>6.2857190000000003</v>
      </c>
      <c r="E14" s="86">
        <v>59.36</v>
      </c>
      <c r="F14" s="86">
        <v>4.25</v>
      </c>
      <c r="G14" s="86">
        <v>1.97</v>
      </c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</row>
    <row r="15" spans="1:114" x14ac:dyDescent="0.25">
      <c r="A15" s="4">
        <v>2</v>
      </c>
      <c r="B15" s="5">
        <v>468</v>
      </c>
      <c r="C15" s="3">
        <v>1.2193430000000001</v>
      </c>
      <c r="D15" s="3">
        <v>5.6933100000000003</v>
      </c>
      <c r="E15" s="86">
        <v>59.47</v>
      </c>
      <c r="F15" s="86">
        <v>4.0199999999999996</v>
      </c>
      <c r="G15" s="86">
        <v>1.91</v>
      </c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</row>
    <row r="16" spans="1:114" x14ac:dyDescent="0.25">
      <c r="A16" s="4">
        <v>2</v>
      </c>
      <c r="B16" s="5">
        <v>456</v>
      </c>
      <c r="C16" s="3">
        <v>1.1585989999999999</v>
      </c>
      <c r="D16" s="3">
        <v>5.0698920000000003</v>
      </c>
      <c r="E16" s="86">
        <v>59.58</v>
      </c>
      <c r="F16" s="86">
        <v>3.85</v>
      </c>
      <c r="G16" s="86">
        <v>1.82</v>
      </c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</row>
    <row r="17" spans="1:114" x14ac:dyDescent="0.25">
      <c r="A17" s="4">
        <v>2</v>
      </c>
      <c r="B17" s="5">
        <v>444</v>
      </c>
      <c r="C17" s="3">
        <v>1.063436</v>
      </c>
      <c r="D17" s="3">
        <v>4.5757399999999997</v>
      </c>
      <c r="E17" s="86">
        <v>58.9</v>
      </c>
      <c r="F17" s="86">
        <v>4.6399999999999997</v>
      </c>
      <c r="G17" s="86">
        <v>1.83</v>
      </c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</row>
    <row r="18" spans="1:114" x14ac:dyDescent="0.25">
      <c r="A18" s="4">
        <v>2</v>
      </c>
      <c r="B18" s="5">
        <v>432</v>
      </c>
      <c r="C18" s="3">
        <v>0.91578700000000002</v>
      </c>
      <c r="D18" s="3">
        <v>4.135643</v>
      </c>
      <c r="E18" s="86">
        <v>59.02</v>
      </c>
      <c r="F18" s="86">
        <v>4.57</v>
      </c>
      <c r="G18" s="86">
        <v>1.82</v>
      </c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</row>
    <row r="19" spans="1:114" x14ac:dyDescent="0.25">
      <c r="A19" s="4">
        <v>2</v>
      </c>
      <c r="B19" s="5">
        <v>420</v>
      </c>
      <c r="C19" s="3">
        <v>0.87465499999999996</v>
      </c>
      <c r="D19" s="3">
        <v>3.6012279999999999</v>
      </c>
      <c r="E19" s="86">
        <v>59.1</v>
      </c>
      <c r="F19" s="86">
        <v>4.66</v>
      </c>
      <c r="G19" s="86">
        <v>1.8</v>
      </c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</row>
    <row r="20" spans="1:114" x14ac:dyDescent="0.25">
      <c r="A20" s="4">
        <v>2</v>
      </c>
      <c r="B20" s="5">
        <v>408</v>
      </c>
      <c r="C20" s="3">
        <v>0.78421799999999997</v>
      </c>
      <c r="D20" s="3">
        <v>3.1226470000000002</v>
      </c>
      <c r="E20" s="86">
        <v>59.52</v>
      </c>
      <c r="F20" s="86">
        <v>4.55</v>
      </c>
      <c r="G20" s="86">
        <v>1.73</v>
      </c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</row>
    <row r="21" spans="1:114" x14ac:dyDescent="0.25">
      <c r="A21" s="4">
        <v>2</v>
      </c>
      <c r="B21" s="5">
        <v>396</v>
      </c>
      <c r="C21" s="3">
        <v>0.90685800000000005</v>
      </c>
      <c r="D21" s="3">
        <v>2.4950990000000002</v>
      </c>
      <c r="E21" s="86">
        <v>59.21</v>
      </c>
      <c r="F21" s="86">
        <v>5.22</v>
      </c>
      <c r="G21" s="86">
        <v>1.57</v>
      </c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</row>
    <row r="22" spans="1:114" x14ac:dyDescent="0.25">
      <c r="A22" s="4">
        <v>2</v>
      </c>
      <c r="B22" s="5">
        <v>384</v>
      </c>
      <c r="C22" s="3">
        <v>0.82932099999999997</v>
      </c>
      <c r="D22" s="3">
        <v>2.1216810000000002</v>
      </c>
      <c r="E22" s="86">
        <v>59.55</v>
      </c>
      <c r="F22" s="86">
        <v>5.13</v>
      </c>
      <c r="G22" s="86">
        <v>1.49</v>
      </c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</row>
    <row r="23" spans="1:114" x14ac:dyDescent="0.25">
      <c r="A23" s="4">
        <v>2</v>
      </c>
      <c r="B23" s="5">
        <v>372</v>
      </c>
      <c r="C23" s="3">
        <v>0.71627600000000002</v>
      </c>
      <c r="D23" s="3">
        <v>1.8173049999999999</v>
      </c>
      <c r="E23" s="86">
        <v>59.71</v>
      </c>
      <c r="F23" s="86">
        <v>4.91</v>
      </c>
      <c r="G23" s="86">
        <v>1.35</v>
      </c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</row>
    <row r="24" spans="1:114" x14ac:dyDescent="0.25">
      <c r="A24" s="4">
        <v>2</v>
      </c>
      <c r="B24" s="5">
        <v>360</v>
      </c>
      <c r="C24" s="3">
        <v>0.70411199999999996</v>
      </c>
      <c r="D24" s="3">
        <v>1.463573</v>
      </c>
      <c r="E24" s="86">
        <v>59.6</v>
      </c>
      <c r="F24" s="86">
        <v>5.01</v>
      </c>
      <c r="G24" s="86">
        <v>1.27</v>
      </c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</row>
    <row r="25" spans="1:114" x14ac:dyDescent="0.25">
      <c r="A25" s="4">
        <v>2</v>
      </c>
      <c r="B25" s="5">
        <v>348</v>
      </c>
      <c r="C25" s="3">
        <v>0.63631400000000005</v>
      </c>
      <c r="D25" s="3">
        <v>1.1283049999999999</v>
      </c>
      <c r="E25" s="86">
        <v>59.67</v>
      </c>
      <c r="F25" s="86">
        <v>5.25</v>
      </c>
      <c r="G25" s="86">
        <v>1.22</v>
      </c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</row>
    <row r="26" spans="1:114" x14ac:dyDescent="0.25">
      <c r="A26" s="4">
        <v>2</v>
      </c>
      <c r="B26" s="5">
        <v>336</v>
      </c>
      <c r="C26" s="3">
        <v>0.61184499999999997</v>
      </c>
      <c r="D26" s="3">
        <v>0.71102100000000001</v>
      </c>
      <c r="E26" s="86">
        <v>59.63</v>
      </c>
      <c r="F26" s="86">
        <v>5.69</v>
      </c>
      <c r="G26" s="86">
        <v>1.19</v>
      </c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</row>
    <row r="27" spans="1:114" x14ac:dyDescent="0.25">
      <c r="A27" s="4">
        <v>2</v>
      </c>
      <c r="B27" s="5">
        <v>324</v>
      </c>
      <c r="C27" s="3">
        <v>0.44370100000000001</v>
      </c>
      <c r="D27" s="3">
        <v>0.54892200000000002</v>
      </c>
      <c r="E27" s="86">
        <v>59.61</v>
      </c>
      <c r="F27" s="86">
        <v>5.58</v>
      </c>
      <c r="G27" s="86">
        <v>1.29</v>
      </c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</row>
    <row r="28" spans="1:114" x14ac:dyDescent="0.25">
      <c r="A28" s="4">
        <v>2</v>
      </c>
      <c r="B28" s="5">
        <v>312</v>
      </c>
      <c r="C28" s="3">
        <v>0.24407300000000001</v>
      </c>
      <c r="D28" s="3">
        <v>0.43220500000000001</v>
      </c>
      <c r="E28" s="86">
        <v>59.6</v>
      </c>
      <c r="F28" s="86">
        <v>5.64</v>
      </c>
      <c r="G28" s="86">
        <v>1.24</v>
      </c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</row>
    <row r="29" spans="1:114" x14ac:dyDescent="0.25">
      <c r="A29" s="4">
        <v>2</v>
      </c>
      <c r="B29" s="5">
        <v>300</v>
      </c>
      <c r="C29" s="3">
        <v>0.109788</v>
      </c>
      <c r="D29" s="3">
        <v>0.20436399999999999</v>
      </c>
      <c r="E29" s="86">
        <v>58.88</v>
      </c>
      <c r="F29" s="86">
        <v>6.61</v>
      </c>
      <c r="G29" s="86">
        <v>1.22</v>
      </c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</row>
    <row r="30" spans="1:114" x14ac:dyDescent="0.25">
      <c r="A30" s="4">
        <v>3</v>
      </c>
      <c r="B30" s="5">
        <v>528</v>
      </c>
      <c r="C30" s="3">
        <v>2.5790000000000001E-3</v>
      </c>
      <c r="D30" s="3">
        <v>0.87899400000000005</v>
      </c>
      <c r="E30" s="86">
        <v>55.38</v>
      </c>
      <c r="F30" s="86">
        <v>7.06</v>
      </c>
      <c r="G30" s="86">
        <v>2.97</v>
      </c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</row>
    <row r="31" spans="1:114" x14ac:dyDescent="0.25">
      <c r="A31" s="4">
        <v>3</v>
      </c>
      <c r="B31" s="5">
        <v>516</v>
      </c>
      <c r="C31" s="3">
        <v>0</v>
      </c>
      <c r="D31" s="3">
        <v>4.1399999999999996E-3</v>
      </c>
      <c r="E31" s="86">
        <v>0</v>
      </c>
      <c r="F31" s="86">
        <v>0</v>
      </c>
      <c r="G31" s="86">
        <v>0</v>
      </c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</row>
    <row r="32" spans="1:114" x14ac:dyDescent="0.25">
      <c r="A32" s="4">
        <v>4</v>
      </c>
      <c r="B32" s="5">
        <v>528</v>
      </c>
      <c r="C32" s="3">
        <v>1.5462E-2</v>
      </c>
      <c r="D32" s="3">
        <v>0.722858</v>
      </c>
      <c r="E32" s="86">
        <v>55.41</v>
      </c>
      <c r="F32" s="86">
        <v>7.09</v>
      </c>
      <c r="G32" s="86">
        <v>2.93</v>
      </c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</row>
    <row r="33" spans="1:114" x14ac:dyDescent="0.25">
      <c r="A33" s="4">
        <v>4</v>
      </c>
      <c r="B33" s="5">
        <v>516</v>
      </c>
      <c r="C33" s="3">
        <v>0.16589100000000001</v>
      </c>
      <c r="D33" s="3">
        <v>4.4144129999999997</v>
      </c>
      <c r="E33" s="86">
        <v>55.55</v>
      </c>
      <c r="F33" s="86">
        <v>6.79</v>
      </c>
      <c r="G33" s="86">
        <v>2.87</v>
      </c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</row>
    <row r="34" spans="1:114" x14ac:dyDescent="0.25">
      <c r="A34" s="4">
        <v>4</v>
      </c>
      <c r="B34" s="5">
        <v>504</v>
      </c>
      <c r="C34" s="3">
        <v>0.42038300000000001</v>
      </c>
      <c r="D34" s="3">
        <v>6.8498799999999997</v>
      </c>
      <c r="E34" s="86">
        <v>55.79</v>
      </c>
      <c r="F34" s="86">
        <v>6.8</v>
      </c>
      <c r="G34" s="86">
        <v>2.87</v>
      </c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</row>
    <row r="35" spans="1:114" x14ac:dyDescent="0.25">
      <c r="A35" s="4">
        <v>4</v>
      </c>
      <c r="B35" s="5">
        <v>492</v>
      </c>
      <c r="C35" s="3">
        <v>0.83237499999999998</v>
      </c>
      <c r="D35" s="3">
        <v>5.857221</v>
      </c>
      <c r="E35" s="86">
        <v>57.14</v>
      </c>
      <c r="F35" s="86">
        <v>5.35</v>
      </c>
      <c r="G35" s="86">
        <v>2.67</v>
      </c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</row>
    <row r="36" spans="1:114" x14ac:dyDescent="0.25">
      <c r="A36" s="4">
        <v>4</v>
      </c>
      <c r="B36" s="5">
        <v>480</v>
      </c>
      <c r="C36" s="3">
        <v>1.0340180000000001</v>
      </c>
      <c r="D36" s="3">
        <v>4.8680260000000004</v>
      </c>
      <c r="E36" s="86">
        <v>57.87</v>
      </c>
      <c r="F36" s="86">
        <v>4.68</v>
      </c>
      <c r="G36" s="86">
        <v>2.5299999999999998</v>
      </c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</row>
    <row r="37" spans="1:114" x14ac:dyDescent="0.25">
      <c r="A37" s="4">
        <v>4</v>
      </c>
      <c r="B37" s="5">
        <v>468</v>
      </c>
      <c r="C37" s="3">
        <v>1.1313770000000001</v>
      </c>
      <c r="D37" s="3">
        <v>4.0567460000000004</v>
      </c>
      <c r="E37" s="86">
        <v>58.06</v>
      </c>
      <c r="F37" s="86">
        <v>4.7699999999999996</v>
      </c>
      <c r="G37" s="86">
        <v>2.41</v>
      </c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</row>
    <row r="38" spans="1:114" x14ac:dyDescent="0.25">
      <c r="A38" s="4">
        <v>4</v>
      </c>
      <c r="B38" s="5">
        <v>456</v>
      </c>
      <c r="C38" s="3">
        <v>1.116995</v>
      </c>
      <c r="D38" s="3">
        <v>3.4199980000000001</v>
      </c>
      <c r="E38" s="86">
        <v>58.11</v>
      </c>
      <c r="F38" s="86">
        <v>4.95</v>
      </c>
      <c r="G38" s="86">
        <v>2.29</v>
      </c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</row>
    <row r="39" spans="1:114" x14ac:dyDescent="0.25">
      <c r="A39" s="4">
        <v>4</v>
      </c>
      <c r="B39" s="5">
        <v>444</v>
      </c>
      <c r="C39" s="3">
        <v>1.0891299999999999</v>
      </c>
      <c r="D39" s="3">
        <v>2.8101349999999998</v>
      </c>
      <c r="E39" s="86">
        <v>57.95</v>
      </c>
      <c r="F39" s="86">
        <v>5.46</v>
      </c>
      <c r="G39" s="86">
        <v>2.29</v>
      </c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</row>
    <row r="40" spans="1:114" x14ac:dyDescent="0.25">
      <c r="A40" s="4">
        <v>4</v>
      </c>
      <c r="B40" s="5">
        <v>432</v>
      </c>
      <c r="C40" s="3">
        <v>0.97431400000000001</v>
      </c>
      <c r="D40" s="3">
        <v>2.308065</v>
      </c>
      <c r="E40" s="86">
        <v>57.66</v>
      </c>
      <c r="F40" s="86">
        <v>5.75</v>
      </c>
      <c r="G40" s="86">
        <v>2.35</v>
      </c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</row>
    <row r="41" spans="1:114" x14ac:dyDescent="0.25">
      <c r="A41" s="4">
        <v>4</v>
      </c>
      <c r="B41" s="5">
        <v>420</v>
      </c>
      <c r="C41" s="3">
        <v>0.76166400000000001</v>
      </c>
      <c r="D41" s="3">
        <v>1.871294</v>
      </c>
      <c r="E41" s="86">
        <v>57.33</v>
      </c>
      <c r="F41" s="86">
        <v>6.01</v>
      </c>
      <c r="G41" s="86">
        <v>2.4</v>
      </c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</row>
    <row r="42" spans="1:114" x14ac:dyDescent="0.25">
      <c r="A42" s="4">
        <v>4</v>
      </c>
      <c r="B42" s="5">
        <v>408</v>
      </c>
      <c r="C42" s="3">
        <v>0.53377699999999995</v>
      </c>
      <c r="D42" s="3">
        <v>1.3247420000000001</v>
      </c>
      <c r="E42" s="86">
        <v>57.36</v>
      </c>
      <c r="F42" s="86">
        <v>5.96</v>
      </c>
      <c r="G42" s="86">
        <v>2.5299999999999998</v>
      </c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</row>
    <row r="43" spans="1:114" x14ac:dyDescent="0.25">
      <c r="A43" s="4">
        <v>4</v>
      </c>
      <c r="B43" s="5">
        <v>396</v>
      </c>
      <c r="C43" s="3">
        <v>0.26717400000000002</v>
      </c>
      <c r="D43" s="3">
        <v>0.67258799999999996</v>
      </c>
      <c r="E43" s="86">
        <v>58.21</v>
      </c>
      <c r="F43" s="86">
        <v>5.43</v>
      </c>
      <c r="G43" s="86">
        <v>2.0299999999999998</v>
      </c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</row>
    <row r="44" spans="1:114" x14ac:dyDescent="0.25">
      <c r="A44" s="4">
        <v>4</v>
      </c>
      <c r="B44" s="5">
        <v>384</v>
      </c>
      <c r="C44" s="3">
        <v>0.179286</v>
      </c>
      <c r="D44" s="3">
        <v>0.30858999999999998</v>
      </c>
      <c r="E44" s="86">
        <v>58.15</v>
      </c>
      <c r="F44" s="86">
        <v>5.85</v>
      </c>
      <c r="G44" s="86">
        <v>2.16</v>
      </c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</row>
    <row r="45" spans="1:114" x14ac:dyDescent="0.25">
      <c r="A45" s="4">
        <v>4</v>
      </c>
      <c r="B45" s="5">
        <v>372</v>
      </c>
      <c r="C45" s="3">
        <v>7.0003999999999997E-2</v>
      </c>
      <c r="D45" s="3">
        <v>9.9225999999999995E-2</v>
      </c>
      <c r="E45" s="86">
        <v>57.3</v>
      </c>
      <c r="F45" s="86">
        <v>6.88</v>
      </c>
      <c r="G45" s="86">
        <v>2.29</v>
      </c>
    </row>
    <row r="46" spans="1:114" x14ac:dyDescent="0.25">
      <c r="A46" s="4">
        <v>4</v>
      </c>
      <c r="B46" s="5">
        <v>360</v>
      </c>
      <c r="C46" s="3">
        <v>4.2965999999999997E-2</v>
      </c>
      <c r="D46" s="3">
        <v>2.6110000000000001E-2</v>
      </c>
      <c r="E46" s="86">
        <v>57.89</v>
      </c>
      <c r="F46" s="86">
        <v>5.36</v>
      </c>
      <c r="G46" s="86">
        <v>2.19</v>
      </c>
    </row>
    <row r="47" spans="1:114" x14ac:dyDescent="0.25">
      <c r="A47" s="4">
        <v>5</v>
      </c>
      <c r="B47" s="5">
        <v>540</v>
      </c>
      <c r="C47" s="3">
        <v>0</v>
      </c>
      <c r="D47" s="3">
        <v>2.4705999999999999E-2</v>
      </c>
      <c r="E47" s="86">
        <v>0</v>
      </c>
      <c r="F47" s="86">
        <v>0</v>
      </c>
      <c r="G47" s="86">
        <v>0</v>
      </c>
    </row>
    <row r="48" spans="1:114" x14ac:dyDescent="0.25">
      <c r="A48" s="4">
        <v>5</v>
      </c>
      <c r="B48" s="5">
        <v>528</v>
      </c>
      <c r="C48" s="3">
        <v>3.1700000000000001E-4</v>
      </c>
      <c r="D48" s="3">
        <v>0.96606000000000003</v>
      </c>
      <c r="E48" s="86">
        <v>55.96</v>
      </c>
      <c r="F48" s="86">
        <v>5.86</v>
      </c>
      <c r="G48" s="86">
        <v>3.12</v>
      </c>
    </row>
    <row r="49" spans="1:7" x14ac:dyDescent="0.25">
      <c r="A49" s="4">
        <v>5</v>
      </c>
      <c r="B49" s="5">
        <v>516</v>
      </c>
      <c r="C49" s="3">
        <v>1.908E-3</v>
      </c>
      <c r="D49" s="3">
        <v>1.89568</v>
      </c>
      <c r="E49" s="86">
        <v>56.14</v>
      </c>
      <c r="F49" s="86">
        <v>5.87</v>
      </c>
      <c r="G49" s="86">
        <v>2.79</v>
      </c>
    </row>
    <row r="50" spans="1:7" x14ac:dyDescent="0.25">
      <c r="A50" s="4">
        <v>5</v>
      </c>
      <c r="B50" s="5">
        <v>504</v>
      </c>
      <c r="C50" s="3">
        <v>3.3700000000000001E-4</v>
      </c>
      <c r="D50" s="3">
        <v>0.849387</v>
      </c>
      <c r="E50" s="86">
        <v>56.27</v>
      </c>
      <c r="F50" s="86">
        <v>5.67</v>
      </c>
      <c r="G50" s="86">
        <v>2.48</v>
      </c>
    </row>
    <row r="51" spans="1:7" x14ac:dyDescent="0.25">
      <c r="A51" s="4">
        <v>5</v>
      </c>
      <c r="B51" s="5">
        <v>492</v>
      </c>
      <c r="C51" s="3">
        <v>1.5200000000000001E-4</v>
      </c>
      <c r="D51" s="3">
        <v>0.149842</v>
      </c>
      <c r="E51" s="86">
        <v>56.71</v>
      </c>
      <c r="F51" s="86">
        <v>6.4</v>
      </c>
      <c r="G51" s="86">
        <v>2.04</v>
      </c>
    </row>
    <row r="52" spans="1:7" x14ac:dyDescent="0.25">
      <c r="A52" s="4">
        <v>6</v>
      </c>
      <c r="B52" s="5">
        <v>528</v>
      </c>
      <c r="C52" s="3">
        <v>5.5999999999999999E-5</v>
      </c>
      <c r="D52" s="3">
        <v>1.4026E-2</v>
      </c>
      <c r="E52" s="86">
        <v>55.96</v>
      </c>
      <c r="F52" s="86">
        <v>5.85</v>
      </c>
      <c r="G52" s="86">
        <v>3.12</v>
      </c>
    </row>
    <row r="53" spans="1:7" x14ac:dyDescent="0.25">
      <c r="A53" s="4">
        <v>6</v>
      </c>
      <c r="B53" s="5">
        <v>516</v>
      </c>
      <c r="C53" s="3">
        <v>1.4504E-2</v>
      </c>
      <c r="D53" s="3">
        <v>0.44862000000000002</v>
      </c>
      <c r="E53" s="86">
        <v>56.08</v>
      </c>
      <c r="F53" s="86">
        <v>5.95</v>
      </c>
      <c r="G53" s="86">
        <v>2.93</v>
      </c>
    </row>
    <row r="54" spans="1:7" x14ac:dyDescent="0.25">
      <c r="A54" s="4">
        <v>6</v>
      </c>
      <c r="B54" s="5">
        <v>504</v>
      </c>
      <c r="C54" s="3">
        <v>0.128548</v>
      </c>
      <c r="D54" s="3">
        <v>2.4878290000000001</v>
      </c>
      <c r="E54" s="86">
        <v>56.02</v>
      </c>
      <c r="F54" s="86">
        <v>6.27</v>
      </c>
      <c r="G54" s="86">
        <v>2.61</v>
      </c>
    </row>
    <row r="55" spans="1:7" x14ac:dyDescent="0.25">
      <c r="A55" s="4">
        <v>6</v>
      </c>
      <c r="B55" s="5">
        <v>492</v>
      </c>
      <c r="C55" s="3">
        <v>0.42396600000000001</v>
      </c>
      <c r="D55" s="3">
        <v>5.3719520000000003</v>
      </c>
      <c r="E55" s="86">
        <v>56.24</v>
      </c>
      <c r="F55" s="86">
        <v>6.36</v>
      </c>
      <c r="G55" s="86">
        <v>2.48</v>
      </c>
    </row>
    <row r="56" spans="1:7" x14ac:dyDescent="0.25">
      <c r="A56" s="4">
        <v>6</v>
      </c>
      <c r="B56" s="5">
        <v>480</v>
      </c>
      <c r="C56" s="3">
        <v>0.63093100000000002</v>
      </c>
      <c r="D56" s="3">
        <v>7.0316340000000004</v>
      </c>
      <c r="E56" s="86">
        <v>56.28</v>
      </c>
      <c r="F56" s="86">
        <v>6.39</v>
      </c>
      <c r="G56" s="86">
        <v>2.5499999999999998</v>
      </c>
    </row>
    <row r="57" spans="1:7" x14ac:dyDescent="0.25">
      <c r="A57" s="4">
        <v>6</v>
      </c>
      <c r="B57" s="5">
        <v>468</v>
      </c>
      <c r="C57" s="3">
        <v>0.76893599999999995</v>
      </c>
      <c r="D57" s="3">
        <v>5.5382110000000004</v>
      </c>
      <c r="E57" s="86">
        <v>56.58</v>
      </c>
      <c r="F57" s="86">
        <v>5.93</v>
      </c>
      <c r="G57" s="86">
        <v>2.65</v>
      </c>
    </row>
    <row r="58" spans="1:7" x14ac:dyDescent="0.25">
      <c r="A58" s="4">
        <v>6</v>
      </c>
      <c r="B58" s="5">
        <v>456</v>
      </c>
      <c r="C58" s="3">
        <v>0.83937799999999996</v>
      </c>
      <c r="D58" s="3">
        <v>4.4080079999999997</v>
      </c>
      <c r="E58" s="86">
        <v>56.49</v>
      </c>
      <c r="F58" s="86">
        <v>6.05</v>
      </c>
      <c r="G58" s="86">
        <v>2.73</v>
      </c>
    </row>
    <row r="59" spans="1:7" x14ac:dyDescent="0.25">
      <c r="A59" s="4">
        <v>6</v>
      </c>
      <c r="B59" s="5">
        <v>444</v>
      </c>
      <c r="C59" s="3">
        <v>0.99450899999999998</v>
      </c>
      <c r="D59" s="3">
        <v>3.3099959999999999</v>
      </c>
      <c r="E59" s="86">
        <v>57.1</v>
      </c>
      <c r="F59" s="86">
        <v>5.61</v>
      </c>
      <c r="G59" s="86">
        <v>2.4900000000000002</v>
      </c>
    </row>
    <row r="60" spans="1:7" x14ac:dyDescent="0.25">
      <c r="A60" s="4">
        <v>6</v>
      </c>
      <c r="B60" s="5">
        <v>432</v>
      </c>
      <c r="C60" s="3">
        <v>1.0127550000000001</v>
      </c>
      <c r="D60" s="3">
        <v>2.4851030000000001</v>
      </c>
      <c r="E60" s="86">
        <v>58.01</v>
      </c>
      <c r="F60" s="86">
        <v>4.5599999999999996</v>
      </c>
      <c r="G60" s="86">
        <v>2.12</v>
      </c>
    </row>
    <row r="61" spans="1:7" x14ac:dyDescent="0.25">
      <c r="A61" s="4">
        <v>6</v>
      </c>
      <c r="B61" s="5">
        <v>420</v>
      </c>
      <c r="C61" s="3">
        <v>0.90192899999999998</v>
      </c>
      <c r="D61" s="3">
        <v>1.8252090000000001</v>
      </c>
      <c r="E61" s="86">
        <v>58.06</v>
      </c>
      <c r="F61" s="86">
        <v>4.66</v>
      </c>
      <c r="G61" s="86">
        <v>2.16</v>
      </c>
    </row>
    <row r="62" spans="1:7" x14ac:dyDescent="0.25">
      <c r="A62" s="4">
        <v>6</v>
      </c>
      <c r="B62" s="5">
        <v>408</v>
      </c>
      <c r="C62" s="3">
        <v>0.82872999999999997</v>
      </c>
      <c r="D62" s="3">
        <v>1.2247250000000001</v>
      </c>
      <c r="E62" s="86">
        <v>57.69</v>
      </c>
      <c r="F62" s="86">
        <v>5.08</v>
      </c>
      <c r="G62" s="86">
        <v>2.2400000000000002</v>
      </c>
    </row>
    <row r="63" spans="1:7" x14ac:dyDescent="0.25">
      <c r="A63" s="4">
        <v>6</v>
      </c>
      <c r="B63" s="5">
        <v>396</v>
      </c>
      <c r="C63" s="3">
        <v>0.72258199999999995</v>
      </c>
      <c r="D63" s="3">
        <v>0.83920499999999998</v>
      </c>
      <c r="E63" s="86">
        <v>57.27</v>
      </c>
      <c r="F63" s="86">
        <v>5.59</v>
      </c>
      <c r="G63" s="86">
        <v>2.14</v>
      </c>
    </row>
    <row r="64" spans="1:7" x14ac:dyDescent="0.25">
      <c r="A64" s="4">
        <v>6</v>
      </c>
      <c r="B64" s="5">
        <v>384</v>
      </c>
      <c r="C64" s="3">
        <v>0.52732900000000005</v>
      </c>
      <c r="D64" s="3">
        <v>0.49717800000000001</v>
      </c>
      <c r="E64" s="86">
        <v>57.36</v>
      </c>
      <c r="F64" s="86">
        <v>5.71</v>
      </c>
      <c r="G64" s="86">
        <v>1.94</v>
      </c>
    </row>
    <row r="65" spans="1:7" x14ac:dyDescent="0.25">
      <c r="A65" s="4">
        <v>6</v>
      </c>
      <c r="B65" s="5">
        <v>372</v>
      </c>
      <c r="C65" s="3">
        <v>0.305008</v>
      </c>
      <c r="D65" s="3">
        <v>0.22244800000000001</v>
      </c>
      <c r="E65" s="86">
        <v>56.89</v>
      </c>
      <c r="F65" s="86">
        <v>5.93</v>
      </c>
      <c r="G65" s="86">
        <v>2</v>
      </c>
    </row>
    <row r="66" spans="1:7" x14ac:dyDescent="0.25">
      <c r="A66" s="4">
        <v>6</v>
      </c>
      <c r="B66" s="5">
        <v>360</v>
      </c>
      <c r="C66" s="3">
        <v>9.9151000000000003E-2</v>
      </c>
      <c r="D66" s="3">
        <v>4.7735E-2</v>
      </c>
      <c r="E66" s="86">
        <v>57.03</v>
      </c>
      <c r="F66" s="86">
        <v>5.6</v>
      </c>
      <c r="G66" s="86">
        <v>2.31</v>
      </c>
    </row>
    <row r="67" spans="1:7" x14ac:dyDescent="0.25">
      <c r="A67" s="4">
        <v>7</v>
      </c>
      <c r="B67" s="5">
        <v>540</v>
      </c>
      <c r="C67" s="3">
        <v>0</v>
      </c>
      <c r="D67" s="3">
        <v>3.4182999999999998E-2</v>
      </c>
      <c r="E67" s="86">
        <v>0</v>
      </c>
      <c r="F67" s="86">
        <v>0</v>
      </c>
      <c r="G67" s="86">
        <v>0</v>
      </c>
    </row>
    <row r="68" spans="1:7" x14ac:dyDescent="0.25">
      <c r="A68" s="4">
        <v>7</v>
      </c>
      <c r="B68" s="5">
        <v>528</v>
      </c>
      <c r="C68" s="3">
        <v>0</v>
      </c>
      <c r="D68" s="3">
        <v>0.16012899999999999</v>
      </c>
      <c r="E68" s="86">
        <v>0</v>
      </c>
      <c r="F68" s="86">
        <v>0</v>
      </c>
      <c r="G68" s="86">
        <v>0</v>
      </c>
    </row>
    <row r="69" spans="1:7" x14ac:dyDescent="0.25">
      <c r="A69" s="4">
        <v>7</v>
      </c>
      <c r="B69" s="5">
        <v>516</v>
      </c>
      <c r="C69" s="3">
        <v>0</v>
      </c>
      <c r="D69" s="3">
        <v>1.1435000000000001E-2</v>
      </c>
      <c r="E69" s="86">
        <v>0</v>
      </c>
      <c r="F69" s="86">
        <v>0</v>
      </c>
      <c r="G69" s="86">
        <v>0</v>
      </c>
    </row>
    <row r="70" spans="1:7" x14ac:dyDescent="0.25">
      <c r="A70" s="4">
        <v>7</v>
      </c>
      <c r="B70" s="5">
        <v>504</v>
      </c>
      <c r="C70" s="3">
        <v>0</v>
      </c>
      <c r="D70" s="3">
        <v>9.5600000000000004E-4</v>
      </c>
      <c r="E70" s="86">
        <v>0</v>
      </c>
      <c r="F70" s="86">
        <v>0</v>
      </c>
      <c r="G70" s="86">
        <v>0</v>
      </c>
    </row>
    <row r="71" spans="1:7" x14ac:dyDescent="0.25">
      <c r="A71" s="4">
        <v>8</v>
      </c>
      <c r="B71" s="5">
        <v>540</v>
      </c>
      <c r="C71" s="3">
        <v>0.223</v>
      </c>
      <c r="D71" s="3">
        <v>0.40094200000000002</v>
      </c>
      <c r="E71" s="86">
        <v>64.150000000000006</v>
      </c>
      <c r="F71" s="86">
        <v>2.87</v>
      </c>
      <c r="G71" s="86">
        <v>2.5299999999999998</v>
      </c>
    </row>
    <row r="72" spans="1:7" x14ac:dyDescent="0.25">
      <c r="A72" s="4">
        <v>8</v>
      </c>
      <c r="B72" s="5">
        <v>528</v>
      </c>
      <c r="C72" s="3">
        <v>0.56584699999999999</v>
      </c>
      <c r="D72" s="3">
        <v>2.1421920000000001</v>
      </c>
      <c r="E72" s="86">
        <v>64.489999999999995</v>
      </c>
      <c r="F72" s="86">
        <v>2.8</v>
      </c>
      <c r="G72" s="86">
        <v>2.4900000000000002</v>
      </c>
    </row>
    <row r="73" spans="1:7" x14ac:dyDescent="0.25">
      <c r="A73" s="4">
        <v>8</v>
      </c>
      <c r="B73" s="5">
        <v>516</v>
      </c>
      <c r="C73" s="3">
        <v>0.63726799999999995</v>
      </c>
      <c r="D73" s="3">
        <v>6.924207</v>
      </c>
      <c r="E73" s="86">
        <v>64.400000000000006</v>
      </c>
      <c r="F73" s="86">
        <v>2.83</v>
      </c>
      <c r="G73" s="86">
        <v>2.48</v>
      </c>
    </row>
    <row r="74" spans="1:7" x14ac:dyDescent="0.25">
      <c r="A74" s="4">
        <v>8</v>
      </c>
      <c r="B74" s="5">
        <v>504</v>
      </c>
      <c r="C74" s="3">
        <v>0.68727099999999997</v>
      </c>
      <c r="D74" s="3">
        <v>11.983682</v>
      </c>
      <c r="E74" s="86">
        <v>64.349999999999994</v>
      </c>
      <c r="F74" s="86">
        <v>2.9</v>
      </c>
      <c r="G74" s="86">
        <v>2.4300000000000002</v>
      </c>
    </row>
    <row r="75" spans="1:7" x14ac:dyDescent="0.25">
      <c r="A75" s="4">
        <v>8</v>
      </c>
      <c r="B75" s="5">
        <v>492</v>
      </c>
      <c r="C75" s="3">
        <v>0.69864199999999999</v>
      </c>
      <c r="D75" s="3">
        <v>11.378842000000001</v>
      </c>
      <c r="E75" s="86">
        <v>64.569999999999993</v>
      </c>
      <c r="F75" s="86">
        <v>2.78</v>
      </c>
      <c r="G75" s="86">
        <v>2.34</v>
      </c>
    </row>
    <row r="76" spans="1:7" x14ac:dyDescent="0.25">
      <c r="A76" s="4">
        <v>8</v>
      </c>
      <c r="B76" s="5">
        <v>480</v>
      </c>
      <c r="C76" s="3">
        <v>0.69164199999999998</v>
      </c>
      <c r="D76" s="3">
        <v>9.8271320000000006</v>
      </c>
      <c r="E76" s="86">
        <v>64.44</v>
      </c>
      <c r="F76" s="86">
        <v>2.89</v>
      </c>
      <c r="G76" s="86">
        <v>2.2000000000000002</v>
      </c>
    </row>
    <row r="77" spans="1:7" x14ac:dyDescent="0.25">
      <c r="A77" s="4">
        <v>8</v>
      </c>
      <c r="B77" s="5">
        <v>468</v>
      </c>
      <c r="C77" s="3">
        <v>0.68293899999999996</v>
      </c>
      <c r="D77" s="3">
        <v>8.3576189999999997</v>
      </c>
      <c r="E77" s="86">
        <v>64.53</v>
      </c>
      <c r="F77" s="86">
        <v>2.76</v>
      </c>
      <c r="G77" s="86">
        <v>2.04</v>
      </c>
    </row>
    <row r="78" spans="1:7" x14ac:dyDescent="0.25">
      <c r="A78" s="4">
        <v>8</v>
      </c>
      <c r="B78" s="5">
        <v>456</v>
      </c>
      <c r="C78" s="3">
        <v>0.64744400000000002</v>
      </c>
      <c r="D78" s="3">
        <v>7.0404660000000003</v>
      </c>
      <c r="E78" s="86">
        <v>64.64</v>
      </c>
      <c r="F78" s="86">
        <v>2.4300000000000002</v>
      </c>
      <c r="G78" s="86">
        <v>1.91</v>
      </c>
    </row>
    <row r="79" spans="1:7" x14ac:dyDescent="0.25">
      <c r="A79" s="4">
        <v>8</v>
      </c>
      <c r="B79" s="5">
        <v>444</v>
      </c>
      <c r="C79" s="3">
        <v>0.62683500000000003</v>
      </c>
      <c r="D79" s="3">
        <v>5.8989419999999999</v>
      </c>
      <c r="E79" s="86">
        <v>64.23</v>
      </c>
      <c r="F79" s="86">
        <v>2.54</v>
      </c>
      <c r="G79" s="86">
        <v>1.94</v>
      </c>
    </row>
    <row r="80" spans="1:7" x14ac:dyDescent="0.25">
      <c r="A80" s="4">
        <v>8</v>
      </c>
      <c r="B80" s="5">
        <v>432</v>
      </c>
      <c r="C80" s="3">
        <v>0.62735399999999997</v>
      </c>
      <c r="D80" s="3">
        <v>4.9814819999999997</v>
      </c>
      <c r="E80" s="86">
        <v>64.03</v>
      </c>
      <c r="F80" s="86">
        <v>2.69</v>
      </c>
      <c r="G80" s="86">
        <v>1.97</v>
      </c>
    </row>
    <row r="81" spans="1:7" x14ac:dyDescent="0.25">
      <c r="A81" s="4">
        <v>8</v>
      </c>
      <c r="B81" s="5">
        <v>420</v>
      </c>
      <c r="C81" s="3">
        <v>0.63260799999999995</v>
      </c>
      <c r="D81" s="3">
        <v>4.215541</v>
      </c>
      <c r="E81" s="86">
        <v>64.33</v>
      </c>
      <c r="F81" s="86">
        <v>2.79</v>
      </c>
      <c r="G81" s="86">
        <v>1.9</v>
      </c>
    </row>
    <row r="82" spans="1:7" x14ac:dyDescent="0.25">
      <c r="A82" s="4">
        <v>8</v>
      </c>
      <c r="B82" s="5">
        <v>408</v>
      </c>
      <c r="C82" s="3">
        <v>0.63849400000000001</v>
      </c>
      <c r="D82" s="3">
        <v>3.511444</v>
      </c>
      <c r="E82" s="86">
        <v>64.66</v>
      </c>
      <c r="F82" s="86">
        <v>2.77</v>
      </c>
      <c r="G82" s="86">
        <v>1.74</v>
      </c>
    </row>
    <row r="83" spans="1:7" x14ac:dyDescent="0.25">
      <c r="A83" s="4">
        <v>8</v>
      </c>
      <c r="B83" s="5">
        <v>396</v>
      </c>
      <c r="C83" s="3">
        <v>0.63324599999999998</v>
      </c>
      <c r="D83" s="3">
        <v>2.9193449999999999</v>
      </c>
      <c r="E83" s="86">
        <v>64.959999999999994</v>
      </c>
      <c r="F83" s="86">
        <v>2.5299999999999998</v>
      </c>
      <c r="G83" s="86">
        <v>1.66</v>
      </c>
    </row>
    <row r="84" spans="1:7" x14ac:dyDescent="0.25">
      <c r="A84" s="4">
        <v>8</v>
      </c>
      <c r="B84" s="5">
        <v>384</v>
      </c>
      <c r="C84" s="3">
        <v>0.60719699999999999</v>
      </c>
      <c r="D84" s="3">
        <v>2.3426339999999999</v>
      </c>
      <c r="E84" s="86">
        <v>64.930000000000007</v>
      </c>
      <c r="F84" s="86">
        <v>2.41</v>
      </c>
      <c r="G84" s="86">
        <v>1.56</v>
      </c>
    </row>
    <row r="85" spans="1:7" x14ac:dyDescent="0.25">
      <c r="A85" s="4">
        <v>8</v>
      </c>
      <c r="B85" s="5">
        <v>372</v>
      </c>
      <c r="C85" s="3">
        <v>0.54447000000000001</v>
      </c>
      <c r="D85" s="3">
        <v>1.843167</v>
      </c>
      <c r="E85" s="86">
        <v>64.87</v>
      </c>
      <c r="F85" s="86">
        <v>2.36</v>
      </c>
      <c r="G85" s="86">
        <v>1.44</v>
      </c>
    </row>
    <row r="86" spans="1:7" x14ac:dyDescent="0.25">
      <c r="A86" s="4">
        <v>8</v>
      </c>
      <c r="B86" s="5">
        <v>360</v>
      </c>
      <c r="C86" s="3">
        <v>0.46331699999999998</v>
      </c>
      <c r="D86" s="3">
        <v>1.3943430000000001</v>
      </c>
      <c r="E86" s="86">
        <v>64.900000000000006</v>
      </c>
      <c r="F86" s="86">
        <v>2.2200000000000002</v>
      </c>
      <c r="G86" s="86">
        <v>1.46</v>
      </c>
    </row>
    <row r="87" spans="1:7" x14ac:dyDescent="0.25">
      <c r="A87" s="4">
        <v>8</v>
      </c>
      <c r="B87" s="5">
        <v>348</v>
      </c>
      <c r="C87" s="3">
        <v>0.324156</v>
      </c>
      <c r="D87" s="3">
        <v>0.70744799999999997</v>
      </c>
      <c r="E87" s="86">
        <v>65.14</v>
      </c>
      <c r="F87" s="86">
        <v>2.0499999999999998</v>
      </c>
      <c r="G87" s="86">
        <v>1.46</v>
      </c>
    </row>
    <row r="88" spans="1:7" x14ac:dyDescent="0.25">
      <c r="A88" s="4">
        <v>8</v>
      </c>
      <c r="B88" s="5">
        <v>336</v>
      </c>
      <c r="C88" s="3">
        <v>0.146762</v>
      </c>
      <c r="D88" s="3">
        <v>0.24645700000000001</v>
      </c>
      <c r="E88" s="86">
        <v>65.81</v>
      </c>
      <c r="F88" s="86">
        <v>1.94</v>
      </c>
      <c r="G88" s="86">
        <v>1.47</v>
      </c>
    </row>
    <row r="89" spans="1:7" x14ac:dyDescent="0.25">
      <c r="A89" s="4">
        <v>8</v>
      </c>
      <c r="B89" s="5">
        <v>324</v>
      </c>
      <c r="C89" s="3">
        <v>4.3345000000000002E-2</v>
      </c>
      <c r="D89" s="3">
        <v>7.0525000000000004E-2</v>
      </c>
      <c r="E89" s="86">
        <v>66.12</v>
      </c>
      <c r="F89" s="86">
        <v>1.87</v>
      </c>
      <c r="G89" s="86">
        <v>1.45</v>
      </c>
    </row>
    <row r="90" spans="1:7" x14ac:dyDescent="0.25">
      <c r="A90" s="4">
        <v>9</v>
      </c>
      <c r="B90" s="5">
        <v>552</v>
      </c>
      <c r="C90" s="3">
        <v>0</v>
      </c>
      <c r="D90" s="3">
        <v>7.3208999999999996E-2</v>
      </c>
      <c r="E90" s="86">
        <v>0</v>
      </c>
      <c r="F90" s="86">
        <v>0</v>
      </c>
      <c r="G90" s="86">
        <v>0</v>
      </c>
    </row>
    <row r="91" spans="1:7" x14ac:dyDescent="0.25">
      <c r="A91" s="4">
        <v>9</v>
      </c>
      <c r="B91" s="5">
        <v>540</v>
      </c>
      <c r="C91" s="3">
        <v>0</v>
      </c>
      <c r="D91" s="3">
        <v>0.117912</v>
      </c>
      <c r="E91" s="86">
        <v>0</v>
      </c>
      <c r="F91" s="86">
        <v>0</v>
      </c>
      <c r="G91" s="86">
        <v>0</v>
      </c>
    </row>
    <row r="92" spans="1:7" x14ac:dyDescent="0.25">
      <c r="A92" s="4">
        <v>9</v>
      </c>
      <c r="B92" s="5">
        <v>528</v>
      </c>
      <c r="C92" s="3">
        <v>0</v>
      </c>
      <c r="D92" s="3">
        <v>2.8507999999999999E-2</v>
      </c>
      <c r="E92" s="86">
        <v>0</v>
      </c>
      <c r="F92" s="86">
        <v>0</v>
      </c>
      <c r="G92" s="86">
        <v>0</v>
      </c>
    </row>
    <row r="93" spans="1:7" x14ac:dyDescent="0.25">
      <c r="A93" s="4">
        <v>9</v>
      </c>
      <c r="B93" s="5">
        <v>516</v>
      </c>
      <c r="C93" s="3">
        <v>0</v>
      </c>
      <c r="D93" s="3">
        <v>1.029E-3</v>
      </c>
      <c r="E93" s="86">
        <v>0</v>
      </c>
      <c r="F93" s="86">
        <v>0</v>
      </c>
      <c r="G93" s="86">
        <v>0</v>
      </c>
    </row>
    <row r="94" spans="1:7" x14ac:dyDescent="0.25">
      <c r="A94" s="4">
        <v>10</v>
      </c>
      <c r="B94" s="5">
        <v>552</v>
      </c>
      <c r="C94" s="3">
        <v>2.6401999999999998E-2</v>
      </c>
      <c r="D94" s="3">
        <v>4.7364999999999997E-2</v>
      </c>
      <c r="E94" s="86">
        <v>60.85</v>
      </c>
      <c r="F94" s="86">
        <v>2.91</v>
      </c>
      <c r="G94" s="86">
        <v>2.4</v>
      </c>
    </row>
    <row r="95" spans="1:7" x14ac:dyDescent="0.25">
      <c r="A95" s="4">
        <v>10</v>
      </c>
      <c r="B95" s="5">
        <v>540</v>
      </c>
      <c r="C95" s="3">
        <v>0.28662799999999999</v>
      </c>
      <c r="D95" s="3">
        <v>1.011029</v>
      </c>
      <c r="E95" s="86">
        <v>61.15</v>
      </c>
      <c r="F95" s="86">
        <v>3.07</v>
      </c>
      <c r="G95" s="86">
        <v>2.61</v>
      </c>
    </row>
    <row r="96" spans="1:7" x14ac:dyDescent="0.25">
      <c r="A96" s="4">
        <v>10</v>
      </c>
      <c r="B96" s="5">
        <v>528</v>
      </c>
      <c r="C96" s="3">
        <v>0.60800200000000004</v>
      </c>
      <c r="D96" s="3">
        <v>4.8039709999999998</v>
      </c>
      <c r="E96" s="86">
        <v>61.2</v>
      </c>
      <c r="F96" s="86">
        <v>3.3</v>
      </c>
      <c r="G96" s="86">
        <v>2.57</v>
      </c>
    </row>
    <row r="97" spans="1:7" x14ac:dyDescent="0.25">
      <c r="A97" s="4">
        <v>10</v>
      </c>
      <c r="B97" s="5">
        <v>516</v>
      </c>
      <c r="C97" s="3">
        <v>0.79870699999999994</v>
      </c>
      <c r="D97" s="3">
        <v>11.080798</v>
      </c>
      <c r="E97" s="86">
        <v>60.96</v>
      </c>
      <c r="F97" s="86">
        <v>3.43</v>
      </c>
      <c r="G97" s="86">
        <v>2.48</v>
      </c>
    </row>
    <row r="98" spans="1:7" x14ac:dyDescent="0.25">
      <c r="A98" s="4">
        <v>10</v>
      </c>
      <c r="B98" s="5">
        <v>504</v>
      </c>
      <c r="C98" s="3">
        <v>0.88512100000000005</v>
      </c>
      <c r="D98" s="3">
        <v>11.315099999999999</v>
      </c>
      <c r="E98" s="86">
        <v>61.07</v>
      </c>
      <c r="F98" s="86">
        <v>3.34</v>
      </c>
      <c r="G98" s="86">
        <v>2.39</v>
      </c>
    </row>
    <row r="99" spans="1:7" x14ac:dyDescent="0.25">
      <c r="A99" s="4">
        <v>10</v>
      </c>
      <c r="B99" s="5">
        <v>492</v>
      </c>
      <c r="C99" s="3">
        <v>0.92862500000000003</v>
      </c>
      <c r="D99" s="3">
        <v>9.9328090000000007</v>
      </c>
      <c r="E99" s="86">
        <v>61.12</v>
      </c>
      <c r="F99" s="86">
        <v>3.31</v>
      </c>
      <c r="G99" s="86">
        <v>2.31</v>
      </c>
    </row>
    <row r="100" spans="1:7" x14ac:dyDescent="0.25">
      <c r="A100" s="4">
        <v>10</v>
      </c>
      <c r="B100" s="5">
        <v>480</v>
      </c>
      <c r="C100" s="3">
        <v>0.97081799999999996</v>
      </c>
      <c r="D100" s="3">
        <v>8.7443259999999992</v>
      </c>
      <c r="E100" s="86">
        <v>61.17</v>
      </c>
      <c r="F100" s="86">
        <v>3.31</v>
      </c>
      <c r="G100" s="86">
        <v>2.33</v>
      </c>
    </row>
    <row r="101" spans="1:7" x14ac:dyDescent="0.25">
      <c r="A101" s="4">
        <v>10</v>
      </c>
      <c r="B101" s="5">
        <v>468</v>
      </c>
      <c r="C101" s="3">
        <v>1.0169589999999999</v>
      </c>
      <c r="D101" s="3">
        <v>7.5881090000000002</v>
      </c>
      <c r="E101" s="86">
        <v>61.18</v>
      </c>
      <c r="F101" s="86">
        <v>3.31</v>
      </c>
      <c r="G101" s="86">
        <v>2.31</v>
      </c>
    </row>
    <row r="102" spans="1:7" x14ac:dyDescent="0.25">
      <c r="A102" s="4">
        <v>10</v>
      </c>
      <c r="B102" s="5">
        <v>456</v>
      </c>
      <c r="C102" s="3">
        <v>1.018875</v>
      </c>
      <c r="D102" s="3">
        <v>6.656479</v>
      </c>
      <c r="E102" s="86">
        <v>61.29</v>
      </c>
      <c r="F102" s="86">
        <v>3.46</v>
      </c>
      <c r="G102" s="86">
        <v>2.2400000000000002</v>
      </c>
    </row>
    <row r="103" spans="1:7" x14ac:dyDescent="0.25">
      <c r="A103" s="4">
        <v>10</v>
      </c>
      <c r="B103" s="5">
        <v>444</v>
      </c>
      <c r="C103" s="3">
        <v>0.98890299999999998</v>
      </c>
      <c r="D103" s="3">
        <v>5.7226650000000001</v>
      </c>
      <c r="E103" s="86">
        <v>61.31</v>
      </c>
      <c r="F103" s="86">
        <v>3.65</v>
      </c>
      <c r="G103" s="86">
        <v>2.25</v>
      </c>
    </row>
    <row r="104" spans="1:7" x14ac:dyDescent="0.25">
      <c r="A104" s="4">
        <v>10</v>
      </c>
      <c r="B104" s="5">
        <v>432</v>
      </c>
      <c r="C104" s="3">
        <v>0.96289599999999997</v>
      </c>
      <c r="D104" s="3">
        <v>4.8913520000000004</v>
      </c>
      <c r="E104" s="86">
        <v>61.26</v>
      </c>
      <c r="F104" s="86">
        <v>3.74</v>
      </c>
      <c r="G104" s="86">
        <v>2.2200000000000002</v>
      </c>
    </row>
    <row r="105" spans="1:7" x14ac:dyDescent="0.25">
      <c r="A105" s="4">
        <v>10</v>
      </c>
      <c r="B105" s="5">
        <v>420</v>
      </c>
      <c r="C105" s="3">
        <v>0.92886199999999997</v>
      </c>
      <c r="D105" s="3">
        <v>4.0945450000000001</v>
      </c>
      <c r="E105" s="86">
        <v>61.41</v>
      </c>
      <c r="F105" s="86">
        <v>3.66</v>
      </c>
      <c r="G105" s="86">
        <v>2.17</v>
      </c>
    </row>
    <row r="106" spans="1:7" x14ac:dyDescent="0.25">
      <c r="A106" s="4">
        <v>10</v>
      </c>
      <c r="B106" s="5">
        <v>408</v>
      </c>
      <c r="C106" s="3">
        <v>0.88966800000000001</v>
      </c>
      <c r="D106" s="3">
        <v>3.2557749999999999</v>
      </c>
      <c r="E106" s="86">
        <v>61.59</v>
      </c>
      <c r="F106" s="86">
        <v>3.41</v>
      </c>
      <c r="G106" s="86">
        <v>2.08</v>
      </c>
    </row>
    <row r="107" spans="1:7" x14ac:dyDescent="0.25">
      <c r="A107" s="4">
        <v>10</v>
      </c>
      <c r="B107" s="5">
        <v>396</v>
      </c>
      <c r="C107" s="3">
        <v>0.85822699999999996</v>
      </c>
      <c r="D107" s="3">
        <v>2.5784919999999998</v>
      </c>
      <c r="E107" s="86">
        <v>61.6</v>
      </c>
      <c r="F107" s="86">
        <v>3.4</v>
      </c>
      <c r="G107" s="86">
        <v>2.02</v>
      </c>
    </row>
    <row r="108" spans="1:7" x14ac:dyDescent="0.25">
      <c r="A108" s="4">
        <v>10</v>
      </c>
      <c r="B108" s="5">
        <v>384</v>
      </c>
      <c r="C108" s="3">
        <v>0.77984200000000004</v>
      </c>
      <c r="D108" s="3">
        <v>1.9402919999999999</v>
      </c>
      <c r="E108" s="86">
        <v>61.66</v>
      </c>
      <c r="F108" s="86">
        <v>3.31</v>
      </c>
      <c r="G108" s="86">
        <v>1.92</v>
      </c>
    </row>
    <row r="109" spans="1:7" x14ac:dyDescent="0.25">
      <c r="A109" s="4">
        <v>10</v>
      </c>
      <c r="B109" s="5">
        <v>372</v>
      </c>
      <c r="C109" s="3">
        <v>0.62449500000000002</v>
      </c>
      <c r="D109" s="3">
        <v>1.3427720000000001</v>
      </c>
      <c r="E109" s="86">
        <v>62.08</v>
      </c>
      <c r="F109" s="86">
        <v>3.31</v>
      </c>
      <c r="G109" s="86">
        <v>1.89</v>
      </c>
    </row>
    <row r="110" spans="1:7" x14ac:dyDescent="0.25">
      <c r="A110" s="4">
        <v>10</v>
      </c>
      <c r="B110" s="5">
        <v>360</v>
      </c>
      <c r="C110" s="3">
        <v>0.36911899999999997</v>
      </c>
      <c r="D110" s="3">
        <v>0.72575699999999999</v>
      </c>
      <c r="E110" s="86">
        <v>62.09</v>
      </c>
      <c r="F110" s="86">
        <v>3.51</v>
      </c>
      <c r="G110" s="86">
        <v>1.81</v>
      </c>
    </row>
    <row r="111" spans="1:7" x14ac:dyDescent="0.25">
      <c r="A111" s="4">
        <v>10</v>
      </c>
      <c r="B111" s="5">
        <v>348</v>
      </c>
      <c r="C111" s="3">
        <v>0.25994</v>
      </c>
      <c r="D111" s="3">
        <v>0.32277400000000001</v>
      </c>
      <c r="E111" s="86">
        <v>62.14</v>
      </c>
      <c r="F111" s="86">
        <v>3.92</v>
      </c>
      <c r="G111" s="86">
        <v>1.75</v>
      </c>
    </row>
    <row r="112" spans="1:7" x14ac:dyDescent="0.25">
      <c r="A112" s="4">
        <v>10</v>
      </c>
      <c r="B112" s="5">
        <v>336</v>
      </c>
      <c r="C112" s="3">
        <v>0.18373600000000001</v>
      </c>
      <c r="D112" s="3">
        <v>0.119907</v>
      </c>
      <c r="E112" s="86">
        <v>62.9</v>
      </c>
      <c r="F112" s="86">
        <v>4.16</v>
      </c>
      <c r="G112" s="86">
        <v>1.57</v>
      </c>
    </row>
    <row r="113" spans="1:7" x14ac:dyDescent="0.25">
      <c r="A113" s="4">
        <v>10</v>
      </c>
      <c r="B113" s="5">
        <v>324</v>
      </c>
      <c r="C113" s="3">
        <v>6.4755999999999994E-2</v>
      </c>
      <c r="D113" s="3">
        <v>2.5375000000000002E-2</v>
      </c>
      <c r="E113" s="86">
        <v>62.75</v>
      </c>
      <c r="F113" s="86">
        <v>4.62</v>
      </c>
      <c r="G113" s="86">
        <v>1.39</v>
      </c>
    </row>
    <row r="114" spans="1:7" x14ac:dyDescent="0.25">
      <c r="A114" s="4">
        <v>11</v>
      </c>
      <c r="B114" s="5">
        <v>528</v>
      </c>
      <c r="C114" s="3">
        <v>0</v>
      </c>
      <c r="D114" s="3">
        <v>1.931E-3</v>
      </c>
      <c r="E114" s="86">
        <v>0</v>
      </c>
      <c r="F114" s="86">
        <v>0</v>
      </c>
      <c r="G114" s="86">
        <v>0</v>
      </c>
    </row>
    <row r="115" spans="1:7" x14ac:dyDescent="0.25">
      <c r="A115" s="4">
        <v>11</v>
      </c>
      <c r="B115" s="5">
        <v>516</v>
      </c>
      <c r="C115" s="3">
        <v>0</v>
      </c>
      <c r="D115" s="3">
        <v>7.1879999999999999E-3</v>
      </c>
      <c r="E115" s="86">
        <v>0</v>
      </c>
      <c r="F115" s="86">
        <v>0</v>
      </c>
      <c r="G115" s="86">
        <v>0</v>
      </c>
    </row>
    <row r="116" spans="1:7" x14ac:dyDescent="0.25">
      <c r="A116" s="4">
        <v>12</v>
      </c>
      <c r="B116" s="5">
        <v>528</v>
      </c>
      <c r="C116" s="3">
        <v>1.3129999999999999E-3</v>
      </c>
      <c r="D116" s="3">
        <v>1.3285999999999999E-2</v>
      </c>
      <c r="E116" s="86">
        <v>57.44</v>
      </c>
      <c r="F116" s="86">
        <v>5.8</v>
      </c>
      <c r="G116" s="86">
        <v>2.46</v>
      </c>
    </row>
    <row r="117" spans="1:7" x14ac:dyDescent="0.25">
      <c r="A117" s="4">
        <v>12</v>
      </c>
      <c r="B117" s="5">
        <v>516</v>
      </c>
      <c r="C117" s="3">
        <v>0.206598</v>
      </c>
      <c r="D117" s="3">
        <v>1.829153</v>
      </c>
      <c r="E117" s="86">
        <v>60.16</v>
      </c>
      <c r="F117" s="86">
        <v>5.54</v>
      </c>
      <c r="G117" s="86">
        <v>2.35</v>
      </c>
    </row>
    <row r="118" spans="1:7" x14ac:dyDescent="0.25">
      <c r="A118" s="4">
        <v>12</v>
      </c>
      <c r="B118" s="5">
        <v>504</v>
      </c>
      <c r="C118" s="3">
        <v>0.29295399999999999</v>
      </c>
      <c r="D118" s="3">
        <v>2.9947089999999998</v>
      </c>
      <c r="E118" s="86">
        <v>60.42</v>
      </c>
      <c r="F118" s="86">
        <v>5.45</v>
      </c>
      <c r="G118" s="86">
        <v>2.33</v>
      </c>
    </row>
    <row r="119" spans="1:7" x14ac:dyDescent="0.25">
      <c r="A119" s="4">
        <v>12</v>
      </c>
      <c r="B119" s="5">
        <v>492</v>
      </c>
      <c r="C119" s="3">
        <v>0.34672199999999997</v>
      </c>
      <c r="D119" s="3">
        <v>2.565258</v>
      </c>
      <c r="E119" s="86">
        <v>60.65</v>
      </c>
      <c r="F119" s="86">
        <v>5.48</v>
      </c>
      <c r="G119" s="86">
        <v>2.29</v>
      </c>
    </row>
    <row r="120" spans="1:7" x14ac:dyDescent="0.25">
      <c r="A120" s="4">
        <v>12</v>
      </c>
      <c r="B120" s="5">
        <v>480</v>
      </c>
      <c r="C120" s="3">
        <v>0.38836599999999999</v>
      </c>
      <c r="D120" s="3">
        <v>2.2096300000000002</v>
      </c>
      <c r="E120" s="86">
        <v>60.81</v>
      </c>
      <c r="F120" s="86">
        <v>5.68</v>
      </c>
      <c r="G120" s="86">
        <v>2.2000000000000002</v>
      </c>
    </row>
    <row r="121" spans="1:7" x14ac:dyDescent="0.25">
      <c r="A121" s="4">
        <v>12</v>
      </c>
      <c r="B121" s="5">
        <v>468</v>
      </c>
      <c r="C121" s="3">
        <v>0.41879</v>
      </c>
      <c r="D121" s="3">
        <v>1.8898630000000001</v>
      </c>
      <c r="E121" s="86">
        <v>60.75</v>
      </c>
      <c r="F121" s="86">
        <v>6.01</v>
      </c>
      <c r="G121" s="86">
        <v>2.0699999999999998</v>
      </c>
    </row>
    <row r="122" spans="1:7" x14ac:dyDescent="0.25">
      <c r="A122" s="4">
        <v>12</v>
      </c>
      <c r="B122" s="5">
        <v>456</v>
      </c>
      <c r="C122" s="3">
        <v>0.44239899999999999</v>
      </c>
      <c r="D122" s="3">
        <v>1.5418540000000001</v>
      </c>
      <c r="E122" s="86">
        <v>60.28</v>
      </c>
      <c r="F122" s="86">
        <v>6.4</v>
      </c>
      <c r="G122" s="86">
        <v>1.89</v>
      </c>
    </row>
    <row r="123" spans="1:7" x14ac:dyDescent="0.25">
      <c r="A123" s="4">
        <v>12</v>
      </c>
      <c r="B123" s="5">
        <v>444</v>
      </c>
      <c r="C123" s="3">
        <v>0.42819600000000002</v>
      </c>
      <c r="D123" s="3">
        <v>1.160185</v>
      </c>
      <c r="E123" s="86">
        <v>59.64</v>
      </c>
      <c r="F123" s="86">
        <v>6.74</v>
      </c>
      <c r="G123" s="86">
        <v>1.83</v>
      </c>
    </row>
    <row r="124" spans="1:7" x14ac:dyDescent="0.25">
      <c r="A124" s="4">
        <v>12</v>
      </c>
      <c r="B124" s="5">
        <v>432</v>
      </c>
      <c r="C124" s="3">
        <v>0.35591600000000001</v>
      </c>
      <c r="D124" s="3">
        <v>0.91373099999999996</v>
      </c>
      <c r="E124" s="86">
        <v>58.47</v>
      </c>
      <c r="F124" s="86">
        <v>6.86</v>
      </c>
      <c r="G124" s="86">
        <v>1.75</v>
      </c>
    </row>
    <row r="125" spans="1:7" x14ac:dyDescent="0.25">
      <c r="A125" s="4">
        <v>12</v>
      </c>
      <c r="B125" s="5">
        <v>420</v>
      </c>
      <c r="C125" s="3">
        <v>0.244618</v>
      </c>
      <c r="D125" s="3">
        <v>0.679531</v>
      </c>
      <c r="E125" s="86">
        <v>57.38</v>
      </c>
      <c r="F125" s="86">
        <v>7.01</v>
      </c>
      <c r="G125" s="86">
        <v>1.71</v>
      </c>
    </row>
    <row r="126" spans="1:7" x14ac:dyDescent="0.25">
      <c r="A126" s="4">
        <v>12</v>
      </c>
      <c r="B126" s="5">
        <v>408</v>
      </c>
      <c r="C126" s="3">
        <v>0.11679100000000001</v>
      </c>
      <c r="D126" s="3">
        <v>0.40361599999999997</v>
      </c>
      <c r="E126" s="86">
        <v>57.59</v>
      </c>
      <c r="F126" s="86">
        <v>6.51</v>
      </c>
      <c r="G126" s="86">
        <v>1.71</v>
      </c>
    </row>
    <row r="127" spans="1:7" x14ac:dyDescent="0.25">
      <c r="A127" s="4">
        <v>12</v>
      </c>
      <c r="B127" s="5">
        <v>396</v>
      </c>
      <c r="C127" s="3">
        <v>7.9888000000000001E-2</v>
      </c>
      <c r="D127" s="3">
        <v>0.183058</v>
      </c>
      <c r="E127" s="86">
        <v>57.53</v>
      </c>
      <c r="F127" s="86">
        <v>6.55</v>
      </c>
      <c r="G127" s="86">
        <v>1.66</v>
      </c>
    </row>
    <row r="128" spans="1:7" x14ac:dyDescent="0.25">
      <c r="A128" s="4">
        <v>12</v>
      </c>
      <c r="B128" s="5">
        <v>384</v>
      </c>
      <c r="C128" s="3">
        <v>3.2113999999999997E-2</v>
      </c>
      <c r="D128" s="3">
        <v>3.5237999999999998E-2</v>
      </c>
      <c r="E128" s="86">
        <v>58.59</v>
      </c>
      <c r="F128" s="86">
        <v>6.33</v>
      </c>
      <c r="G128" s="86">
        <v>1.43</v>
      </c>
    </row>
    <row r="129" spans="1:7" x14ac:dyDescent="0.25">
      <c r="A129" s="4">
        <v>13</v>
      </c>
      <c r="B129" s="5">
        <v>576</v>
      </c>
      <c r="C129" s="3">
        <v>0</v>
      </c>
      <c r="D129" s="3">
        <v>2.6940000000000002E-3</v>
      </c>
      <c r="E129" s="86">
        <v>0</v>
      </c>
      <c r="F129" s="86">
        <v>0</v>
      </c>
      <c r="G129" s="86">
        <v>0</v>
      </c>
    </row>
    <row r="130" spans="1:7" x14ac:dyDescent="0.25">
      <c r="A130" s="4">
        <v>13</v>
      </c>
      <c r="B130" s="5">
        <v>564</v>
      </c>
      <c r="C130" s="3">
        <v>0</v>
      </c>
      <c r="D130" s="3">
        <v>6.8294999999999995E-2</v>
      </c>
      <c r="E130" s="86">
        <v>0</v>
      </c>
      <c r="F130" s="86">
        <v>0</v>
      </c>
      <c r="G130" s="86">
        <v>0</v>
      </c>
    </row>
    <row r="131" spans="1:7" x14ac:dyDescent="0.25">
      <c r="A131" s="4">
        <v>13</v>
      </c>
      <c r="B131" s="5">
        <v>552</v>
      </c>
      <c r="C131" s="3">
        <v>0</v>
      </c>
      <c r="D131" s="3">
        <v>1.9196999999999999E-2</v>
      </c>
      <c r="E131" s="86">
        <v>0</v>
      </c>
      <c r="F131" s="86">
        <v>0</v>
      </c>
      <c r="G131" s="86">
        <v>0</v>
      </c>
    </row>
    <row r="132" spans="1:7" x14ac:dyDescent="0.25">
      <c r="A132" s="4">
        <v>13</v>
      </c>
      <c r="B132" s="5">
        <v>540</v>
      </c>
      <c r="C132" s="3">
        <v>0</v>
      </c>
      <c r="D132" s="3">
        <v>6.5069999999999998E-3</v>
      </c>
      <c r="E132" s="86">
        <v>0</v>
      </c>
      <c r="F132" s="86">
        <v>0</v>
      </c>
      <c r="G132" s="86">
        <v>0</v>
      </c>
    </row>
    <row r="133" spans="1:7" x14ac:dyDescent="0.25">
      <c r="A133" s="4">
        <v>14</v>
      </c>
      <c r="B133" s="5">
        <v>576</v>
      </c>
      <c r="C133" s="3">
        <v>0</v>
      </c>
      <c r="D133" s="3">
        <v>1.92E-4</v>
      </c>
      <c r="E133" s="86">
        <v>0</v>
      </c>
      <c r="F133" s="86">
        <v>0</v>
      </c>
      <c r="G133" s="86">
        <v>0</v>
      </c>
    </row>
    <row r="134" spans="1:7" x14ac:dyDescent="0.25">
      <c r="A134" s="4">
        <v>14</v>
      </c>
      <c r="B134" s="5">
        <v>564</v>
      </c>
      <c r="C134" s="3">
        <v>4.5399999999999998E-4</v>
      </c>
      <c r="D134" s="3">
        <v>0.190083</v>
      </c>
      <c r="E134" s="86">
        <v>59.07</v>
      </c>
      <c r="F134" s="86">
        <v>5.95</v>
      </c>
      <c r="G134" s="86">
        <v>2.13</v>
      </c>
    </row>
    <row r="135" spans="1:7" x14ac:dyDescent="0.25">
      <c r="A135" s="4">
        <v>14</v>
      </c>
      <c r="B135" s="5">
        <v>552</v>
      </c>
      <c r="C135" s="3">
        <v>4.7841000000000002E-2</v>
      </c>
      <c r="D135" s="3">
        <v>0.77339800000000003</v>
      </c>
      <c r="E135" s="86">
        <v>58.8</v>
      </c>
      <c r="F135" s="86">
        <v>6.33</v>
      </c>
      <c r="G135" s="86">
        <v>2.08</v>
      </c>
    </row>
    <row r="136" spans="1:7" x14ac:dyDescent="0.25">
      <c r="A136" s="4">
        <v>14</v>
      </c>
      <c r="B136" s="5">
        <v>540</v>
      </c>
      <c r="C136" s="3">
        <v>0.120347</v>
      </c>
      <c r="D136" s="3">
        <v>1.499333</v>
      </c>
      <c r="E136" s="86">
        <v>58.93</v>
      </c>
      <c r="F136" s="86">
        <v>5.68</v>
      </c>
      <c r="G136" s="86">
        <v>2.2999999999999998</v>
      </c>
    </row>
    <row r="137" spans="1:7" x14ac:dyDescent="0.25">
      <c r="A137" s="4">
        <v>14</v>
      </c>
      <c r="B137" s="5">
        <v>528</v>
      </c>
      <c r="C137" s="3">
        <v>0.25304500000000002</v>
      </c>
      <c r="D137" s="3">
        <v>3.0464570000000002</v>
      </c>
      <c r="E137" s="86">
        <v>58.86</v>
      </c>
      <c r="F137" s="86">
        <v>5.74</v>
      </c>
      <c r="G137" s="86">
        <v>2.2000000000000002</v>
      </c>
    </row>
    <row r="138" spans="1:7" x14ac:dyDescent="0.25">
      <c r="A138" s="4">
        <v>14</v>
      </c>
      <c r="B138" s="5">
        <v>516</v>
      </c>
      <c r="C138" s="3">
        <v>0.30119600000000002</v>
      </c>
      <c r="D138" s="3">
        <v>4.6152600000000001</v>
      </c>
      <c r="E138" s="86">
        <v>59.1</v>
      </c>
      <c r="F138" s="86">
        <v>5.67</v>
      </c>
      <c r="G138" s="86">
        <v>2.04</v>
      </c>
    </row>
    <row r="139" spans="1:7" x14ac:dyDescent="0.25">
      <c r="A139" s="4">
        <v>14</v>
      </c>
      <c r="B139" s="5">
        <v>504</v>
      </c>
      <c r="C139" s="3">
        <v>0.25925100000000001</v>
      </c>
      <c r="D139" s="3">
        <v>4.5504910000000001</v>
      </c>
      <c r="E139" s="86">
        <v>58.96</v>
      </c>
      <c r="F139" s="86">
        <v>5.93</v>
      </c>
      <c r="G139" s="86">
        <v>1.98</v>
      </c>
    </row>
    <row r="140" spans="1:7" x14ac:dyDescent="0.25">
      <c r="A140" s="4">
        <v>14</v>
      </c>
      <c r="B140" s="5">
        <v>492</v>
      </c>
      <c r="C140" s="3">
        <v>0.21560000000000001</v>
      </c>
      <c r="D140" s="3">
        <v>3.8374709999999999</v>
      </c>
      <c r="E140" s="86">
        <v>58.66</v>
      </c>
      <c r="F140" s="86">
        <v>6.06</v>
      </c>
      <c r="G140" s="86">
        <v>2</v>
      </c>
    </row>
    <row r="141" spans="1:7" x14ac:dyDescent="0.25">
      <c r="A141" s="4">
        <v>14</v>
      </c>
      <c r="B141" s="5">
        <v>480</v>
      </c>
      <c r="C141" s="3">
        <v>0.23541799999999999</v>
      </c>
      <c r="D141" s="3">
        <v>3.0631110000000001</v>
      </c>
      <c r="E141" s="86">
        <v>58.37</v>
      </c>
      <c r="F141" s="86">
        <v>5.88</v>
      </c>
      <c r="G141" s="86">
        <v>2.02</v>
      </c>
    </row>
    <row r="142" spans="1:7" x14ac:dyDescent="0.25">
      <c r="A142" s="4">
        <v>14</v>
      </c>
      <c r="B142" s="5">
        <v>468</v>
      </c>
      <c r="C142" s="3">
        <v>0.25337700000000002</v>
      </c>
      <c r="D142" s="3">
        <v>2.3491870000000001</v>
      </c>
      <c r="E142" s="86">
        <v>58.4</v>
      </c>
      <c r="F142" s="86">
        <v>5.62</v>
      </c>
      <c r="G142" s="86">
        <v>2</v>
      </c>
    </row>
    <row r="143" spans="1:7" x14ac:dyDescent="0.25">
      <c r="A143" s="4">
        <v>14</v>
      </c>
      <c r="B143" s="5">
        <v>456</v>
      </c>
      <c r="C143" s="3">
        <v>0.27130399999999999</v>
      </c>
      <c r="D143" s="3">
        <v>1.742855</v>
      </c>
      <c r="E143" s="86">
        <v>59.16</v>
      </c>
      <c r="F143" s="86">
        <v>4.88</v>
      </c>
      <c r="G143" s="86">
        <v>1.77</v>
      </c>
    </row>
    <row r="144" spans="1:7" x14ac:dyDescent="0.25">
      <c r="A144" s="4">
        <v>14</v>
      </c>
      <c r="B144" s="5">
        <v>444</v>
      </c>
      <c r="C144" s="3">
        <v>0.313633</v>
      </c>
      <c r="D144" s="3">
        <v>1.2438</v>
      </c>
      <c r="E144" s="86">
        <v>59.45</v>
      </c>
      <c r="F144" s="86">
        <v>4.93</v>
      </c>
      <c r="G144" s="86">
        <v>1.58</v>
      </c>
    </row>
    <row r="145" spans="1:7" x14ac:dyDescent="0.25">
      <c r="A145" s="4">
        <v>14</v>
      </c>
      <c r="B145" s="5">
        <v>432</v>
      </c>
      <c r="C145" s="3">
        <v>0.33349400000000001</v>
      </c>
      <c r="D145" s="3">
        <v>0.82522899999999999</v>
      </c>
      <c r="E145" s="86">
        <v>59.52</v>
      </c>
      <c r="F145" s="86">
        <v>5.0599999999999996</v>
      </c>
      <c r="G145" s="86">
        <v>1.51</v>
      </c>
    </row>
    <row r="146" spans="1:7" x14ac:dyDescent="0.25">
      <c r="A146" s="4">
        <v>14</v>
      </c>
      <c r="B146" s="5">
        <v>420</v>
      </c>
      <c r="C146" s="3">
        <v>0.31639400000000001</v>
      </c>
      <c r="D146" s="3">
        <v>0.482211</v>
      </c>
      <c r="E146" s="86">
        <v>59.48</v>
      </c>
      <c r="F146" s="86">
        <v>5.1100000000000003</v>
      </c>
      <c r="G146" s="86">
        <v>1.41</v>
      </c>
    </row>
    <row r="147" spans="1:7" x14ac:dyDescent="0.25">
      <c r="A147" s="4">
        <v>14</v>
      </c>
      <c r="B147" s="5">
        <v>408</v>
      </c>
      <c r="C147" s="3">
        <v>0.16072800000000001</v>
      </c>
      <c r="D147" s="3">
        <v>0.13781599999999999</v>
      </c>
      <c r="E147" s="86">
        <v>59.97</v>
      </c>
      <c r="F147" s="86">
        <v>4.5599999999999996</v>
      </c>
      <c r="G147" s="86">
        <v>1.33</v>
      </c>
    </row>
    <row r="148" spans="1:7" x14ac:dyDescent="0.25">
      <c r="A148" s="4">
        <v>15</v>
      </c>
      <c r="B148" s="5">
        <v>576</v>
      </c>
      <c r="C148" s="3">
        <v>0</v>
      </c>
      <c r="D148" s="3">
        <v>8.8616E-2</v>
      </c>
      <c r="E148" s="86">
        <v>0</v>
      </c>
      <c r="F148" s="86">
        <v>0</v>
      </c>
      <c r="G148" s="86">
        <v>0</v>
      </c>
    </row>
    <row r="149" spans="1:7" x14ac:dyDescent="0.25">
      <c r="A149" s="4">
        <v>15</v>
      </c>
      <c r="B149" s="5">
        <v>564</v>
      </c>
      <c r="C149" s="3">
        <v>0</v>
      </c>
      <c r="D149" s="3">
        <v>1.8446000000000001E-2</v>
      </c>
      <c r="E149" s="86">
        <v>0</v>
      </c>
      <c r="F149" s="86">
        <v>0</v>
      </c>
      <c r="G149" s="86">
        <v>0</v>
      </c>
    </row>
    <row r="150" spans="1:7" x14ac:dyDescent="0.25">
      <c r="A150" s="4">
        <v>15</v>
      </c>
      <c r="B150" s="5">
        <v>552</v>
      </c>
      <c r="C150" s="3">
        <v>0</v>
      </c>
      <c r="D150" s="3">
        <v>3.2919999999999998E-3</v>
      </c>
      <c r="E150" s="86">
        <v>0</v>
      </c>
      <c r="F150" s="86">
        <v>0</v>
      </c>
      <c r="G150" s="86">
        <v>0</v>
      </c>
    </row>
    <row r="151" spans="1:7" x14ac:dyDescent="0.25">
      <c r="A151" s="4">
        <v>16</v>
      </c>
      <c r="B151" s="5">
        <v>576</v>
      </c>
      <c r="C151" s="3">
        <v>2.3499999999999999E-4</v>
      </c>
      <c r="D151" s="3">
        <v>4.6095999999999998E-2</v>
      </c>
      <c r="E151" s="86">
        <v>57.37</v>
      </c>
      <c r="F151" s="86">
        <v>7.44</v>
      </c>
      <c r="G151" s="86">
        <v>2.38</v>
      </c>
    </row>
    <row r="152" spans="1:7" x14ac:dyDescent="0.25">
      <c r="A152" s="4">
        <v>16</v>
      </c>
      <c r="B152" s="5">
        <v>564</v>
      </c>
      <c r="C152" s="3">
        <v>5.8290000000000002E-2</v>
      </c>
      <c r="D152" s="3">
        <v>0.57532499999999998</v>
      </c>
      <c r="E152" s="86">
        <v>57.62</v>
      </c>
      <c r="F152" s="86">
        <v>7.57</v>
      </c>
      <c r="G152" s="86">
        <v>2.38</v>
      </c>
    </row>
    <row r="153" spans="1:7" x14ac:dyDescent="0.25">
      <c r="A153" s="4">
        <v>16</v>
      </c>
      <c r="B153" s="5">
        <v>552</v>
      </c>
      <c r="C153" s="3">
        <v>7.4145000000000003E-2</v>
      </c>
      <c r="D153" s="3">
        <v>1.1881459999999999</v>
      </c>
      <c r="E153" s="86">
        <v>57.72</v>
      </c>
      <c r="F153" s="86">
        <v>7.58</v>
      </c>
      <c r="G153" s="86">
        <v>2.31</v>
      </c>
    </row>
    <row r="154" spans="1:7" x14ac:dyDescent="0.25">
      <c r="A154" s="4">
        <v>16</v>
      </c>
      <c r="B154" s="5">
        <v>540</v>
      </c>
      <c r="C154" s="3">
        <v>7.4267E-2</v>
      </c>
      <c r="D154" s="3">
        <v>1.340722</v>
      </c>
      <c r="E154" s="86">
        <v>57.94</v>
      </c>
      <c r="F154" s="86">
        <v>7.44</v>
      </c>
      <c r="G154" s="86">
        <v>2.25</v>
      </c>
    </row>
    <row r="155" spans="1:7" x14ac:dyDescent="0.25">
      <c r="A155" s="4">
        <v>16</v>
      </c>
      <c r="B155" s="5">
        <v>528</v>
      </c>
      <c r="C155" s="3">
        <v>7.4726000000000001E-2</v>
      </c>
      <c r="D155" s="3">
        <v>1.0305800000000001</v>
      </c>
      <c r="E155" s="86">
        <v>58.12</v>
      </c>
      <c r="F155" s="86">
        <v>7.25</v>
      </c>
      <c r="G155" s="86">
        <v>2.2400000000000002</v>
      </c>
    </row>
    <row r="156" spans="1:7" x14ac:dyDescent="0.25">
      <c r="A156" s="4">
        <v>16</v>
      </c>
      <c r="B156" s="5">
        <v>516</v>
      </c>
      <c r="C156" s="3">
        <v>6.4723000000000003E-2</v>
      </c>
      <c r="D156" s="3">
        <v>0.64759299999999997</v>
      </c>
      <c r="E156" s="86">
        <v>58.37</v>
      </c>
      <c r="F156" s="86">
        <v>7.08</v>
      </c>
      <c r="G156" s="86">
        <v>2.15</v>
      </c>
    </row>
    <row r="157" spans="1:7" x14ac:dyDescent="0.25">
      <c r="A157" s="4">
        <v>16</v>
      </c>
      <c r="B157" s="5">
        <v>504</v>
      </c>
      <c r="C157" s="3">
        <v>4.7253000000000003E-2</v>
      </c>
      <c r="D157" s="3">
        <v>0.35423199999999999</v>
      </c>
      <c r="E157" s="86">
        <v>58.14</v>
      </c>
      <c r="F157" s="86">
        <v>7.26</v>
      </c>
      <c r="G157" s="86">
        <v>2.2000000000000002</v>
      </c>
    </row>
    <row r="158" spans="1:7" x14ac:dyDescent="0.25">
      <c r="A158" s="4">
        <v>16</v>
      </c>
      <c r="B158" s="5">
        <v>492</v>
      </c>
      <c r="C158" s="3">
        <v>2.2939999999999999E-2</v>
      </c>
      <c r="D158" s="3">
        <v>0.16454099999999999</v>
      </c>
      <c r="E158" s="86">
        <v>58.48</v>
      </c>
      <c r="F158" s="86">
        <v>6.46</v>
      </c>
      <c r="G158" s="86">
        <v>2.2400000000000002</v>
      </c>
    </row>
    <row r="159" spans="1:7" x14ac:dyDescent="0.25">
      <c r="A159" s="4">
        <v>16</v>
      </c>
      <c r="B159" s="5">
        <v>480</v>
      </c>
      <c r="C159" s="3">
        <v>1.1508000000000001E-2</v>
      </c>
      <c r="D159" s="3">
        <v>5.2696E-2</v>
      </c>
      <c r="E159" s="86">
        <v>58.41</v>
      </c>
      <c r="F159" s="86">
        <v>6.79</v>
      </c>
      <c r="G159" s="86">
        <v>2.16</v>
      </c>
    </row>
    <row r="160" spans="1:7" x14ac:dyDescent="0.25">
      <c r="A160" s="4">
        <v>17</v>
      </c>
      <c r="B160" s="5">
        <v>564</v>
      </c>
      <c r="C160" s="3">
        <v>0</v>
      </c>
      <c r="D160" s="3">
        <v>1.1640000000000001E-3</v>
      </c>
      <c r="E160" s="86">
        <v>0</v>
      </c>
      <c r="F160" s="86">
        <v>0</v>
      </c>
      <c r="G160" s="86">
        <v>0</v>
      </c>
    </row>
    <row r="161" spans="1:7" x14ac:dyDescent="0.25">
      <c r="A161" s="4">
        <v>17</v>
      </c>
      <c r="B161" s="5">
        <v>552</v>
      </c>
      <c r="C161" s="3">
        <v>0</v>
      </c>
      <c r="D161" s="3">
        <v>8.5955000000000004E-2</v>
      </c>
      <c r="E161" s="86">
        <v>0</v>
      </c>
      <c r="F161" s="86">
        <v>0</v>
      </c>
      <c r="G161" s="86">
        <v>0</v>
      </c>
    </row>
    <row r="162" spans="1:7" x14ac:dyDescent="0.25">
      <c r="A162" s="4">
        <v>17</v>
      </c>
      <c r="B162" s="5">
        <v>540</v>
      </c>
      <c r="C162" s="3">
        <v>0</v>
      </c>
      <c r="D162" s="3">
        <v>6.4060000000000002E-3</v>
      </c>
      <c r="E162" s="86">
        <v>0</v>
      </c>
      <c r="F162" s="86">
        <v>0</v>
      </c>
      <c r="G162" s="86">
        <v>0</v>
      </c>
    </row>
    <row r="163" spans="1:7" x14ac:dyDescent="0.25">
      <c r="A163" s="4">
        <v>17</v>
      </c>
      <c r="B163" s="5">
        <v>528</v>
      </c>
      <c r="C163" s="3">
        <v>0</v>
      </c>
      <c r="D163" s="3">
        <v>5.3899999999999998E-4</v>
      </c>
      <c r="E163" s="86">
        <v>0</v>
      </c>
      <c r="F163" s="86">
        <v>0</v>
      </c>
      <c r="G163" s="86">
        <v>0</v>
      </c>
    </row>
    <row r="164" spans="1:7" x14ac:dyDescent="0.25">
      <c r="A164" s="4">
        <v>18</v>
      </c>
      <c r="B164" s="5">
        <v>540</v>
      </c>
      <c r="C164" s="3">
        <v>2.5585E-2</v>
      </c>
      <c r="D164" s="3">
        <v>0.570604</v>
      </c>
      <c r="E164" s="86">
        <v>58.1</v>
      </c>
      <c r="F164" s="86">
        <v>7</v>
      </c>
      <c r="G164" s="86">
        <v>2.52</v>
      </c>
    </row>
    <row r="165" spans="1:7" x14ac:dyDescent="0.25">
      <c r="A165" s="4">
        <v>18</v>
      </c>
      <c r="B165" s="5">
        <v>528</v>
      </c>
      <c r="C165" s="3">
        <v>0.13014000000000001</v>
      </c>
      <c r="D165" s="3">
        <v>1.634814</v>
      </c>
      <c r="E165" s="86">
        <v>58.89</v>
      </c>
      <c r="F165" s="86">
        <v>6.77</v>
      </c>
      <c r="G165" s="86">
        <v>2.25</v>
      </c>
    </row>
    <row r="166" spans="1:7" x14ac:dyDescent="0.25">
      <c r="A166" s="4">
        <v>18</v>
      </c>
      <c r="B166" s="5">
        <v>516</v>
      </c>
      <c r="C166" s="3">
        <v>0.157221</v>
      </c>
      <c r="D166" s="3">
        <v>1.737471</v>
      </c>
      <c r="E166" s="86">
        <v>59.2</v>
      </c>
      <c r="F166" s="86">
        <v>6.79</v>
      </c>
      <c r="G166" s="86">
        <v>2.0699999999999998</v>
      </c>
    </row>
    <row r="167" spans="1:7" x14ac:dyDescent="0.25">
      <c r="A167" s="4">
        <v>18</v>
      </c>
      <c r="B167" s="5">
        <v>504</v>
      </c>
      <c r="C167" s="3">
        <v>0.162997</v>
      </c>
      <c r="D167" s="3">
        <v>1.207438</v>
      </c>
      <c r="E167" s="86">
        <v>60.46</v>
      </c>
      <c r="F167" s="86">
        <v>5.31</v>
      </c>
      <c r="G167" s="86">
        <v>2.0299999999999998</v>
      </c>
    </row>
    <row r="168" spans="1:7" x14ac:dyDescent="0.25">
      <c r="A168" s="4">
        <v>18</v>
      </c>
      <c r="B168" s="5">
        <v>492</v>
      </c>
      <c r="C168" s="3">
        <v>0.158525</v>
      </c>
      <c r="D168" s="3">
        <v>0.75402599999999997</v>
      </c>
      <c r="E168" s="86">
        <v>61.44</v>
      </c>
      <c r="F168" s="86">
        <v>4.21</v>
      </c>
      <c r="G168" s="86">
        <v>2.06</v>
      </c>
    </row>
    <row r="169" spans="1:7" x14ac:dyDescent="0.25">
      <c r="A169" s="4">
        <v>18</v>
      </c>
      <c r="B169" s="5">
        <v>480</v>
      </c>
      <c r="C169" s="3">
        <v>0.14471700000000001</v>
      </c>
      <c r="D169" s="3">
        <v>0.37979200000000002</v>
      </c>
      <c r="E169" s="86">
        <v>60.8</v>
      </c>
      <c r="F169" s="86">
        <v>4.49</v>
      </c>
      <c r="G169" s="86">
        <v>2.13</v>
      </c>
    </row>
    <row r="170" spans="1:7" x14ac:dyDescent="0.25">
      <c r="A170" s="4">
        <v>18</v>
      </c>
      <c r="B170" s="5">
        <v>468</v>
      </c>
      <c r="C170" s="3">
        <v>0.10981</v>
      </c>
      <c r="D170" s="3">
        <v>0.10449799999999999</v>
      </c>
      <c r="E170" s="86">
        <v>60.75</v>
      </c>
      <c r="F170" s="86">
        <v>4.59</v>
      </c>
      <c r="G170" s="86">
        <v>2.23</v>
      </c>
    </row>
    <row r="171" spans="1:7" x14ac:dyDescent="0.25">
      <c r="A171" s="4">
        <v>18</v>
      </c>
      <c r="B171" s="5">
        <v>456</v>
      </c>
      <c r="C171" s="3">
        <v>3.8924E-2</v>
      </c>
      <c r="D171" s="3">
        <v>1.9359000000000001E-2</v>
      </c>
      <c r="E171" s="86">
        <v>61.12</v>
      </c>
      <c r="F171" s="86">
        <v>4.51</v>
      </c>
      <c r="G171" s="86">
        <v>2.29</v>
      </c>
    </row>
    <row r="172" spans="1:7" x14ac:dyDescent="0.25">
      <c r="A172" s="4">
        <v>19</v>
      </c>
      <c r="B172" s="5">
        <v>564</v>
      </c>
      <c r="C172" s="3">
        <v>0</v>
      </c>
      <c r="D172" s="3">
        <v>1.0900000000000001E-4</v>
      </c>
      <c r="E172" s="86">
        <v>0</v>
      </c>
      <c r="F172" s="86">
        <v>0</v>
      </c>
      <c r="G172" s="86">
        <v>0</v>
      </c>
    </row>
    <row r="173" spans="1:7" x14ac:dyDescent="0.25">
      <c r="A173" s="4">
        <v>19</v>
      </c>
      <c r="B173" s="5">
        <v>552</v>
      </c>
      <c r="C173" s="3">
        <v>0</v>
      </c>
      <c r="D173" s="3">
        <v>3.4719E-2</v>
      </c>
      <c r="E173" s="86">
        <v>0</v>
      </c>
      <c r="F173" s="86">
        <v>0</v>
      </c>
      <c r="G173" s="86">
        <v>0</v>
      </c>
    </row>
    <row r="174" spans="1:7" x14ac:dyDescent="0.25">
      <c r="A174" s="4">
        <v>19</v>
      </c>
      <c r="B174" s="5">
        <v>540</v>
      </c>
      <c r="C174" s="3">
        <v>0</v>
      </c>
      <c r="D174" s="3">
        <v>2.0722999999999998E-2</v>
      </c>
      <c r="E174" s="86">
        <v>0</v>
      </c>
      <c r="F174" s="86">
        <v>0</v>
      </c>
      <c r="G174" s="86">
        <v>0</v>
      </c>
    </row>
    <row r="175" spans="1:7" x14ac:dyDescent="0.25">
      <c r="A175" s="4">
        <v>19</v>
      </c>
      <c r="B175" s="5">
        <v>528</v>
      </c>
      <c r="C175" s="3">
        <v>0</v>
      </c>
      <c r="D175" s="3">
        <v>7.9679999999999994E-3</v>
      </c>
      <c r="E175" s="86">
        <v>0</v>
      </c>
      <c r="F175" s="86">
        <v>0</v>
      </c>
      <c r="G175" s="86">
        <v>0</v>
      </c>
    </row>
    <row r="176" spans="1:7" x14ac:dyDescent="0.25">
      <c r="A176" s="4">
        <v>20</v>
      </c>
      <c r="B176" s="5">
        <v>552</v>
      </c>
      <c r="C176" s="3">
        <v>7.9199999999999995E-4</v>
      </c>
      <c r="D176" s="3">
        <v>5.5833000000000001E-2</v>
      </c>
      <c r="E176" s="86">
        <v>57.68</v>
      </c>
      <c r="F176" s="86">
        <v>7.85</v>
      </c>
      <c r="G176" s="86">
        <v>2.75</v>
      </c>
    </row>
    <row r="177" spans="1:7" x14ac:dyDescent="0.25">
      <c r="A177" s="4">
        <v>20</v>
      </c>
      <c r="B177" s="5">
        <v>540</v>
      </c>
      <c r="C177" s="3">
        <v>7.9406000000000004E-2</v>
      </c>
      <c r="D177" s="3">
        <v>0.86962099999999998</v>
      </c>
      <c r="E177" s="86">
        <v>57.63</v>
      </c>
      <c r="F177" s="86">
        <v>5.77</v>
      </c>
      <c r="G177" s="86">
        <v>2.63</v>
      </c>
    </row>
    <row r="178" spans="1:7" x14ac:dyDescent="0.25">
      <c r="A178" s="4">
        <v>20</v>
      </c>
      <c r="B178" s="5">
        <v>528</v>
      </c>
      <c r="C178" s="3">
        <v>0.22897300000000001</v>
      </c>
      <c r="D178" s="3">
        <v>2.4975230000000002</v>
      </c>
      <c r="E178" s="86">
        <v>57.97</v>
      </c>
      <c r="F178" s="86">
        <v>5.91</v>
      </c>
      <c r="G178" s="86">
        <v>2.65</v>
      </c>
    </row>
    <row r="179" spans="1:7" x14ac:dyDescent="0.25">
      <c r="A179" s="4">
        <v>20</v>
      </c>
      <c r="B179" s="5">
        <v>516</v>
      </c>
      <c r="C179" s="3">
        <v>0.347445</v>
      </c>
      <c r="D179" s="3">
        <v>3.5535890000000001</v>
      </c>
      <c r="E179" s="86">
        <v>58.49</v>
      </c>
      <c r="F179" s="86">
        <v>5.61</v>
      </c>
      <c r="G179" s="86">
        <v>2.59</v>
      </c>
    </row>
    <row r="180" spans="1:7" x14ac:dyDescent="0.25">
      <c r="A180" s="4">
        <v>20</v>
      </c>
      <c r="B180" s="5">
        <v>504</v>
      </c>
      <c r="C180" s="3">
        <v>0.34145799999999998</v>
      </c>
      <c r="D180" s="3">
        <v>2.513296</v>
      </c>
      <c r="E180" s="86">
        <v>58.49</v>
      </c>
      <c r="F180" s="86">
        <v>5.74</v>
      </c>
      <c r="G180" s="86">
        <v>2.61</v>
      </c>
    </row>
    <row r="181" spans="1:7" x14ac:dyDescent="0.25">
      <c r="A181" s="4">
        <v>20</v>
      </c>
      <c r="B181" s="5">
        <v>492</v>
      </c>
      <c r="C181" s="3">
        <v>0.30991200000000002</v>
      </c>
      <c r="D181" s="3">
        <v>1.6911700000000001</v>
      </c>
      <c r="E181" s="86">
        <v>58.59</v>
      </c>
      <c r="F181" s="86">
        <v>5.78</v>
      </c>
      <c r="G181" s="86">
        <v>2.4300000000000002</v>
      </c>
    </row>
    <row r="182" spans="1:7" x14ac:dyDescent="0.25">
      <c r="A182" s="4">
        <v>20</v>
      </c>
      <c r="B182" s="5">
        <v>480</v>
      </c>
      <c r="C182" s="3">
        <v>0.27392300000000003</v>
      </c>
      <c r="D182" s="3">
        <v>1.0092540000000001</v>
      </c>
      <c r="E182" s="86">
        <v>58.91</v>
      </c>
      <c r="F182" s="86">
        <v>5.66</v>
      </c>
      <c r="G182" s="86">
        <v>2.2000000000000002</v>
      </c>
    </row>
    <row r="183" spans="1:7" x14ac:dyDescent="0.25">
      <c r="A183" s="4">
        <v>20</v>
      </c>
      <c r="B183" s="5">
        <v>468</v>
      </c>
      <c r="C183" s="3">
        <v>0.210372</v>
      </c>
      <c r="D183" s="3">
        <v>0.38945099999999999</v>
      </c>
      <c r="E183" s="86">
        <v>59.17</v>
      </c>
      <c r="F183" s="86">
        <v>5.22</v>
      </c>
      <c r="G183" s="86">
        <v>2.1</v>
      </c>
    </row>
    <row r="184" spans="1:7" x14ac:dyDescent="0.25">
      <c r="A184" s="4">
        <v>20</v>
      </c>
      <c r="B184" s="5">
        <v>456</v>
      </c>
      <c r="C184" s="3">
        <v>0.130214</v>
      </c>
      <c r="D184" s="3">
        <v>7.8756999999999994E-2</v>
      </c>
      <c r="E184" s="86">
        <v>59.07</v>
      </c>
      <c r="F184" s="86">
        <v>5.2</v>
      </c>
      <c r="G184" s="86">
        <v>2.23</v>
      </c>
    </row>
    <row r="185" spans="1:7" x14ac:dyDescent="0.25">
      <c r="A185" s="4">
        <v>20</v>
      </c>
      <c r="B185" s="5">
        <v>444</v>
      </c>
      <c r="C185" s="3">
        <v>3.2469999999999999E-2</v>
      </c>
      <c r="D185" s="3">
        <v>1.3873E-2</v>
      </c>
      <c r="E185" s="86">
        <v>59.44</v>
      </c>
      <c r="F185" s="86">
        <v>4.95</v>
      </c>
      <c r="G185" s="86">
        <v>2.2799999999999998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G16"/>
  <sheetViews>
    <sheetView workbookViewId="0">
      <selection activeCell="B7" sqref="B7"/>
    </sheetView>
  </sheetViews>
  <sheetFormatPr defaultRowHeight="15" x14ac:dyDescent="0.25"/>
  <cols>
    <col min="1" max="1" width="24.28515625" bestFit="1" customWidth="1"/>
    <col min="2" max="2" width="21.7109375" bestFit="1" customWidth="1"/>
  </cols>
  <sheetData>
    <row r="1" spans="1:7" x14ac:dyDescent="0.25">
      <c r="A1" t="s">
        <v>23</v>
      </c>
      <c r="B1" s="55" t="s">
        <v>24</v>
      </c>
    </row>
    <row r="2" spans="1:7" x14ac:dyDescent="0.25">
      <c r="A2" t="s">
        <v>25</v>
      </c>
      <c r="B2" s="54">
        <v>25</v>
      </c>
    </row>
    <row r="3" spans="1:7" x14ac:dyDescent="0.25">
      <c r="A3" t="s">
        <v>26</v>
      </c>
      <c r="B3" s="54">
        <v>4</v>
      </c>
    </row>
    <row r="4" spans="1:7" x14ac:dyDescent="0.25">
      <c r="A4" t="s">
        <v>27</v>
      </c>
      <c r="B4" s="54">
        <v>4</v>
      </c>
    </row>
    <row r="5" spans="1:7" x14ac:dyDescent="0.25">
      <c r="A5" t="s">
        <v>36</v>
      </c>
      <c r="B5" s="54" t="s">
        <v>62</v>
      </c>
      <c r="D5" s="30"/>
      <c r="E5" s="30"/>
      <c r="F5" s="30"/>
      <c r="G5" s="30"/>
    </row>
    <row r="6" spans="1:7" x14ac:dyDescent="0.25">
      <c r="A6" t="s">
        <v>61</v>
      </c>
      <c r="B6" s="54" t="s">
        <v>63</v>
      </c>
    </row>
    <row r="8" spans="1:7" x14ac:dyDescent="0.25">
      <c r="A8" t="s">
        <v>42</v>
      </c>
    </row>
    <row r="9" spans="1:7" x14ac:dyDescent="0.25">
      <c r="A9" s="74" t="s">
        <v>20</v>
      </c>
      <c r="B9" t="s">
        <v>41</v>
      </c>
    </row>
    <row r="10" spans="1:7" x14ac:dyDescent="0.25">
      <c r="A10" s="74" t="s">
        <v>21</v>
      </c>
      <c r="B10" t="s">
        <v>37</v>
      </c>
    </row>
    <row r="11" spans="1:7" x14ac:dyDescent="0.25">
      <c r="A11" s="74" t="s">
        <v>22</v>
      </c>
      <c r="B11" t="s">
        <v>38</v>
      </c>
    </row>
    <row r="12" spans="1:7" x14ac:dyDescent="0.25">
      <c r="A12" s="74" t="s">
        <v>54</v>
      </c>
      <c r="B12" t="s">
        <v>55</v>
      </c>
    </row>
    <row r="13" spans="1:7" x14ac:dyDescent="0.25">
      <c r="A13" s="75" t="s">
        <v>8</v>
      </c>
      <c r="B13" t="s">
        <v>59</v>
      </c>
    </row>
    <row r="14" spans="1:7" x14ac:dyDescent="0.25">
      <c r="A14" s="75" t="s">
        <v>9</v>
      </c>
      <c r="B14" t="s">
        <v>58</v>
      </c>
    </row>
    <row r="15" spans="1:7" x14ac:dyDescent="0.25">
      <c r="A15" s="75" t="s">
        <v>10</v>
      </c>
      <c r="B15" t="s">
        <v>56</v>
      </c>
    </row>
    <row r="16" spans="1:7" x14ac:dyDescent="0.25">
      <c r="A16" s="75" t="s">
        <v>11</v>
      </c>
      <c r="B16" t="s">
        <v>57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N659"/>
  <sheetViews>
    <sheetView topLeftCell="A103" workbookViewId="0">
      <selection activeCell="C106" sqref="C106"/>
    </sheetView>
  </sheetViews>
  <sheetFormatPr defaultRowHeight="15" x14ac:dyDescent="0.25"/>
  <cols>
    <col min="1" max="1" width="3.7109375" style="9" bestFit="1" customWidth="1"/>
    <col min="2" max="2" width="7" style="9" bestFit="1" customWidth="1"/>
    <col min="3" max="3" width="10.5703125" style="10" bestFit="1" customWidth="1"/>
    <col min="4" max="4" width="12.5703125" style="8" bestFit="1" customWidth="1"/>
    <col min="5" max="5" width="7.5703125" style="9" bestFit="1" customWidth="1"/>
    <col min="6" max="6" width="6.5703125" style="9" bestFit="1" customWidth="1"/>
    <col min="7" max="9" width="8" style="9" bestFit="1" customWidth="1"/>
    <col min="10" max="10" width="8" style="9" customWidth="1"/>
    <col min="11" max="11" width="7.42578125" style="9" bestFit="1" customWidth="1"/>
    <col min="12" max="12" width="7.42578125" style="9" customWidth="1"/>
    <col min="13" max="14" width="7.42578125" style="9" bestFit="1" customWidth="1"/>
    <col min="15" max="16384" width="9.140625" style="2"/>
  </cols>
  <sheetData>
    <row r="1" spans="1:14" x14ac:dyDescent="0.25">
      <c r="A1" s="9" t="s">
        <v>0</v>
      </c>
      <c r="B1" s="9" t="s">
        <v>1</v>
      </c>
      <c r="C1" s="10" t="s">
        <v>7</v>
      </c>
      <c r="D1" s="8" t="s">
        <v>18</v>
      </c>
      <c r="E1" s="8" t="s">
        <v>39</v>
      </c>
      <c r="F1" s="8" t="s">
        <v>2</v>
      </c>
      <c r="G1" s="8" t="s">
        <v>20</v>
      </c>
      <c r="H1" s="8" t="s">
        <v>21</v>
      </c>
      <c r="I1" s="8" t="s">
        <v>22</v>
      </c>
      <c r="J1" s="8" t="s">
        <v>54</v>
      </c>
      <c r="K1" s="8" t="s">
        <v>8</v>
      </c>
      <c r="L1" s="8" t="s">
        <v>9</v>
      </c>
      <c r="M1" s="8" t="s">
        <v>10</v>
      </c>
      <c r="N1" s="8" t="s">
        <v>11</v>
      </c>
    </row>
    <row r="2" spans="1:14" x14ac:dyDescent="0.25">
      <c r="A2" s="9">
        <f>'Pit Inventory'!A2</f>
        <v>1</v>
      </c>
      <c r="B2" s="9">
        <f>'Pit Inventory'!B2</f>
        <v>576</v>
      </c>
      <c r="C2" s="91">
        <v>1000</v>
      </c>
      <c r="D2" s="8">
        <f>E2+F2</f>
        <v>7.8944E-2</v>
      </c>
      <c r="E2" s="8">
        <f>'Pit Inventory'!D2</f>
        <v>7.6090000000000005E-2</v>
      </c>
      <c r="F2" s="8">
        <f>'Pit Inventory'!C2</f>
        <v>2.8540000000000002E-3</v>
      </c>
      <c r="G2" s="8">
        <f>'Pit Inventory'!E2</f>
        <v>56</v>
      </c>
      <c r="H2" s="8">
        <f>'Pit Inventory'!F2</f>
        <v>7.67</v>
      </c>
      <c r="I2" s="8">
        <f>'Pit Inventory'!G2</f>
        <v>1.97</v>
      </c>
      <c r="J2" s="8">
        <f>100-G2</f>
        <v>44</v>
      </c>
      <c r="K2" s="11">
        <f>IF(OR($A2=1,$A2=3,$A2=5,$A2=7,$A2=9,$A2=11,$A2=13,$A2=15,$A2=17,$A2=19),1,0)</f>
        <v>1</v>
      </c>
      <c r="L2" s="11">
        <f>IF(OR($A2=2,$A2=4,$A2=6,$A2=8,$A2=10,$A2=12,$A2=14,$A2=16,$A2=18,$A2=20),1,0)</f>
        <v>0</v>
      </c>
      <c r="M2" s="11">
        <f>IF($A2&lt;=6,1,0)</f>
        <v>1</v>
      </c>
      <c r="N2" s="11">
        <f>IF($A2&gt;6,1,0)</f>
        <v>0</v>
      </c>
    </row>
    <row r="3" spans="1:14" x14ac:dyDescent="0.25">
      <c r="A3" s="9">
        <f>'Pit Inventory'!A3</f>
        <v>1</v>
      </c>
      <c r="B3" s="9">
        <f>'Pit Inventory'!B3</f>
        <v>564</v>
      </c>
      <c r="C3" s="91">
        <v>1000</v>
      </c>
      <c r="D3" s="8">
        <f t="shared" ref="D3:D66" si="0">E3+F3</f>
        <v>4.7621999999999998E-2</v>
      </c>
      <c r="E3" s="8">
        <f>'Pit Inventory'!D3</f>
        <v>3.4669999999999999E-2</v>
      </c>
      <c r="F3" s="8">
        <f>'Pit Inventory'!C3</f>
        <v>1.2952E-2</v>
      </c>
      <c r="G3" s="8">
        <f>'Pit Inventory'!E3</f>
        <v>59.4</v>
      </c>
      <c r="H3" s="8">
        <f>'Pit Inventory'!F3</f>
        <v>5.52</v>
      </c>
      <c r="I3" s="8">
        <f>'Pit Inventory'!G3</f>
        <v>1.93</v>
      </c>
      <c r="J3" s="8">
        <f t="shared" ref="J3:J66" si="1">100-G3</f>
        <v>40.6</v>
      </c>
      <c r="K3" s="11">
        <f t="shared" ref="K3:K66" si="2">IF(OR($A3=1,$A3=3,$A3=5,$A3=7,$A3=9,$A3=11,$A3=13,$A3=15,$A3=17,$A3=19),1,0)</f>
        <v>1</v>
      </c>
      <c r="L3" s="11">
        <f t="shared" ref="L3:L66" si="3">IF(OR($A3=2,$A3=4,$A3=6,$A3=8,$A3=10,$A3=12,$A3=14,$A3=16,$A3=18,$A3=20),1,0)</f>
        <v>0</v>
      </c>
      <c r="M3" s="11">
        <f t="shared" ref="M3:M66" si="4">IF($A3&lt;=6,1,0)</f>
        <v>1</v>
      </c>
      <c r="N3" s="11">
        <f t="shared" ref="N3:N66" si="5">IF($A3&gt;6,1,0)</f>
        <v>0</v>
      </c>
    </row>
    <row r="4" spans="1:14" x14ac:dyDescent="0.25">
      <c r="A4" s="9">
        <f>'Pit Inventory'!A4</f>
        <v>1</v>
      </c>
      <c r="B4" s="9">
        <f>'Pit Inventory'!B4</f>
        <v>552</v>
      </c>
      <c r="C4" s="91">
        <v>1000</v>
      </c>
      <c r="D4" s="8">
        <f t="shared" si="0"/>
        <v>4.5763000000000005E-2</v>
      </c>
      <c r="E4" s="8">
        <f>'Pit Inventory'!D4</f>
        <v>8.7510000000000001E-3</v>
      </c>
      <c r="F4" s="8">
        <f>'Pit Inventory'!C4</f>
        <v>3.7012000000000003E-2</v>
      </c>
      <c r="G4" s="8">
        <f>'Pit Inventory'!E4</f>
        <v>60.5</v>
      </c>
      <c r="H4" s="8">
        <f>'Pit Inventory'!F4</f>
        <v>4.71</v>
      </c>
      <c r="I4" s="8">
        <f>'Pit Inventory'!G4</f>
        <v>2.2200000000000002</v>
      </c>
      <c r="J4" s="8">
        <f t="shared" si="1"/>
        <v>39.5</v>
      </c>
      <c r="K4" s="11">
        <f t="shared" si="2"/>
        <v>1</v>
      </c>
      <c r="L4" s="11">
        <f t="shared" si="3"/>
        <v>0</v>
      </c>
      <c r="M4" s="11">
        <f t="shared" si="4"/>
        <v>1</v>
      </c>
      <c r="N4" s="11">
        <f t="shared" si="5"/>
        <v>0</v>
      </c>
    </row>
    <row r="5" spans="1:14" x14ac:dyDescent="0.25">
      <c r="A5" s="9">
        <f>'Pit Inventory'!A5</f>
        <v>1</v>
      </c>
      <c r="B5" s="9">
        <f>'Pit Inventory'!B5</f>
        <v>540</v>
      </c>
      <c r="C5" s="91">
        <v>1000</v>
      </c>
      <c r="D5" s="8">
        <f t="shared" si="0"/>
        <v>1.1906E-2</v>
      </c>
      <c r="E5" s="8">
        <f>'Pit Inventory'!D5</f>
        <v>1.0848E-2</v>
      </c>
      <c r="F5" s="8">
        <f>'Pit Inventory'!C5</f>
        <v>1.0579999999999999E-3</v>
      </c>
      <c r="G5" s="8">
        <f>'Pit Inventory'!E5</f>
        <v>59.81</v>
      </c>
      <c r="H5" s="8">
        <f>'Pit Inventory'!F5</f>
        <v>4.74</v>
      </c>
      <c r="I5" s="8">
        <f>'Pit Inventory'!G5</f>
        <v>1.69</v>
      </c>
      <c r="J5" s="8">
        <f t="shared" si="1"/>
        <v>40.19</v>
      </c>
      <c r="K5" s="11">
        <f t="shared" si="2"/>
        <v>1</v>
      </c>
      <c r="L5" s="11">
        <f t="shared" si="3"/>
        <v>0</v>
      </c>
      <c r="M5" s="11">
        <f t="shared" si="4"/>
        <v>1</v>
      </c>
      <c r="N5" s="11">
        <f t="shared" si="5"/>
        <v>0</v>
      </c>
    </row>
    <row r="6" spans="1:14" x14ac:dyDescent="0.25">
      <c r="A6" s="9">
        <f>'Pit Inventory'!A6</f>
        <v>1</v>
      </c>
      <c r="B6" s="9">
        <f>'Pit Inventory'!B6</f>
        <v>528</v>
      </c>
      <c r="C6" s="91">
        <v>1000</v>
      </c>
      <c r="D6" s="8">
        <f t="shared" si="0"/>
        <v>7.4543999999999999E-2</v>
      </c>
      <c r="E6" s="8">
        <f>'Pit Inventory'!D6</f>
        <v>7.4393000000000001E-2</v>
      </c>
      <c r="F6" s="8">
        <f>'Pit Inventory'!C6</f>
        <v>1.5100000000000001E-4</v>
      </c>
      <c r="G6" s="8">
        <f>'Pit Inventory'!E6</f>
        <v>57.23</v>
      </c>
      <c r="H6" s="8">
        <f>'Pit Inventory'!F6</f>
        <v>5.47</v>
      </c>
      <c r="I6" s="8">
        <f>'Pit Inventory'!G6</f>
        <v>2.48</v>
      </c>
      <c r="J6" s="8">
        <f t="shared" si="1"/>
        <v>42.77</v>
      </c>
      <c r="K6" s="11">
        <f t="shared" si="2"/>
        <v>1</v>
      </c>
      <c r="L6" s="11">
        <f t="shared" si="3"/>
        <v>0</v>
      </c>
      <c r="M6" s="11">
        <f t="shared" si="4"/>
        <v>1</v>
      </c>
      <c r="N6" s="11">
        <f t="shared" si="5"/>
        <v>0</v>
      </c>
    </row>
    <row r="7" spans="1:14" x14ac:dyDescent="0.25">
      <c r="A7" s="9">
        <f>'Pit Inventory'!A7</f>
        <v>2</v>
      </c>
      <c r="B7" s="9">
        <f>'Pit Inventory'!B7</f>
        <v>564</v>
      </c>
      <c r="C7" s="91">
        <f t="shared" ref="C7:C66" si="6">0.001+F7*G7/D7</f>
        <v>13.431983402318124</v>
      </c>
      <c r="D7" s="8">
        <f t="shared" si="0"/>
        <v>0.67744399999999994</v>
      </c>
      <c r="E7" s="8">
        <f>'Pit Inventory'!D7</f>
        <v>0.51915</v>
      </c>
      <c r="F7" s="8">
        <f>'Pit Inventory'!C7</f>
        <v>0.15829399999999999</v>
      </c>
      <c r="G7" s="8">
        <f>'Pit Inventory'!E7</f>
        <v>57.48</v>
      </c>
      <c r="H7" s="8">
        <f>'Pit Inventory'!F7</f>
        <v>6.92</v>
      </c>
      <c r="I7" s="8">
        <f>'Pit Inventory'!G7</f>
        <v>2.04</v>
      </c>
      <c r="J7" s="8">
        <f t="shared" si="1"/>
        <v>42.52</v>
      </c>
      <c r="K7" s="11">
        <f t="shared" si="2"/>
        <v>0</v>
      </c>
      <c r="L7" s="11">
        <f t="shared" si="3"/>
        <v>1</v>
      </c>
      <c r="M7" s="11">
        <f t="shared" si="4"/>
        <v>1</v>
      </c>
      <c r="N7" s="11">
        <f t="shared" si="5"/>
        <v>0</v>
      </c>
    </row>
    <row r="8" spans="1:14" x14ac:dyDescent="0.25">
      <c r="A8" s="9">
        <f>'Pit Inventory'!A8</f>
        <v>2</v>
      </c>
      <c r="B8" s="9">
        <f>'Pit Inventory'!B8</f>
        <v>552</v>
      </c>
      <c r="C8" s="91">
        <f t="shared" si="6"/>
        <v>17.384329111578761</v>
      </c>
      <c r="D8" s="8">
        <f t="shared" si="0"/>
        <v>1.4464760000000001</v>
      </c>
      <c r="E8" s="8">
        <f>'Pit Inventory'!D8</f>
        <v>1.01892</v>
      </c>
      <c r="F8" s="8">
        <f>'Pit Inventory'!C8</f>
        <v>0.42755599999999999</v>
      </c>
      <c r="G8" s="8">
        <f>'Pit Inventory'!E8</f>
        <v>58.81</v>
      </c>
      <c r="H8" s="8">
        <f>'Pit Inventory'!F8</f>
        <v>5.79</v>
      </c>
      <c r="I8" s="8">
        <f>'Pit Inventory'!G8</f>
        <v>2.2999999999999998</v>
      </c>
      <c r="J8" s="8">
        <f t="shared" si="1"/>
        <v>41.19</v>
      </c>
      <c r="K8" s="11">
        <f t="shared" si="2"/>
        <v>0</v>
      </c>
      <c r="L8" s="11">
        <f t="shared" si="3"/>
        <v>1</v>
      </c>
      <c r="M8" s="11">
        <f t="shared" si="4"/>
        <v>1</v>
      </c>
      <c r="N8" s="11">
        <f t="shared" si="5"/>
        <v>0</v>
      </c>
    </row>
    <row r="9" spans="1:14" x14ac:dyDescent="0.25">
      <c r="A9" s="9">
        <f>'Pit Inventory'!A9</f>
        <v>2</v>
      </c>
      <c r="B9" s="9">
        <f>'Pit Inventory'!B9</f>
        <v>540</v>
      </c>
      <c r="C9" s="91">
        <f t="shared" si="6"/>
        <v>20.270283292207882</v>
      </c>
      <c r="D9" s="8">
        <f t="shared" si="0"/>
        <v>2.6402950000000001</v>
      </c>
      <c r="E9" s="8">
        <f>'Pit Inventory'!D9</f>
        <v>1.7284379999999999</v>
      </c>
      <c r="F9" s="8">
        <f>'Pit Inventory'!C9</f>
        <v>0.91185700000000003</v>
      </c>
      <c r="G9" s="8">
        <f>'Pit Inventory'!E9</f>
        <v>58.69</v>
      </c>
      <c r="H9" s="8">
        <f>'Pit Inventory'!F9</f>
        <v>5.62</v>
      </c>
      <c r="I9" s="8">
        <f>'Pit Inventory'!G9</f>
        <v>2.21</v>
      </c>
      <c r="J9" s="8">
        <f t="shared" si="1"/>
        <v>41.31</v>
      </c>
      <c r="K9" s="11">
        <f t="shared" si="2"/>
        <v>0</v>
      </c>
      <c r="L9" s="11">
        <f t="shared" si="3"/>
        <v>1</v>
      </c>
      <c r="M9" s="11">
        <f t="shared" si="4"/>
        <v>1</v>
      </c>
      <c r="N9" s="11">
        <f t="shared" si="5"/>
        <v>0</v>
      </c>
    </row>
    <row r="10" spans="1:14" x14ac:dyDescent="0.25">
      <c r="A10" s="9">
        <f>'Pit Inventory'!A10</f>
        <v>2</v>
      </c>
      <c r="B10" s="9">
        <f>'Pit Inventory'!B10</f>
        <v>528</v>
      </c>
      <c r="C10" s="91">
        <f t="shared" si="6"/>
        <v>15.255964526175674</v>
      </c>
      <c r="D10" s="8">
        <f t="shared" si="0"/>
        <v>4.5654789999999998</v>
      </c>
      <c r="E10" s="8">
        <f>'Pit Inventory'!D10</f>
        <v>3.3808180000000001</v>
      </c>
      <c r="F10" s="8">
        <f>'Pit Inventory'!C10</f>
        <v>1.184661</v>
      </c>
      <c r="G10" s="8">
        <f>'Pit Inventory'!E10</f>
        <v>58.79</v>
      </c>
      <c r="H10" s="8">
        <f>'Pit Inventory'!F10</f>
        <v>5.25</v>
      </c>
      <c r="I10" s="8">
        <f>'Pit Inventory'!G10</f>
        <v>2.1800000000000002</v>
      </c>
      <c r="J10" s="8">
        <f t="shared" si="1"/>
        <v>41.21</v>
      </c>
      <c r="K10" s="11">
        <f t="shared" si="2"/>
        <v>0</v>
      </c>
      <c r="L10" s="11">
        <f t="shared" si="3"/>
        <v>1</v>
      </c>
      <c r="M10" s="11">
        <f t="shared" si="4"/>
        <v>1</v>
      </c>
      <c r="N10" s="11">
        <f t="shared" si="5"/>
        <v>0</v>
      </c>
    </row>
    <row r="11" spans="1:14" x14ac:dyDescent="0.25">
      <c r="A11" s="9">
        <f>'Pit Inventory'!A11</f>
        <v>2</v>
      </c>
      <c r="B11" s="9">
        <f>'Pit Inventory'!B11</f>
        <v>516</v>
      </c>
      <c r="C11" s="91">
        <f t="shared" si="6"/>
        <v>9.7612281880685767</v>
      </c>
      <c r="D11" s="8">
        <f t="shared" si="0"/>
        <v>7.9215359999999997</v>
      </c>
      <c r="E11" s="8">
        <f>'Pit Inventory'!D11</f>
        <v>6.6161839999999996</v>
      </c>
      <c r="F11" s="8">
        <f>'Pit Inventory'!C11</f>
        <v>1.3053520000000001</v>
      </c>
      <c r="G11" s="8">
        <f>'Pit Inventory'!E11</f>
        <v>59.23</v>
      </c>
      <c r="H11" s="8">
        <f>'Pit Inventory'!F11</f>
        <v>4.8899999999999997</v>
      </c>
      <c r="I11" s="8">
        <f>'Pit Inventory'!G11</f>
        <v>2.0699999999999998</v>
      </c>
      <c r="J11" s="8">
        <f t="shared" si="1"/>
        <v>40.770000000000003</v>
      </c>
      <c r="K11" s="11">
        <f t="shared" si="2"/>
        <v>0</v>
      </c>
      <c r="L11" s="11">
        <f t="shared" si="3"/>
        <v>1</v>
      </c>
      <c r="M11" s="11">
        <f t="shared" si="4"/>
        <v>1</v>
      </c>
      <c r="N11" s="11">
        <f t="shared" si="5"/>
        <v>0</v>
      </c>
    </row>
    <row r="12" spans="1:14" x14ac:dyDescent="0.25">
      <c r="A12" s="9">
        <f>'Pit Inventory'!A12</f>
        <v>2</v>
      </c>
      <c r="B12" s="9">
        <f>'Pit Inventory'!B12</f>
        <v>504</v>
      </c>
      <c r="C12" s="91">
        <f t="shared" si="6"/>
        <v>8.5872809125325134</v>
      </c>
      <c r="D12" s="8">
        <f t="shared" si="0"/>
        <v>9.1270830000000007</v>
      </c>
      <c r="E12" s="8">
        <f>'Pit Inventory'!D12</f>
        <v>7.8066500000000003</v>
      </c>
      <c r="F12" s="8">
        <f>'Pit Inventory'!C12</f>
        <v>1.320433</v>
      </c>
      <c r="G12" s="8">
        <f>'Pit Inventory'!E12</f>
        <v>59.35</v>
      </c>
      <c r="H12" s="8">
        <f>'Pit Inventory'!F12</f>
        <v>4.7300000000000004</v>
      </c>
      <c r="I12" s="8">
        <f>'Pit Inventory'!G12</f>
        <v>2.1800000000000002</v>
      </c>
      <c r="J12" s="8">
        <f t="shared" si="1"/>
        <v>40.65</v>
      </c>
      <c r="K12" s="11">
        <f t="shared" si="2"/>
        <v>0</v>
      </c>
      <c r="L12" s="11">
        <f t="shared" si="3"/>
        <v>1</v>
      </c>
      <c r="M12" s="11">
        <f t="shared" si="4"/>
        <v>1</v>
      </c>
      <c r="N12" s="11">
        <f t="shared" si="5"/>
        <v>0</v>
      </c>
    </row>
    <row r="13" spans="1:14" x14ac:dyDescent="0.25">
      <c r="A13" s="9">
        <f>'Pit Inventory'!A13</f>
        <v>2</v>
      </c>
      <c r="B13" s="9">
        <f>'Pit Inventory'!B13</f>
        <v>492</v>
      </c>
      <c r="C13" s="91">
        <f t="shared" si="6"/>
        <v>9.6222873032451073</v>
      </c>
      <c r="D13" s="8">
        <f t="shared" si="0"/>
        <v>8.3635149999999996</v>
      </c>
      <c r="E13" s="8">
        <f>'Pit Inventory'!D13</f>
        <v>7.004721</v>
      </c>
      <c r="F13" s="8">
        <f>'Pit Inventory'!C13</f>
        <v>1.3587940000000001</v>
      </c>
      <c r="G13" s="8">
        <f>'Pit Inventory'!E13</f>
        <v>59.22</v>
      </c>
      <c r="H13" s="8">
        <f>'Pit Inventory'!F13</f>
        <v>4.57</v>
      </c>
      <c r="I13" s="8">
        <f>'Pit Inventory'!G13</f>
        <v>2.04</v>
      </c>
      <c r="J13" s="8">
        <f t="shared" si="1"/>
        <v>40.78</v>
      </c>
      <c r="K13" s="11">
        <f t="shared" si="2"/>
        <v>0</v>
      </c>
      <c r="L13" s="11">
        <f t="shared" si="3"/>
        <v>1</v>
      </c>
      <c r="M13" s="11">
        <f t="shared" si="4"/>
        <v>1</v>
      </c>
      <c r="N13" s="11">
        <f t="shared" si="5"/>
        <v>0</v>
      </c>
    </row>
    <row r="14" spans="1:14" x14ac:dyDescent="0.25">
      <c r="A14" s="9">
        <f>'Pit Inventory'!A14</f>
        <v>2</v>
      </c>
      <c r="B14" s="9">
        <f>'Pit Inventory'!B14</f>
        <v>480</v>
      </c>
      <c r="C14" s="91">
        <f t="shared" si="6"/>
        <v>10.40648103368061</v>
      </c>
      <c r="D14" s="8">
        <f t="shared" si="0"/>
        <v>7.6217740000000003</v>
      </c>
      <c r="E14" s="8">
        <f>'Pit Inventory'!D14</f>
        <v>6.2857190000000003</v>
      </c>
      <c r="F14" s="8">
        <f>'Pit Inventory'!C14</f>
        <v>1.336055</v>
      </c>
      <c r="G14" s="8">
        <f>'Pit Inventory'!E14</f>
        <v>59.36</v>
      </c>
      <c r="H14" s="8">
        <f>'Pit Inventory'!F14</f>
        <v>4.25</v>
      </c>
      <c r="I14" s="8">
        <f>'Pit Inventory'!G14</f>
        <v>1.97</v>
      </c>
      <c r="J14" s="8">
        <f t="shared" si="1"/>
        <v>40.64</v>
      </c>
      <c r="K14" s="11">
        <f t="shared" si="2"/>
        <v>0</v>
      </c>
      <c r="L14" s="11">
        <f t="shared" si="3"/>
        <v>1</v>
      </c>
      <c r="M14" s="11">
        <f t="shared" si="4"/>
        <v>1</v>
      </c>
      <c r="N14" s="11">
        <f t="shared" si="5"/>
        <v>0</v>
      </c>
    </row>
    <row r="15" spans="1:14" x14ac:dyDescent="0.25">
      <c r="A15" s="9">
        <f>'Pit Inventory'!A15</f>
        <v>2</v>
      </c>
      <c r="B15" s="9">
        <f>'Pit Inventory'!B15</f>
        <v>468</v>
      </c>
      <c r="C15" s="91">
        <f t="shared" si="6"/>
        <v>10.491086542749938</v>
      </c>
      <c r="D15" s="8">
        <f t="shared" si="0"/>
        <v>6.9126530000000006</v>
      </c>
      <c r="E15" s="8">
        <f>'Pit Inventory'!D15</f>
        <v>5.6933100000000003</v>
      </c>
      <c r="F15" s="8">
        <f>'Pit Inventory'!C15</f>
        <v>1.2193430000000001</v>
      </c>
      <c r="G15" s="8">
        <f>'Pit Inventory'!E15</f>
        <v>59.47</v>
      </c>
      <c r="H15" s="8">
        <f>'Pit Inventory'!F15</f>
        <v>4.0199999999999996</v>
      </c>
      <c r="I15" s="8">
        <f>'Pit Inventory'!G15</f>
        <v>1.91</v>
      </c>
      <c r="J15" s="8">
        <f t="shared" si="1"/>
        <v>40.53</v>
      </c>
      <c r="K15" s="11">
        <f t="shared" si="2"/>
        <v>0</v>
      </c>
      <c r="L15" s="11">
        <f t="shared" si="3"/>
        <v>1</v>
      </c>
      <c r="M15" s="11">
        <f t="shared" si="4"/>
        <v>1</v>
      </c>
      <c r="N15" s="11">
        <f t="shared" si="5"/>
        <v>0</v>
      </c>
    </row>
    <row r="16" spans="1:14" x14ac:dyDescent="0.25">
      <c r="A16" s="9">
        <f>'Pit Inventory'!A16</f>
        <v>2</v>
      </c>
      <c r="B16" s="9">
        <f>'Pit Inventory'!B16</f>
        <v>456</v>
      </c>
      <c r="C16" s="91">
        <f t="shared" si="6"/>
        <v>11.08383345356042</v>
      </c>
      <c r="D16" s="8">
        <f t="shared" si="0"/>
        <v>6.228491</v>
      </c>
      <c r="E16" s="8">
        <f>'Pit Inventory'!D16</f>
        <v>5.0698920000000003</v>
      </c>
      <c r="F16" s="8">
        <f>'Pit Inventory'!C16</f>
        <v>1.1585989999999999</v>
      </c>
      <c r="G16" s="8">
        <f>'Pit Inventory'!E16</f>
        <v>59.58</v>
      </c>
      <c r="H16" s="8">
        <f>'Pit Inventory'!F16</f>
        <v>3.85</v>
      </c>
      <c r="I16" s="8">
        <f>'Pit Inventory'!G16</f>
        <v>1.82</v>
      </c>
      <c r="J16" s="8">
        <f t="shared" si="1"/>
        <v>40.42</v>
      </c>
      <c r="K16" s="11">
        <f t="shared" si="2"/>
        <v>0</v>
      </c>
      <c r="L16" s="11">
        <f t="shared" si="3"/>
        <v>1</v>
      </c>
      <c r="M16" s="11">
        <f t="shared" si="4"/>
        <v>1</v>
      </c>
      <c r="N16" s="11">
        <f t="shared" si="5"/>
        <v>0</v>
      </c>
    </row>
    <row r="17" spans="1:14" x14ac:dyDescent="0.25">
      <c r="A17" s="9">
        <f>'Pit Inventory'!A17</f>
        <v>2</v>
      </c>
      <c r="B17" s="9">
        <f>'Pit Inventory'!B17</f>
        <v>444</v>
      </c>
      <c r="C17" s="91">
        <f t="shared" si="6"/>
        <v>11.108363983674209</v>
      </c>
      <c r="D17" s="8">
        <f t="shared" si="0"/>
        <v>5.639176</v>
      </c>
      <c r="E17" s="8">
        <f>'Pit Inventory'!D17</f>
        <v>4.5757399999999997</v>
      </c>
      <c r="F17" s="8">
        <f>'Pit Inventory'!C17</f>
        <v>1.063436</v>
      </c>
      <c r="G17" s="8">
        <f>'Pit Inventory'!E17</f>
        <v>58.9</v>
      </c>
      <c r="H17" s="8">
        <f>'Pit Inventory'!F17</f>
        <v>4.6399999999999997</v>
      </c>
      <c r="I17" s="8">
        <f>'Pit Inventory'!G17</f>
        <v>1.83</v>
      </c>
      <c r="J17" s="8">
        <f t="shared" si="1"/>
        <v>41.1</v>
      </c>
      <c r="K17" s="11">
        <f t="shared" si="2"/>
        <v>0</v>
      </c>
      <c r="L17" s="11">
        <f t="shared" si="3"/>
        <v>1</v>
      </c>
      <c r="M17" s="11">
        <f t="shared" si="4"/>
        <v>1</v>
      </c>
      <c r="N17" s="11">
        <f t="shared" si="5"/>
        <v>0</v>
      </c>
    </row>
    <row r="18" spans="1:14" x14ac:dyDescent="0.25">
      <c r="A18" s="9">
        <f>'Pit Inventory'!A18</f>
        <v>2</v>
      </c>
      <c r="B18" s="9">
        <f>'Pit Inventory'!B18</f>
        <v>432</v>
      </c>
      <c r="C18" s="91">
        <f t="shared" si="6"/>
        <v>10.700890672542231</v>
      </c>
      <c r="D18" s="8">
        <f t="shared" si="0"/>
        <v>5.0514299999999999</v>
      </c>
      <c r="E18" s="8">
        <f>'Pit Inventory'!D18</f>
        <v>4.135643</v>
      </c>
      <c r="F18" s="8">
        <f>'Pit Inventory'!C18</f>
        <v>0.91578700000000002</v>
      </c>
      <c r="G18" s="8">
        <f>'Pit Inventory'!E18</f>
        <v>59.02</v>
      </c>
      <c r="H18" s="8">
        <f>'Pit Inventory'!F18</f>
        <v>4.57</v>
      </c>
      <c r="I18" s="8">
        <f>'Pit Inventory'!G18</f>
        <v>1.82</v>
      </c>
      <c r="J18" s="8">
        <f t="shared" si="1"/>
        <v>40.98</v>
      </c>
      <c r="K18" s="11">
        <f t="shared" si="2"/>
        <v>0</v>
      </c>
      <c r="L18" s="11">
        <f t="shared" si="3"/>
        <v>1</v>
      </c>
      <c r="M18" s="11">
        <f t="shared" si="4"/>
        <v>1</v>
      </c>
      <c r="N18" s="11">
        <f t="shared" si="5"/>
        <v>0</v>
      </c>
    </row>
    <row r="19" spans="1:14" x14ac:dyDescent="0.25">
      <c r="A19" s="9">
        <f>'Pit Inventory'!A19</f>
        <v>2</v>
      </c>
      <c r="B19" s="9">
        <f>'Pit Inventory'!B19</f>
        <v>420</v>
      </c>
      <c r="C19" s="91">
        <f t="shared" si="6"/>
        <v>11.550030772252089</v>
      </c>
      <c r="D19" s="8">
        <f t="shared" si="0"/>
        <v>4.4758829999999996</v>
      </c>
      <c r="E19" s="8">
        <f>'Pit Inventory'!D19</f>
        <v>3.6012279999999999</v>
      </c>
      <c r="F19" s="8">
        <f>'Pit Inventory'!C19</f>
        <v>0.87465499999999996</v>
      </c>
      <c r="G19" s="8">
        <f>'Pit Inventory'!E19</f>
        <v>59.1</v>
      </c>
      <c r="H19" s="8">
        <f>'Pit Inventory'!F19</f>
        <v>4.66</v>
      </c>
      <c r="I19" s="8">
        <f>'Pit Inventory'!G19</f>
        <v>1.8</v>
      </c>
      <c r="J19" s="8">
        <f t="shared" si="1"/>
        <v>40.9</v>
      </c>
      <c r="K19" s="11">
        <f t="shared" si="2"/>
        <v>0</v>
      </c>
      <c r="L19" s="11">
        <f t="shared" si="3"/>
        <v>1</v>
      </c>
      <c r="M19" s="11">
        <f t="shared" si="4"/>
        <v>1</v>
      </c>
      <c r="N19" s="11">
        <f t="shared" si="5"/>
        <v>0</v>
      </c>
    </row>
    <row r="20" spans="1:14" x14ac:dyDescent="0.25">
      <c r="A20" s="9">
        <f>'Pit Inventory'!A20</f>
        <v>2</v>
      </c>
      <c r="B20" s="9">
        <f>'Pit Inventory'!B20</f>
        <v>408</v>
      </c>
      <c r="C20" s="91">
        <f t="shared" si="6"/>
        <v>11.94834278251232</v>
      </c>
      <c r="D20" s="8">
        <f t="shared" si="0"/>
        <v>3.9068650000000003</v>
      </c>
      <c r="E20" s="8">
        <f>'Pit Inventory'!D20</f>
        <v>3.1226470000000002</v>
      </c>
      <c r="F20" s="8">
        <f>'Pit Inventory'!C20</f>
        <v>0.78421799999999997</v>
      </c>
      <c r="G20" s="8">
        <f>'Pit Inventory'!E20</f>
        <v>59.52</v>
      </c>
      <c r="H20" s="8">
        <f>'Pit Inventory'!F20</f>
        <v>4.55</v>
      </c>
      <c r="I20" s="8">
        <f>'Pit Inventory'!G20</f>
        <v>1.73</v>
      </c>
      <c r="J20" s="8">
        <f t="shared" si="1"/>
        <v>40.479999999999997</v>
      </c>
      <c r="K20" s="11">
        <f t="shared" si="2"/>
        <v>0</v>
      </c>
      <c r="L20" s="11">
        <f t="shared" si="3"/>
        <v>1</v>
      </c>
      <c r="M20" s="11">
        <f t="shared" si="4"/>
        <v>1</v>
      </c>
      <c r="N20" s="11">
        <f t="shared" si="5"/>
        <v>0</v>
      </c>
    </row>
    <row r="21" spans="1:14" x14ac:dyDescent="0.25">
      <c r="A21" s="9">
        <f>'Pit Inventory'!A21</f>
        <v>2</v>
      </c>
      <c r="B21" s="9">
        <f>'Pit Inventory'!B21</f>
        <v>396</v>
      </c>
      <c r="C21" s="91">
        <f t="shared" si="6"/>
        <v>15.784580503810011</v>
      </c>
      <c r="D21" s="8">
        <f t="shared" si="0"/>
        <v>3.4019570000000003</v>
      </c>
      <c r="E21" s="8">
        <f>'Pit Inventory'!D21</f>
        <v>2.4950990000000002</v>
      </c>
      <c r="F21" s="8">
        <f>'Pit Inventory'!C21</f>
        <v>0.90685800000000005</v>
      </c>
      <c r="G21" s="8">
        <f>'Pit Inventory'!E21</f>
        <v>59.21</v>
      </c>
      <c r="H21" s="8">
        <f>'Pit Inventory'!F21</f>
        <v>5.22</v>
      </c>
      <c r="I21" s="8">
        <f>'Pit Inventory'!G21</f>
        <v>1.57</v>
      </c>
      <c r="J21" s="8">
        <f t="shared" si="1"/>
        <v>40.79</v>
      </c>
      <c r="K21" s="11">
        <f t="shared" si="2"/>
        <v>0</v>
      </c>
      <c r="L21" s="11">
        <f t="shared" si="3"/>
        <v>1</v>
      </c>
      <c r="M21" s="11">
        <f t="shared" si="4"/>
        <v>1</v>
      </c>
      <c r="N21" s="11">
        <f t="shared" si="5"/>
        <v>0</v>
      </c>
    </row>
    <row r="22" spans="1:14" x14ac:dyDescent="0.25">
      <c r="A22" s="9">
        <f>'Pit Inventory'!A22</f>
        <v>2</v>
      </c>
      <c r="B22" s="9">
        <f>'Pit Inventory'!B22</f>
        <v>384</v>
      </c>
      <c r="C22" s="91">
        <f t="shared" si="6"/>
        <v>16.73635482185373</v>
      </c>
      <c r="D22" s="8">
        <f t="shared" si="0"/>
        <v>2.9510019999999999</v>
      </c>
      <c r="E22" s="8">
        <f>'Pit Inventory'!D22</f>
        <v>2.1216810000000002</v>
      </c>
      <c r="F22" s="8">
        <f>'Pit Inventory'!C22</f>
        <v>0.82932099999999997</v>
      </c>
      <c r="G22" s="8">
        <f>'Pit Inventory'!E22</f>
        <v>59.55</v>
      </c>
      <c r="H22" s="8">
        <f>'Pit Inventory'!F22</f>
        <v>5.13</v>
      </c>
      <c r="I22" s="8">
        <f>'Pit Inventory'!G22</f>
        <v>1.49</v>
      </c>
      <c r="J22" s="8">
        <f t="shared" si="1"/>
        <v>40.450000000000003</v>
      </c>
      <c r="K22" s="11">
        <f t="shared" si="2"/>
        <v>0</v>
      </c>
      <c r="L22" s="11">
        <f t="shared" si="3"/>
        <v>1</v>
      </c>
      <c r="M22" s="11">
        <f t="shared" si="4"/>
        <v>1</v>
      </c>
      <c r="N22" s="11">
        <f t="shared" si="5"/>
        <v>0</v>
      </c>
    </row>
    <row r="23" spans="1:14" x14ac:dyDescent="0.25">
      <c r="A23" s="9">
        <f>'Pit Inventory'!A23</f>
        <v>2</v>
      </c>
      <c r="B23" s="9">
        <f>'Pit Inventory'!B23</f>
        <v>372</v>
      </c>
      <c r="C23" s="91">
        <f t="shared" si="6"/>
        <v>16.881786507319088</v>
      </c>
      <c r="D23" s="8">
        <f t="shared" si="0"/>
        <v>2.5335809999999999</v>
      </c>
      <c r="E23" s="8">
        <f>'Pit Inventory'!D23</f>
        <v>1.8173049999999999</v>
      </c>
      <c r="F23" s="8">
        <f>'Pit Inventory'!C23</f>
        <v>0.71627600000000002</v>
      </c>
      <c r="G23" s="8">
        <f>'Pit Inventory'!E23</f>
        <v>59.71</v>
      </c>
      <c r="H23" s="8">
        <f>'Pit Inventory'!F23</f>
        <v>4.91</v>
      </c>
      <c r="I23" s="8">
        <f>'Pit Inventory'!G23</f>
        <v>1.35</v>
      </c>
      <c r="J23" s="8">
        <f t="shared" si="1"/>
        <v>40.29</v>
      </c>
      <c r="K23" s="11">
        <f t="shared" si="2"/>
        <v>0</v>
      </c>
      <c r="L23" s="11">
        <f t="shared" si="3"/>
        <v>1</v>
      </c>
      <c r="M23" s="11">
        <f t="shared" si="4"/>
        <v>1</v>
      </c>
      <c r="N23" s="11">
        <f t="shared" si="5"/>
        <v>0</v>
      </c>
    </row>
    <row r="24" spans="1:14" x14ac:dyDescent="0.25">
      <c r="A24" s="9">
        <f>'Pit Inventory'!A24</f>
        <v>2</v>
      </c>
      <c r="B24" s="9">
        <f>'Pit Inventory'!B24</f>
        <v>360</v>
      </c>
      <c r="C24" s="91">
        <f t="shared" si="6"/>
        <v>19.360397329409025</v>
      </c>
      <c r="D24" s="8">
        <f t="shared" si="0"/>
        <v>2.1676850000000001</v>
      </c>
      <c r="E24" s="8">
        <f>'Pit Inventory'!D24</f>
        <v>1.463573</v>
      </c>
      <c r="F24" s="8">
        <f>'Pit Inventory'!C24</f>
        <v>0.70411199999999996</v>
      </c>
      <c r="G24" s="8">
        <f>'Pit Inventory'!E24</f>
        <v>59.6</v>
      </c>
      <c r="H24" s="8">
        <f>'Pit Inventory'!F24</f>
        <v>5.01</v>
      </c>
      <c r="I24" s="8">
        <f>'Pit Inventory'!G24</f>
        <v>1.27</v>
      </c>
      <c r="J24" s="8">
        <f t="shared" si="1"/>
        <v>40.4</v>
      </c>
      <c r="K24" s="11">
        <f t="shared" si="2"/>
        <v>0</v>
      </c>
      <c r="L24" s="11">
        <f t="shared" si="3"/>
        <v>1</v>
      </c>
      <c r="M24" s="11">
        <f t="shared" si="4"/>
        <v>1</v>
      </c>
      <c r="N24" s="11">
        <f t="shared" si="5"/>
        <v>0</v>
      </c>
    </row>
    <row r="25" spans="1:14" x14ac:dyDescent="0.25">
      <c r="A25" s="9">
        <f>'Pit Inventory'!A25</f>
        <v>2</v>
      </c>
      <c r="B25" s="9">
        <f>'Pit Inventory'!B25</f>
        <v>348</v>
      </c>
      <c r="C25" s="91">
        <f t="shared" si="6"/>
        <v>21.517744623060281</v>
      </c>
      <c r="D25" s="8">
        <f t="shared" si="0"/>
        <v>1.7646189999999999</v>
      </c>
      <c r="E25" s="8">
        <f>'Pit Inventory'!D25</f>
        <v>1.1283049999999999</v>
      </c>
      <c r="F25" s="8">
        <f>'Pit Inventory'!C25</f>
        <v>0.63631400000000005</v>
      </c>
      <c r="G25" s="8">
        <f>'Pit Inventory'!E25</f>
        <v>59.67</v>
      </c>
      <c r="H25" s="8">
        <f>'Pit Inventory'!F25</f>
        <v>5.25</v>
      </c>
      <c r="I25" s="8">
        <f>'Pit Inventory'!G25</f>
        <v>1.22</v>
      </c>
      <c r="J25" s="8">
        <f t="shared" si="1"/>
        <v>40.33</v>
      </c>
      <c r="K25" s="11">
        <f t="shared" si="2"/>
        <v>0</v>
      </c>
      <c r="L25" s="11">
        <f t="shared" si="3"/>
        <v>1</v>
      </c>
      <c r="M25" s="11">
        <f t="shared" si="4"/>
        <v>1</v>
      </c>
      <c r="N25" s="11">
        <f t="shared" si="5"/>
        <v>0</v>
      </c>
    </row>
    <row r="26" spans="1:14" x14ac:dyDescent="0.25">
      <c r="A26" s="9">
        <f>'Pit Inventory'!A26</f>
        <v>2</v>
      </c>
      <c r="B26" s="9">
        <f>'Pit Inventory'!B26</f>
        <v>336</v>
      </c>
      <c r="C26" s="91">
        <f t="shared" si="6"/>
        <v>27.580752862345847</v>
      </c>
      <c r="D26" s="8">
        <f t="shared" si="0"/>
        <v>1.3228659999999999</v>
      </c>
      <c r="E26" s="8">
        <f>'Pit Inventory'!D26</f>
        <v>0.71102100000000001</v>
      </c>
      <c r="F26" s="8">
        <f>'Pit Inventory'!C26</f>
        <v>0.61184499999999997</v>
      </c>
      <c r="G26" s="8">
        <f>'Pit Inventory'!E26</f>
        <v>59.63</v>
      </c>
      <c r="H26" s="8">
        <f>'Pit Inventory'!F26</f>
        <v>5.69</v>
      </c>
      <c r="I26" s="8">
        <f>'Pit Inventory'!G26</f>
        <v>1.19</v>
      </c>
      <c r="J26" s="8">
        <f t="shared" si="1"/>
        <v>40.369999999999997</v>
      </c>
      <c r="K26" s="11">
        <f t="shared" si="2"/>
        <v>0</v>
      </c>
      <c r="L26" s="11">
        <f t="shared" si="3"/>
        <v>1</v>
      </c>
      <c r="M26" s="11">
        <f t="shared" si="4"/>
        <v>1</v>
      </c>
      <c r="N26" s="11">
        <f t="shared" si="5"/>
        <v>0</v>
      </c>
    </row>
    <row r="27" spans="1:14" x14ac:dyDescent="0.25">
      <c r="A27" s="9">
        <f>'Pit Inventory'!A27</f>
        <v>2</v>
      </c>
      <c r="B27" s="9">
        <f>'Pit Inventory'!B27</f>
        <v>324</v>
      </c>
      <c r="C27" s="91">
        <f t="shared" si="6"/>
        <v>26.646581061490618</v>
      </c>
      <c r="D27" s="8">
        <f t="shared" si="0"/>
        <v>0.99262300000000003</v>
      </c>
      <c r="E27" s="8">
        <f>'Pit Inventory'!D27</f>
        <v>0.54892200000000002</v>
      </c>
      <c r="F27" s="8">
        <f>'Pit Inventory'!C27</f>
        <v>0.44370100000000001</v>
      </c>
      <c r="G27" s="8">
        <f>'Pit Inventory'!E27</f>
        <v>59.61</v>
      </c>
      <c r="H27" s="8">
        <f>'Pit Inventory'!F27</f>
        <v>5.58</v>
      </c>
      <c r="I27" s="8">
        <f>'Pit Inventory'!G27</f>
        <v>1.29</v>
      </c>
      <c r="J27" s="8">
        <f t="shared" si="1"/>
        <v>40.39</v>
      </c>
      <c r="K27" s="11">
        <f t="shared" si="2"/>
        <v>0</v>
      </c>
      <c r="L27" s="11">
        <f t="shared" si="3"/>
        <v>1</v>
      </c>
      <c r="M27" s="11">
        <f t="shared" si="4"/>
        <v>1</v>
      </c>
      <c r="N27" s="11">
        <f t="shared" si="5"/>
        <v>0</v>
      </c>
    </row>
    <row r="28" spans="1:14" x14ac:dyDescent="0.25">
      <c r="A28" s="9">
        <f>'Pit Inventory'!A28</f>
        <v>2</v>
      </c>
      <c r="B28" s="9">
        <f>'Pit Inventory'!B28</f>
        <v>312</v>
      </c>
      <c r="C28" s="91">
        <f t="shared" si="6"/>
        <v>21.511016295073922</v>
      </c>
      <c r="D28" s="8">
        <f t="shared" si="0"/>
        <v>0.67627800000000005</v>
      </c>
      <c r="E28" s="8">
        <f>'Pit Inventory'!D28</f>
        <v>0.43220500000000001</v>
      </c>
      <c r="F28" s="8">
        <f>'Pit Inventory'!C28</f>
        <v>0.24407300000000001</v>
      </c>
      <c r="G28" s="8">
        <f>'Pit Inventory'!E28</f>
        <v>59.6</v>
      </c>
      <c r="H28" s="8">
        <f>'Pit Inventory'!F28</f>
        <v>5.64</v>
      </c>
      <c r="I28" s="8">
        <f>'Pit Inventory'!G28</f>
        <v>1.24</v>
      </c>
      <c r="J28" s="8">
        <f t="shared" si="1"/>
        <v>40.4</v>
      </c>
      <c r="K28" s="11">
        <f t="shared" si="2"/>
        <v>0</v>
      </c>
      <c r="L28" s="11">
        <f t="shared" si="3"/>
        <v>1</v>
      </c>
      <c r="M28" s="11">
        <f t="shared" si="4"/>
        <v>1</v>
      </c>
      <c r="N28" s="11">
        <f t="shared" si="5"/>
        <v>0</v>
      </c>
    </row>
    <row r="29" spans="1:14" x14ac:dyDescent="0.25">
      <c r="A29" s="9">
        <f>'Pit Inventory'!A29</f>
        <v>2</v>
      </c>
      <c r="B29" s="9">
        <f>'Pit Inventory'!B29</f>
        <v>300</v>
      </c>
      <c r="C29" s="91">
        <f t="shared" si="6"/>
        <v>20.578037357712194</v>
      </c>
      <c r="D29" s="8">
        <f t="shared" si="0"/>
        <v>0.31415199999999999</v>
      </c>
      <c r="E29" s="8">
        <f>'Pit Inventory'!D29</f>
        <v>0.20436399999999999</v>
      </c>
      <c r="F29" s="8">
        <f>'Pit Inventory'!C29</f>
        <v>0.109788</v>
      </c>
      <c r="G29" s="8">
        <f>'Pit Inventory'!E29</f>
        <v>58.88</v>
      </c>
      <c r="H29" s="8">
        <f>'Pit Inventory'!F29</f>
        <v>6.61</v>
      </c>
      <c r="I29" s="8">
        <f>'Pit Inventory'!G29</f>
        <v>1.22</v>
      </c>
      <c r="J29" s="8">
        <f t="shared" si="1"/>
        <v>41.12</v>
      </c>
      <c r="K29" s="11">
        <f t="shared" si="2"/>
        <v>0</v>
      </c>
      <c r="L29" s="11">
        <f t="shared" si="3"/>
        <v>1</v>
      </c>
      <c r="M29" s="11">
        <f t="shared" si="4"/>
        <v>1</v>
      </c>
      <c r="N29" s="11">
        <f t="shared" si="5"/>
        <v>0</v>
      </c>
    </row>
    <row r="30" spans="1:14" x14ac:dyDescent="0.25">
      <c r="A30" s="9">
        <f>'Pit Inventory'!A30</f>
        <v>3</v>
      </c>
      <c r="B30" s="9">
        <f>'Pit Inventory'!B30</f>
        <v>528</v>
      </c>
      <c r="C30" s="91">
        <f t="shared" si="6"/>
        <v>0.16301156342129355</v>
      </c>
      <c r="D30" s="8">
        <f t="shared" si="0"/>
        <v>0.88157300000000005</v>
      </c>
      <c r="E30" s="8">
        <f>'Pit Inventory'!D30</f>
        <v>0.87899400000000005</v>
      </c>
      <c r="F30" s="8">
        <f>'Pit Inventory'!C30</f>
        <v>2.5790000000000001E-3</v>
      </c>
      <c r="G30" s="8">
        <f>'Pit Inventory'!E30</f>
        <v>55.38</v>
      </c>
      <c r="H30" s="8">
        <f>'Pit Inventory'!F30</f>
        <v>7.06</v>
      </c>
      <c r="I30" s="8">
        <f>'Pit Inventory'!G30</f>
        <v>2.97</v>
      </c>
      <c r="J30" s="8">
        <f t="shared" si="1"/>
        <v>44.62</v>
      </c>
      <c r="K30" s="11">
        <f t="shared" si="2"/>
        <v>1</v>
      </c>
      <c r="L30" s="11">
        <f t="shared" si="3"/>
        <v>0</v>
      </c>
      <c r="M30" s="11">
        <f t="shared" si="4"/>
        <v>1</v>
      </c>
      <c r="N30" s="11">
        <f t="shared" si="5"/>
        <v>0</v>
      </c>
    </row>
    <row r="31" spans="1:14" x14ac:dyDescent="0.25">
      <c r="A31" s="9">
        <f>'Pit Inventory'!A31</f>
        <v>3</v>
      </c>
      <c r="B31" s="9">
        <f>'Pit Inventory'!B31</f>
        <v>516</v>
      </c>
      <c r="C31" s="91">
        <f t="shared" si="6"/>
        <v>1E-3</v>
      </c>
      <c r="D31" s="8">
        <f t="shared" si="0"/>
        <v>4.1399999999999996E-3</v>
      </c>
      <c r="E31" s="8">
        <f>'Pit Inventory'!D31</f>
        <v>4.1399999999999996E-3</v>
      </c>
      <c r="F31" s="8">
        <f>'Pit Inventory'!C31</f>
        <v>0</v>
      </c>
      <c r="G31" s="8">
        <f>'Pit Inventory'!E31</f>
        <v>0</v>
      </c>
      <c r="H31" s="8">
        <f>'Pit Inventory'!F31</f>
        <v>0</v>
      </c>
      <c r="I31" s="8">
        <f>'Pit Inventory'!G31</f>
        <v>0</v>
      </c>
      <c r="J31" s="8">
        <f t="shared" si="1"/>
        <v>100</v>
      </c>
      <c r="K31" s="11">
        <f t="shared" si="2"/>
        <v>1</v>
      </c>
      <c r="L31" s="11">
        <f t="shared" si="3"/>
        <v>0</v>
      </c>
      <c r="M31" s="11">
        <f t="shared" si="4"/>
        <v>1</v>
      </c>
      <c r="N31" s="11">
        <f t="shared" si="5"/>
        <v>0</v>
      </c>
    </row>
    <row r="32" spans="1:14" x14ac:dyDescent="0.25">
      <c r="A32" s="9">
        <f>'Pit Inventory'!A32</f>
        <v>4</v>
      </c>
      <c r="B32" s="9">
        <f>'Pit Inventory'!B32</f>
        <v>528</v>
      </c>
      <c r="C32" s="91">
        <f t="shared" si="6"/>
        <v>1.1614039170007584</v>
      </c>
      <c r="D32" s="8">
        <f t="shared" si="0"/>
        <v>0.73831999999999998</v>
      </c>
      <c r="E32" s="8">
        <f>'Pit Inventory'!D32</f>
        <v>0.722858</v>
      </c>
      <c r="F32" s="8">
        <f>'Pit Inventory'!C32</f>
        <v>1.5462E-2</v>
      </c>
      <c r="G32" s="8">
        <f>'Pit Inventory'!E32</f>
        <v>55.41</v>
      </c>
      <c r="H32" s="8">
        <f>'Pit Inventory'!F32</f>
        <v>7.09</v>
      </c>
      <c r="I32" s="8">
        <f>'Pit Inventory'!G32</f>
        <v>2.93</v>
      </c>
      <c r="J32" s="8">
        <f t="shared" si="1"/>
        <v>44.59</v>
      </c>
      <c r="K32" s="11">
        <f t="shared" si="2"/>
        <v>0</v>
      </c>
      <c r="L32" s="11">
        <f t="shared" si="3"/>
        <v>1</v>
      </c>
      <c r="M32" s="11">
        <f t="shared" si="4"/>
        <v>1</v>
      </c>
      <c r="N32" s="11">
        <f t="shared" si="5"/>
        <v>0</v>
      </c>
    </row>
    <row r="33" spans="1:14" x14ac:dyDescent="0.25">
      <c r="A33" s="9">
        <f>'Pit Inventory'!A33</f>
        <v>4</v>
      </c>
      <c r="B33" s="9">
        <f>'Pit Inventory'!B33</f>
        <v>516</v>
      </c>
      <c r="C33" s="91">
        <f t="shared" si="6"/>
        <v>2.0129286951259129</v>
      </c>
      <c r="D33" s="8">
        <f t="shared" si="0"/>
        <v>4.5803039999999999</v>
      </c>
      <c r="E33" s="8">
        <f>'Pit Inventory'!D33</f>
        <v>4.4144129999999997</v>
      </c>
      <c r="F33" s="8">
        <f>'Pit Inventory'!C33</f>
        <v>0.16589100000000001</v>
      </c>
      <c r="G33" s="8">
        <f>'Pit Inventory'!E33</f>
        <v>55.55</v>
      </c>
      <c r="H33" s="8">
        <f>'Pit Inventory'!F33</f>
        <v>6.79</v>
      </c>
      <c r="I33" s="8">
        <f>'Pit Inventory'!G33</f>
        <v>2.87</v>
      </c>
      <c r="J33" s="8">
        <f t="shared" si="1"/>
        <v>44.45</v>
      </c>
      <c r="K33" s="11">
        <f t="shared" si="2"/>
        <v>0</v>
      </c>
      <c r="L33" s="11">
        <f t="shared" si="3"/>
        <v>1</v>
      </c>
      <c r="M33" s="11">
        <f t="shared" si="4"/>
        <v>1</v>
      </c>
      <c r="N33" s="11">
        <f t="shared" si="5"/>
        <v>0</v>
      </c>
    </row>
    <row r="34" spans="1:14" x14ac:dyDescent="0.25">
      <c r="A34" s="9">
        <f>'Pit Inventory'!A34</f>
        <v>4</v>
      </c>
      <c r="B34" s="9">
        <f>'Pit Inventory'!B34</f>
        <v>504</v>
      </c>
      <c r="C34" s="91">
        <f t="shared" si="6"/>
        <v>3.2269035979853826</v>
      </c>
      <c r="D34" s="8">
        <f t="shared" si="0"/>
        <v>7.2702629999999999</v>
      </c>
      <c r="E34" s="8">
        <f>'Pit Inventory'!D34</f>
        <v>6.8498799999999997</v>
      </c>
      <c r="F34" s="8">
        <f>'Pit Inventory'!C34</f>
        <v>0.42038300000000001</v>
      </c>
      <c r="G34" s="8">
        <f>'Pit Inventory'!E34</f>
        <v>55.79</v>
      </c>
      <c r="H34" s="8">
        <f>'Pit Inventory'!F34</f>
        <v>6.8</v>
      </c>
      <c r="I34" s="8">
        <f>'Pit Inventory'!G34</f>
        <v>2.87</v>
      </c>
      <c r="J34" s="8">
        <f t="shared" si="1"/>
        <v>44.21</v>
      </c>
      <c r="K34" s="11">
        <f t="shared" si="2"/>
        <v>0</v>
      </c>
      <c r="L34" s="11">
        <f t="shared" si="3"/>
        <v>1</v>
      </c>
      <c r="M34" s="11">
        <f t="shared" si="4"/>
        <v>1</v>
      </c>
      <c r="N34" s="11">
        <f t="shared" si="5"/>
        <v>0</v>
      </c>
    </row>
    <row r="35" spans="1:14" x14ac:dyDescent="0.25">
      <c r="A35" s="9">
        <f>'Pit Inventory'!A35</f>
        <v>4</v>
      </c>
      <c r="B35" s="9">
        <f>'Pit Inventory'!B35</f>
        <v>492</v>
      </c>
      <c r="C35" s="91">
        <f t="shared" si="6"/>
        <v>7.1108325668695089</v>
      </c>
      <c r="D35" s="8">
        <f t="shared" si="0"/>
        <v>6.6895959999999999</v>
      </c>
      <c r="E35" s="8">
        <f>'Pit Inventory'!D35</f>
        <v>5.857221</v>
      </c>
      <c r="F35" s="8">
        <f>'Pit Inventory'!C35</f>
        <v>0.83237499999999998</v>
      </c>
      <c r="G35" s="8">
        <f>'Pit Inventory'!E35</f>
        <v>57.14</v>
      </c>
      <c r="H35" s="8">
        <f>'Pit Inventory'!F35</f>
        <v>5.35</v>
      </c>
      <c r="I35" s="8">
        <f>'Pit Inventory'!G35</f>
        <v>2.67</v>
      </c>
      <c r="J35" s="8">
        <f t="shared" si="1"/>
        <v>42.86</v>
      </c>
      <c r="K35" s="11">
        <f t="shared" si="2"/>
        <v>0</v>
      </c>
      <c r="L35" s="11">
        <f t="shared" si="3"/>
        <v>1</v>
      </c>
      <c r="M35" s="11">
        <f t="shared" si="4"/>
        <v>1</v>
      </c>
      <c r="N35" s="11">
        <f t="shared" si="5"/>
        <v>0</v>
      </c>
    </row>
    <row r="36" spans="1:14" x14ac:dyDescent="0.25">
      <c r="A36" s="9">
        <f>'Pit Inventory'!A36</f>
        <v>4</v>
      </c>
      <c r="B36" s="9">
        <f>'Pit Inventory'!B36</f>
        <v>480</v>
      </c>
      <c r="C36" s="91">
        <f t="shared" si="6"/>
        <v>10.139626831653576</v>
      </c>
      <c r="D36" s="8">
        <f t="shared" si="0"/>
        <v>5.9020440000000001</v>
      </c>
      <c r="E36" s="8">
        <f>'Pit Inventory'!D36</f>
        <v>4.8680260000000004</v>
      </c>
      <c r="F36" s="8">
        <f>'Pit Inventory'!C36</f>
        <v>1.0340180000000001</v>
      </c>
      <c r="G36" s="8">
        <f>'Pit Inventory'!E36</f>
        <v>57.87</v>
      </c>
      <c r="H36" s="8">
        <f>'Pit Inventory'!F36</f>
        <v>4.68</v>
      </c>
      <c r="I36" s="8">
        <f>'Pit Inventory'!G36</f>
        <v>2.5299999999999998</v>
      </c>
      <c r="J36" s="8">
        <f t="shared" si="1"/>
        <v>42.13</v>
      </c>
      <c r="K36" s="11">
        <f t="shared" si="2"/>
        <v>0</v>
      </c>
      <c r="L36" s="11">
        <f t="shared" si="3"/>
        <v>1</v>
      </c>
      <c r="M36" s="11">
        <f t="shared" si="4"/>
        <v>1</v>
      </c>
      <c r="N36" s="11">
        <f t="shared" si="5"/>
        <v>0</v>
      </c>
    </row>
    <row r="37" spans="1:14" x14ac:dyDescent="0.25">
      <c r="A37" s="9">
        <f>'Pit Inventory'!A37</f>
        <v>4</v>
      </c>
      <c r="B37" s="9">
        <f>'Pit Inventory'!B37</f>
        <v>468</v>
      </c>
      <c r="C37" s="91">
        <f t="shared" si="6"/>
        <v>12.662177967446029</v>
      </c>
      <c r="D37" s="8">
        <f t="shared" si="0"/>
        <v>5.1881230000000009</v>
      </c>
      <c r="E37" s="8">
        <f>'Pit Inventory'!D37</f>
        <v>4.0567460000000004</v>
      </c>
      <c r="F37" s="8">
        <f>'Pit Inventory'!C37</f>
        <v>1.1313770000000001</v>
      </c>
      <c r="G37" s="8">
        <f>'Pit Inventory'!E37</f>
        <v>58.06</v>
      </c>
      <c r="H37" s="8">
        <f>'Pit Inventory'!F37</f>
        <v>4.7699999999999996</v>
      </c>
      <c r="I37" s="8">
        <f>'Pit Inventory'!G37</f>
        <v>2.41</v>
      </c>
      <c r="J37" s="8">
        <f t="shared" si="1"/>
        <v>41.94</v>
      </c>
      <c r="K37" s="11">
        <f t="shared" si="2"/>
        <v>0</v>
      </c>
      <c r="L37" s="11">
        <f t="shared" si="3"/>
        <v>1</v>
      </c>
      <c r="M37" s="11">
        <f t="shared" si="4"/>
        <v>1</v>
      </c>
      <c r="N37" s="11">
        <f t="shared" si="5"/>
        <v>0</v>
      </c>
    </row>
    <row r="38" spans="1:14" x14ac:dyDescent="0.25">
      <c r="A38" s="9">
        <f>'Pit Inventory'!A38</f>
        <v>4</v>
      </c>
      <c r="B38" s="9">
        <f>'Pit Inventory'!B38</f>
        <v>456</v>
      </c>
      <c r="C38" s="91">
        <f t="shared" si="6"/>
        <v>14.307519637566113</v>
      </c>
      <c r="D38" s="8">
        <f t="shared" si="0"/>
        <v>4.5369929999999998</v>
      </c>
      <c r="E38" s="8">
        <f>'Pit Inventory'!D38</f>
        <v>3.4199980000000001</v>
      </c>
      <c r="F38" s="8">
        <f>'Pit Inventory'!C38</f>
        <v>1.116995</v>
      </c>
      <c r="G38" s="8">
        <f>'Pit Inventory'!E38</f>
        <v>58.11</v>
      </c>
      <c r="H38" s="8">
        <f>'Pit Inventory'!F38</f>
        <v>4.95</v>
      </c>
      <c r="I38" s="8">
        <f>'Pit Inventory'!G38</f>
        <v>2.29</v>
      </c>
      <c r="J38" s="8">
        <f t="shared" si="1"/>
        <v>41.89</v>
      </c>
      <c r="K38" s="11">
        <f t="shared" si="2"/>
        <v>0</v>
      </c>
      <c r="L38" s="11">
        <f t="shared" si="3"/>
        <v>1</v>
      </c>
      <c r="M38" s="11">
        <f t="shared" si="4"/>
        <v>1</v>
      </c>
      <c r="N38" s="11">
        <f t="shared" si="5"/>
        <v>0</v>
      </c>
    </row>
    <row r="39" spans="1:14" x14ac:dyDescent="0.25">
      <c r="A39" s="9">
        <f>'Pit Inventory'!A39</f>
        <v>4</v>
      </c>
      <c r="B39" s="9">
        <f>'Pit Inventory'!B39</f>
        <v>444</v>
      </c>
      <c r="C39" s="91">
        <f t="shared" si="6"/>
        <v>16.18740525842691</v>
      </c>
      <c r="D39" s="8">
        <f t="shared" si="0"/>
        <v>3.8992649999999998</v>
      </c>
      <c r="E39" s="8">
        <f>'Pit Inventory'!D39</f>
        <v>2.8101349999999998</v>
      </c>
      <c r="F39" s="8">
        <f>'Pit Inventory'!C39</f>
        <v>1.0891299999999999</v>
      </c>
      <c r="G39" s="8">
        <f>'Pit Inventory'!E39</f>
        <v>57.95</v>
      </c>
      <c r="H39" s="8">
        <f>'Pit Inventory'!F39</f>
        <v>5.46</v>
      </c>
      <c r="I39" s="8">
        <f>'Pit Inventory'!G39</f>
        <v>2.29</v>
      </c>
      <c r="J39" s="8">
        <f t="shared" si="1"/>
        <v>42.05</v>
      </c>
      <c r="K39" s="11">
        <f t="shared" si="2"/>
        <v>0</v>
      </c>
      <c r="L39" s="11">
        <f t="shared" si="3"/>
        <v>1</v>
      </c>
      <c r="M39" s="11">
        <f t="shared" si="4"/>
        <v>1</v>
      </c>
      <c r="N39" s="11">
        <f t="shared" si="5"/>
        <v>0</v>
      </c>
    </row>
    <row r="40" spans="1:14" x14ac:dyDescent="0.25">
      <c r="A40" s="9">
        <f>'Pit Inventory'!A40</f>
        <v>4</v>
      </c>
      <c r="B40" s="9">
        <f>'Pit Inventory'!B40</f>
        <v>432</v>
      </c>
      <c r="C40" s="91">
        <f t="shared" si="6"/>
        <v>17.116313387028129</v>
      </c>
      <c r="D40" s="8">
        <f t="shared" si="0"/>
        <v>3.2823790000000002</v>
      </c>
      <c r="E40" s="8">
        <f>'Pit Inventory'!D40</f>
        <v>2.308065</v>
      </c>
      <c r="F40" s="8">
        <f>'Pit Inventory'!C40</f>
        <v>0.97431400000000001</v>
      </c>
      <c r="G40" s="8">
        <f>'Pit Inventory'!E40</f>
        <v>57.66</v>
      </c>
      <c r="H40" s="8">
        <f>'Pit Inventory'!F40</f>
        <v>5.75</v>
      </c>
      <c r="I40" s="8">
        <f>'Pit Inventory'!G40</f>
        <v>2.35</v>
      </c>
      <c r="J40" s="8">
        <f t="shared" si="1"/>
        <v>42.34</v>
      </c>
      <c r="K40" s="11">
        <f t="shared" si="2"/>
        <v>0</v>
      </c>
      <c r="L40" s="11">
        <f t="shared" si="3"/>
        <v>1</v>
      </c>
      <c r="M40" s="11">
        <f t="shared" si="4"/>
        <v>1</v>
      </c>
      <c r="N40" s="11">
        <f t="shared" si="5"/>
        <v>0</v>
      </c>
    </row>
    <row r="41" spans="1:14" x14ac:dyDescent="0.25">
      <c r="A41" s="9">
        <f>'Pit Inventory'!A41</f>
        <v>4</v>
      </c>
      <c r="B41" s="9">
        <f>'Pit Inventory'!B41</f>
        <v>420</v>
      </c>
      <c r="C41" s="91">
        <f t="shared" si="6"/>
        <v>16.5854639830943</v>
      </c>
      <c r="D41" s="8">
        <f t="shared" si="0"/>
        <v>2.6329579999999999</v>
      </c>
      <c r="E41" s="8">
        <f>'Pit Inventory'!D41</f>
        <v>1.871294</v>
      </c>
      <c r="F41" s="8">
        <f>'Pit Inventory'!C41</f>
        <v>0.76166400000000001</v>
      </c>
      <c r="G41" s="8">
        <f>'Pit Inventory'!E41</f>
        <v>57.33</v>
      </c>
      <c r="H41" s="8">
        <f>'Pit Inventory'!F41</f>
        <v>6.01</v>
      </c>
      <c r="I41" s="8">
        <f>'Pit Inventory'!G41</f>
        <v>2.4</v>
      </c>
      <c r="J41" s="8">
        <f t="shared" si="1"/>
        <v>42.67</v>
      </c>
      <c r="K41" s="11">
        <f t="shared" si="2"/>
        <v>0</v>
      </c>
      <c r="L41" s="11">
        <f t="shared" si="3"/>
        <v>1</v>
      </c>
      <c r="M41" s="11">
        <f t="shared" si="4"/>
        <v>1</v>
      </c>
      <c r="N41" s="11">
        <f t="shared" si="5"/>
        <v>0</v>
      </c>
    </row>
    <row r="42" spans="1:14" x14ac:dyDescent="0.25">
      <c r="A42" s="9">
        <f>'Pit Inventory'!A42</f>
        <v>4</v>
      </c>
      <c r="B42" s="9">
        <f>'Pit Inventory'!B42</f>
        <v>408</v>
      </c>
      <c r="C42" s="91">
        <f t="shared" si="6"/>
        <v>16.475111225120646</v>
      </c>
      <c r="D42" s="8">
        <f t="shared" si="0"/>
        <v>1.858519</v>
      </c>
      <c r="E42" s="8">
        <f>'Pit Inventory'!D42</f>
        <v>1.3247420000000001</v>
      </c>
      <c r="F42" s="8">
        <f>'Pit Inventory'!C42</f>
        <v>0.53377699999999995</v>
      </c>
      <c r="G42" s="8">
        <f>'Pit Inventory'!E42</f>
        <v>57.36</v>
      </c>
      <c r="H42" s="8">
        <f>'Pit Inventory'!F42</f>
        <v>5.96</v>
      </c>
      <c r="I42" s="8">
        <f>'Pit Inventory'!G42</f>
        <v>2.5299999999999998</v>
      </c>
      <c r="J42" s="8">
        <f t="shared" si="1"/>
        <v>42.64</v>
      </c>
      <c r="K42" s="11">
        <f t="shared" si="2"/>
        <v>0</v>
      </c>
      <c r="L42" s="11">
        <f t="shared" si="3"/>
        <v>1</v>
      </c>
      <c r="M42" s="11">
        <f t="shared" si="4"/>
        <v>1</v>
      </c>
      <c r="N42" s="11">
        <f t="shared" si="5"/>
        <v>0</v>
      </c>
    </row>
    <row r="43" spans="1:14" x14ac:dyDescent="0.25">
      <c r="A43" s="9">
        <f>'Pit Inventory'!A43</f>
        <v>4</v>
      </c>
      <c r="B43" s="9">
        <f>'Pit Inventory'!B43</f>
        <v>396</v>
      </c>
      <c r="C43" s="91">
        <f t="shared" si="6"/>
        <v>16.550082150587066</v>
      </c>
      <c r="D43" s="8">
        <f t="shared" si="0"/>
        <v>0.93976199999999999</v>
      </c>
      <c r="E43" s="8">
        <f>'Pit Inventory'!D43</f>
        <v>0.67258799999999996</v>
      </c>
      <c r="F43" s="8">
        <f>'Pit Inventory'!C43</f>
        <v>0.26717400000000002</v>
      </c>
      <c r="G43" s="8">
        <f>'Pit Inventory'!E43</f>
        <v>58.21</v>
      </c>
      <c r="H43" s="8">
        <f>'Pit Inventory'!F43</f>
        <v>5.43</v>
      </c>
      <c r="I43" s="8">
        <f>'Pit Inventory'!G43</f>
        <v>2.0299999999999998</v>
      </c>
      <c r="J43" s="8">
        <f t="shared" si="1"/>
        <v>41.79</v>
      </c>
      <c r="K43" s="11">
        <f t="shared" si="2"/>
        <v>0</v>
      </c>
      <c r="L43" s="11">
        <f t="shared" si="3"/>
        <v>1</v>
      </c>
      <c r="M43" s="11">
        <f t="shared" si="4"/>
        <v>1</v>
      </c>
      <c r="N43" s="11">
        <f t="shared" si="5"/>
        <v>0</v>
      </c>
    </row>
    <row r="44" spans="1:14" x14ac:dyDescent="0.25">
      <c r="A44" s="9">
        <f>'Pit Inventory'!A44</f>
        <v>4</v>
      </c>
      <c r="B44" s="9">
        <f>'Pit Inventory'!B44</f>
        <v>384</v>
      </c>
      <c r="C44" s="91">
        <f t="shared" si="6"/>
        <v>21.370120227270867</v>
      </c>
      <c r="D44" s="8">
        <f t="shared" si="0"/>
        <v>0.48787599999999998</v>
      </c>
      <c r="E44" s="8">
        <f>'Pit Inventory'!D44</f>
        <v>0.30858999999999998</v>
      </c>
      <c r="F44" s="8">
        <f>'Pit Inventory'!C44</f>
        <v>0.179286</v>
      </c>
      <c r="G44" s="8">
        <f>'Pit Inventory'!E44</f>
        <v>58.15</v>
      </c>
      <c r="H44" s="8">
        <f>'Pit Inventory'!F44</f>
        <v>5.85</v>
      </c>
      <c r="I44" s="8">
        <f>'Pit Inventory'!G44</f>
        <v>2.16</v>
      </c>
      <c r="J44" s="8">
        <f t="shared" si="1"/>
        <v>41.85</v>
      </c>
      <c r="K44" s="11">
        <f t="shared" si="2"/>
        <v>0</v>
      </c>
      <c r="L44" s="11">
        <f t="shared" si="3"/>
        <v>1</v>
      </c>
      <c r="M44" s="11">
        <f t="shared" si="4"/>
        <v>1</v>
      </c>
      <c r="N44" s="11">
        <f t="shared" si="5"/>
        <v>0</v>
      </c>
    </row>
    <row r="45" spans="1:14" x14ac:dyDescent="0.25">
      <c r="A45" s="9">
        <f>'Pit Inventory'!A45</f>
        <v>4</v>
      </c>
      <c r="B45" s="9">
        <f>'Pit Inventory'!B45</f>
        <v>372</v>
      </c>
      <c r="C45" s="91">
        <f t="shared" si="6"/>
        <v>23.703825740117001</v>
      </c>
      <c r="D45" s="8">
        <f t="shared" si="0"/>
        <v>0.16922999999999999</v>
      </c>
      <c r="E45" s="8">
        <f>'Pit Inventory'!D45</f>
        <v>9.9225999999999995E-2</v>
      </c>
      <c r="F45" s="8">
        <f>'Pit Inventory'!C45</f>
        <v>7.0003999999999997E-2</v>
      </c>
      <c r="G45" s="8">
        <f>'Pit Inventory'!E45</f>
        <v>57.3</v>
      </c>
      <c r="H45" s="8">
        <f>'Pit Inventory'!F45</f>
        <v>6.88</v>
      </c>
      <c r="I45" s="8">
        <f>'Pit Inventory'!G45</f>
        <v>2.29</v>
      </c>
      <c r="J45" s="8">
        <f t="shared" si="1"/>
        <v>42.7</v>
      </c>
      <c r="K45" s="11">
        <f t="shared" si="2"/>
        <v>0</v>
      </c>
      <c r="L45" s="11">
        <f t="shared" si="3"/>
        <v>1</v>
      </c>
      <c r="M45" s="11">
        <f t="shared" si="4"/>
        <v>1</v>
      </c>
      <c r="N45" s="11">
        <f t="shared" si="5"/>
        <v>0</v>
      </c>
    </row>
    <row r="46" spans="1:14" x14ac:dyDescent="0.25">
      <c r="A46" s="9">
        <f>'Pit Inventory'!A46</f>
        <v>4</v>
      </c>
      <c r="B46" s="9">
        <f>'Pit Inventory'!B46</f>
        <v>360</v>
      </c>
      <c r="C46" s="91">
        <f t="shared" si="6"/>
        <v>36.009190109444667</v>
      </c>
      <c r="D46" s="8">
        <f t="shared" si="0"/>
        <v>6.9075999999999999E-2</v>
      </c>
      <c r="E46" s="8">
        <f>'Pit Inventory'!D46</f>
        <v>2.6110000000000001E-2</v>
      </c>
      <c r="F46" s="8">
        <f>'Pit Inventory'!C46</f>
        <v>4.2965999999999997E-2</v>
      </c>
      <c r="G46" s="8">
        <f>'Pit Inventory'!E46</f>
        <v>57.89</v>
      </c>
      <c r="H46" s="8">
        <f>'Pit Inventory'!F46</f>
        <v>5.36</v>
      </c>
      <c r="I46" s="8">
        <f>'Pit Inventory'!G46</f>
        <v>2.19</v>
      </c>
      <c r="J46" s="8">
        <f t="shared" si="1"/>
        <v>42.11</v>
      </c>
      <c r="K46" s="11">
        <f t="shared" si="2"/>
        <v>0</v>
      </c>
      <c r="L46" s="11">
        <f t="shared" si="3"/>
        <v>1</v>
      </c>
      <c r="M46" s="11">
        <f t="shared" si="4"/>
        <v>1</v>
      </c>
      <c r="N46" s="11">
        <f t="shared" si="5"/>
        <v>0</v>
      </c>
    </row>
    <row r="47" spans="1:14" x14ac:dyDescent="0.25">
      <c r="A47" s="9">
        <f>'Pit Inventory'!A47</f>
        <v>5</v>
      </c>
      <c r="B47" s="9">
        <f>'Pit Inventory'!B47</f>
        <v>540</v>
      </c>
      <c r="C47" s="91">
        <f t="shared" si="6"/>
        <v>1E-3</v>
      </c>
      <c r="D47" s="8">
        <f t="shared" si="0"/>
        <v>2.4705999999999999E-2</v>
      </c>
      <c r="E47" s="8">
        <f>'Pit Inventory'!D47</f>
        <v>2.4705999999999999E-2</v>
      </c>
      <c r="F47" s="8">
        <f>'Pit Inventory'!C47</f>
        <v>0</v>
      </c>
      <c r="G47" s="8">
        <f>'Pit Inventory'!E47</f>
        <v>0</v>
      </c>
      <c r="H47" s="8">
        <f>'Pit Inventory'!F47</f>
        <v>0</v>
      </c>
      <c r="I47" s="8">
        <f>'Pit Inventory'!G47</f>
        <v>0</v>
      </c>
      <c r="J47" s="8">
        <f t="shared" si="1"/>
        <v>100</v>
      </c>
      <c r="K47" s="11">
        <f t="shared" si="2"/>
        <v>1</v>
      </c>
      <c r="L47" s="11">
        <f t="shared" si="3"/>
        <v>0</v>
      </c>
      <c r="M47" s="11">
        <f t="shared" si="4"/>
        <v>1</v>
      </c>
      <c r="N47" s="11">
        <f t="shared" si="5"/>
        <v>0</v>
      </c>
    </row>
    <row r="48" spans="1:14" x14ac:dyDescent="0.25">
      <c r="A48" s="9">
        <f>'Pit Inventory'!A48</f>
        <v>5</v>
      </c>
      <c r="B48" s="9">
        <f>'Pit Inventory'!B48</f>
        <v>528</v>
      </c>
      <c r="C48" s="91">
        <f t="shared" si="6"/>
        <v>1.9356521316215101E-2</v>
      </c>
      <c r="D48" s="8">
        <f t="shared" si="0"/>
        <v>0.96637700000000004</v>
      </c>
      <c r="E48" s="8">
        <f>'Pit Inventory'!D48</f>
        <v>0.96606000000000003</v>
      </c>
      <c r="F48" s="8">
        <f>'Pit Inventory'!C48</f>
        <v>3.1700000000000001E-4</v>
      </c>
      <c r="G48" s="8">
        <f>'Pit Inventory'!E48</f>
        <v>55.96</v>
      </c>
      <c r="H48" s="8">
        <f>'Pit Inventory'!F48</f>
        <v>5.86</v>
      </c>
      <c r="I48" s="8">
        <f>'Pit Inventory'!G48</f>
        <v>3.12</v>
      </c>
      <c r="J48" s="8">
        <f t="shared" si="1"/>
        <v>44.04</v>
      </c>
      <c r="K48" s="11">
        <f t="shared" si="2"/>
        <v>1</v>
      </c>
      <c r="L48" s="11">
        <f t="shared" si="3"/>
        <v>0</v>
      </c>
      <c r="M48" s="11">
        <f t="shared" si="4"/>
        <v>1</v>
      </c>
      <c r="N48" s="11">
        <f t="shared" si="5"/>
        <v>0</v>
      </c>
    </row>
    <row r="49" spans="1:14" x14ac:dyDescent="0.25">
      <c r="A49" s="9">
        <f>'Pit Inventory'!A49</f>
        <v>5</v>
      </c>
      <c r="B49" s="9">
        <f>'Pit Inventory'!B49</f>
        <v>516</v>
      </c>
      <c r="C49" s="91">
        <f t="shared" si="6"/>
        <v>5.7448038246447591E-2</v>
      </c>
      <c r="D49" s="8">
        <f t="shared" si="0"/>
        <v>1.8975880000000001</v>
      </c>
      <c r="E49" s="8">
        <f>'Pit Inventory'!D49</f>
        <v>1.89568</v>
      </c>
      <c r="F49" s="8">
        <f>'Pit Inventory'!C49</f>
        <v>1.908E-3</v>
      </c>
      <c r="G49" s="8">
        <f>'Pit Inventory'!E49</f>
        <v>56.14</v>
      </c>
      <c r="H49" s="8">
        <f>'Pit Inventory'!F49</f>
        <v>5.87</v>
      </c>
      <c r="I49" s="8">
        <f>'Pit Inventory'!G49</f>
        <v>2.79</v>
      </c>
      <c r="J49" s="8">
        <f t="shared" si="1"/>
        <v>43.86</v>
      </c>
      <c r="K49" s="11">
        <f t="shared" si="2"/>
        <v>1</v>
      </c>
      <c r="L49" s="11">
        <f t="shared" si="3"/>
        <v>0</v>
      </c>
      <c r="M49" s="11">
        <f t="shared" si="4"/>
        <v>1</v>
      </c>
      <c r="N49" s="11">
        <f t="shared" si="5"/>
        <v>0</v>
      </c>
    </row>
    <row r="50" spans="1:14" x14ac:dyDescent="0.25">
      <c r="A50" s="9">
        <f>'Pit Inventory'!A50</f>
        <v>5</v>
      </c>
      <c r="B50" s="9">
        <f>'Pit Inventory'!B50</f>
        <v>504</v>
      </c>
      <c r="C50" s="91">
        <f t="shared" si="6"/>
        <v>2.3316646346343051E-2</v>
      </c>
      <c r="D50" s="8">
        <f t="shared" si="0"/>
        <v>0.84972400000000003</v>
      </c>
      <c r="E50" s="8">
        <f>'Pit Inventory'!D50</f>
        <v>0.849387</v>
      </c>
      <c r="F50" s="8">
        <f>'Pit Inventory'!C50</f>
        <v>3.3700000000000001E-4</v>
      </c>
      <c r="G50" s="8">
        <f>'Pit Inventory'!E50</f>
        <v>56.27</v>
      </c>
      <c r="H50" s="8">
        <f>'Pit Inventory'!F50</f>
        <v>5.67</v>
      </c>
      <c r="I50" s="8">
        <f>'Pit Inventory'!G50</f>
        <v>2.48</v>
      </c>
      <c r="J50" s="8">
        <f t="shared" si="1"/>
        <v>43.73</v>
      </c>
      <c r="K50" s="11">
        <f t="shared" si="2"/>
        <v>1</v>
      </c>
      <c r="L50" s="11">
        <f t="shared" si="3"/>
        <v>0</v>
      </c>
      <c r="M50" s="11">
        <f t="shared" si="4"/>
        <v>1</v>
      </c>
      <c r="N50" s="11">
        <f t="shared" si="5"/>
        <v>0</v>
      </c>
    </row>
    <row r="51" spans="1:14" x14ac:dyDescent="0.25">
      <c r="A51" s="9">
        <f>'Pit Inventory'!A51</f>
        <v>5</v>
      </c>
      <c r="B51" s="9">
        <f>'Pit Inventory'!B51</f>
        <v>492</v>
      </c>
      <c r="C51" s="91">
        <f t="shared" si="6"/>
        <v>5.8468432070616159E-2</v>
      </c>
      <c r="D51" s="8">
        <f t="shared" si="0"/>
        <v>0.14999400000000002</v>
      </c>
      <c r="E51" s="8">
        <f>'Pit Inventory'!D51</f>
        <v>0.149842</v>
      </c>
      <c r="F51" s="8">
        <f>'Pit Inventory'!C51</f>
        <v>1.5200000000000001E-4</v>
      </c>
      <c r="G51" s="8">
        <f>'Pit Inventory'!E51</f>
        <v>56.71</v>
      </c>
      <c r="H51" s="8">
        <f>'Pit Inventory'!F51</f>
        <v>6.4</v>
      </c>
      <c r="I51" s="8">
        <f>'Pit Inventory'!G51</f>
        <v>2.04</v>
      </c>
      <c r="J51" s="8">
        <f t="shared" si="1"/>
        <v>43.29</v>
      </c>
      <c r="K51" s="11">
        <f t="shared" si="2"/>
        <v>1</v>
      </c>
      <c r="L51" s="11">
        <f t="shared" si="3"/>
        <v>0</v>
      </c>
      <c r="M51" s="11">
        <f t="shared" si="4"/>
        <v>1</v>
      </c>
      <c r="N51" s="11">
        <f t="shared" si="5"/>
        <v>0</v>
      </c>
    </row>
    <row r="52" spans="1:14" x14ac:dyDescent="0.25">
      <c r="A52" s="9">
        <f>'Pit Inventory'!A52</f>
        <v>6</v>
      </c>
      <c r="B52" s="9">
        <f>'Pit Inventory'!B52</f>
        <v>528</v>
      </c>
      <c r="C52" s="91">
        <f t="shared" si="6"/>
        <v>0.22353657150972872</v>
      </c>
      <c r="D52" s="8">
        <f t="shared" si="0"/>
        <v>1.4082000000000001E-2</v>
      </c>
      <c r="E52" s="8">
        <f>'Pit Inventory'!D52</f>
        <v>1.4026E-2</v>
      </c>
      <c r="F52" s="8">
        <f>'Pit Inventory'!C52</f>
        <v>5.5999999999999999E-5</v>
      </c>
      <c r="G52" s="8">
        <f>'Pit Inventory'!E52</f>
        <v>55.96</v>
      </c>
      <c r="H52" s="8">
        <f>'Pit Inventory'!F52</f>
        <v>5.85</v>
      </c>
      <c r="I52" s="8">
        <f>'Pit Inventory'!G52</f>
        <v>3.12</v>
      </c>
      <c r="J52" s="8">
        <f t="shared" si="1"/>
        <v>44.04</v>
      </c>
      <c r="K52" s="11">
        <f t="shared" si="2"/>
        <v>0</v>
      </c>
      <c r="L52" s="11">
        <f t="shared" si="3"/>
        <v>1</v>
      </c>
      <c r="M52" s="11">
        <f t="shared" si="4"/>
        <v>1</v>
      </c>
      <c r="N52" s="11">
        <f t="shared" si="5"/>
        <v>0</v>
      </c>
    </row>
    <row r="53" spans="1:14" x14ac:dyDescent="0.25">
      <c r="A53" s="9">
        <f>'Pit Inventory'!A53</f>
        <v>6</v>
      </c>
      <c r="B53" s="9">
        <f>'Pit Inventory'!B53</f>
        <v>516</v>
      </c>
      <c r="C53" s="91">
        <f t="shared" si="6"/>
        <v>1.7572992200792872</v>
      </c>
      <c r="D53" s="8">
        <f t="shared" si="0"/>
        <v>0.46312400000000004</v>
      </c>
      <c r="E53" s="8">
        <f>'Pit Inventory'!D53</f>
        <v>0.44862000000000002</v>
      </c>
      <c r="F53" s="8">
        <f>'Pit Inventory'!C53</f>
        <v>1.4504E-2</v>
      </c>
      <c r="G53" s="8">
        <f>'Pit Inventory'!E53</f>
        <v>56.08</v>
      </c>
      <c r="H53" s="8">
        <f>'Pit Inventory'!F53</f>
        <v>5.95</v>
      </c>
      <c r="I53" s="8">
        <f>'Pit Inventory'!G53</f>
        <v>2.93</v>
      </c>
      <c r="J53" s="8">
        <f t="shared" si="1"/>
        <v>43.92</v>
      </c>
      <c r="K53" s="11">
        <f t="shared" si="2"/>
        <v>0</v>
      </c>
      <c r="L53" s="11">
        <f t="shared" si="3"/>
        <v>1</v>
      </c>
      <c r="M53" s="11">
        <f t="shared" si="4"/>
        <v>1</v>
      </c>
      <c r="N53" s="11">
        <f t="shared" si="5"/>
        <v>0</v>
      </c>
    </row>
    <row r="54" spans="1:14" x14ac:dyDescent="0.25">
      <c r="A54" s="9">
        <f>'Pit Inventory'!A54</f>
        <v>6</v>
      </c>
      <c r="B54" s="9">
        <f>'Pit Inventory'!B54</f>
        <v>504</v>
      </c>
      <c r="C54" s="91">
        <f t="shared" si="6"/>
        <v>2.7533781779154918</v>
      </c>
      <c r="D54" s="8">
        <f t="shared" si="0"/>
        <v>2.616377</v>
      </c>
      <c r="E54" s="8">
        <f>'Pit Inventory'!D54</f>
        <v>2.4878290000000001</v>
      </c>
      <c r="F54" s="8">
        <f>'Pit Inventory'!C54</f>
        <v>0.128548</v>
      </c>
      <c r="G54" s="8">
        <f>'Pit Inventory'!E54</f>
        <v>56.02</v>
      </c>
      <c r="H54" s="8">
        <f>'Pit Inventory'!F54</f>
        <v>6.27</v>
      </c>
      <c r="I54" s="8">
        <f>'Pit Inventory'!G54</f>
        <v>2.61</v>
      </c>
      <c r="J54" s="8">
        <f t="shared" si="1"/>
        <v>43.98</v>
      </c>
      <c r="K54" s="11">
        <f t="shared" si="2"/>
        <v>0</v>
      </c>
      <c r="L54" s="11">
        <f t="shared" si="3"/>
        <v>1</v>
      </c>
      <c r="M54" s="11">
        <f t="shared" si="4"/>
        <v>1</v>
      </c>
      <c r="N54" s="11">
        <f t="shared" si="5"/>
        <v>0</v>
      </c>
    </row>
    <row r="55" spans="1:14" x14ac:dyDescent="0.25">
      <c r="A55" s="9">
        <f>'Pit Inventory'!A55</f>
        <v>6</v>
      </c>
      <c r="B55" s="9">
        <f>'Pit Inventory'!B55</f>
        <v>492</v>
      </c>
      <c r="C55" s="91">
        <f t="shared" si="6"/>
        <v>4.1149035852474105</v>
      </c>
      <c r="D55" s="8">
        <f t="shared" si="0"/>
        <v>5.7959180000000003</v>
      </c>
      <c r="E55" s="8">
        <f>'Pit Inventory'!D55</f>
        <v>5.3719520000000003</v>
      </c>
      <c r="F55" s="8">
        <f>'Pit Inventory'!C55</f>
        <v>0.42396600000000001</v>
      </c>
      <c r="G55" s="8">
        <f>'Pit Inventory'!E55</f>
        <v>56.24</v>
      </c>
      <c r="H55" s="8">
        <f>'Pit Inventory'!F55</f>
        <v>6.36</v>
      </c>
      <c r="I55" s="8">
        <f>'Pit Inventory'!G55</f>
        <v>2.48</v>
      </c>
      <c r="J55" s="8">
        <f t="shared" si="1"/>
        <v>43.76</v>
      </c>
      <c r="K55" s="11">
        <f t="shared" si="2"/>
        <v>0</v>
      </c>
      <c r="L55" s="11">
        <f t="shared" si="3"/>
        <v>1</v>
      </c>
      <c r="M55" s="11">
        <f t="shared" si="4"/>
        <v>1</v>
      </c>
      <c r="N55" s="11">
        <f t="shared" si="5"/>
        <v>0</v>
      </c>
    </row>
    <row r="56" spans="1:14" x14ac:dyDescent="0.25">
      <c r="A56" s="9">
        <f>'Pit Inventory'!A56</f>
        <v>6</v>
      </c>
      <c r="B56" s="9">
        <f>'Pit Inventory'!B56</f>
        <v>480</v>
      </c>
      <c r="C56" s="91">
        <f t="shared" si="6"/>
        <v>4.6350613985003717</v>
      </c>
      <c r="D56" s="8">
        <f t="shared" si="0"/>
        <v>7.6625650000000007</v>
      </c>
      <c r="E56" s="8">
        <f>'Pit Inventory'!D56</f>
        <v>7.0316340000000004</v>
      </c>
      <c r="F56" s="8">
        <f>'Pit Inventory'!C56</f>
        <v>0.63093100000000002</v>
      </c>
      <c r="G56" s="8">
        <f>'Pit Inventory'!E56</f>
        <v>56.28</v>
      </c>
      <c r="H56" s="8">
        <f>'Pit Inventory'!F56</f>
        <v>6.39</v>
      </c>
      <c r="I56" s="8">
        <f>'Pit Inventory'!G56</f>
        <v>2.5499999999999998</v>
      </c>
      <c r="J56" s="8">
        <f t="shared" si="1"/>
        <v>43.72</v>
      </c>
      <c r="K56" s="11">
        <f t="shared" si="2"/>
        <v>0</v>
      </c>
      <c r="L56" s="11">
        <f t="shared" si="3"/>
        <v>1</v>
      </c>
      <c r="M56" s="11">
        <f t="shared" si="4"/>
        <v>1</v>
      </c>
      <c r="N56" s="11">
        <f t="shared" si="5"/>
        <v>0</v>
      </c>
    </row>
    <row r="57" spans="1:14" x14ac:dyDescent="0.25">
      <c r="A57" s="9">
        <f>'Pit Inventory'!A57</f>
        <v>6</v>
      </c>
      <c r="B57" s="9">
        <f>'Pit Inventory'!B57</f>
        <v>468</v>
      </c>
      <c r="C57" s="91">
        <f t="shared" si="6"/>
        <v>6.8989522563847006</v>
      </c>
      <c r="D57" s="8">
        <f t="shared" si="0"/>
        <v>6.3071470000000005</v>
      </c>
      <c r="E57" s="8">
        <f>'Pit Inventory'!D57</f>
        <v>5.5382110000000004</v>
      </c>
      <c r="F57" s="8">
        <f>'Pit Inventory'!C57</f>
        <v>0.76893599999999995</v>
      </c>
      <c r="G57" s="8">
        <f>'Pit Inventory'!E57</f>
        <v>56.58</v>
      </c>
      <c r="H57" s="8">
        <f>'Pit Inventory'!F57</f>
        <v>5.93</v>
      </c>
      <c r="I57" s="8">
        <f>'Pit Inventory'!G57</f>
        <v>2.65</v>
      </c>
      <c r="J57" s="8">
        <f t="shared" si="1"/>
        <v>43.42</v>
      </c>
      <c r="K57" s="11">
        <f t="shared" si="2"/>
        <v>0</v>
      </c>
      <c r="L57" s="11">
        <f t="shared" si="3"/>
        <v>1</v>
      </c>
      <c r="M57" s="11">
        <f t="shared" si="4"/>
        <v>1</v>
      </c>
      <c r="N57" s="11">
        <f t="shared" si="5"/>
        <v>0</v>
      </c>
    </row>
    <row r="58" spans="1:14" x14ac:dyDescent="0.25">
      <c r="A58" s="9">
        <f>'Pit Inventory'!A58</f>
        <v>6</v>
      </c>
      <c r="B58" s="9">
        <f>'Pit Inventory'!B58</f>
        <v>456</v>
      </c>
      <c r="C58" s="91">
        <f t="shared" si="6"/>
        <v>9.0372064502211185</v>
      </c>
      <c r="D58" s="8">
        <f t="shared" si="0"/>
        <v>5.2473859999999997</v>
      </c>
      <c r="E58" s="8">
        <f>'Pit Inventory'!D58</f>
        <v>4.4080079999999997</v>
      </c>
      <c r="F58" s="8">
        <f>'Pit Inventory'!C58</f>
        <v>0.83937799999999996</v>
      </c>
      <c r="G58" s="8">
        <f>'Pit Inventory'!E58</f>
        <v>56.49</v>
      </c>
      <c r="H58" s="8">
        <f>'Pit Inventory'!F58</f>
        <v>6.05</v>
      </c>
      <c r="I58" s="8">
        <f>'Pit Inventory'!G58</f>
        <v>2.73</v>
      </c>
      <c r="J58" s="8">
        <f t="shared" si="1"/>
        <v>43.51</v>
      </c>
      <c r="K58" s="11">
        <f t="shared" si="2"/>
        <v>0</v>
      </c>
      <c r="L58" s="11">
        <f t="shared" si="3"/>
        <v>1</v>
      </c>
      <c r="M58" s="11">
        <f t="shared" si="4"/>
        <v>1</v>
      </c>
      <c r="N58" s="11">
        <f t="shared" si="5"/>
        <v>0</v>
      </c>
    </row>
    <row r="59" spans="1:14" x14ac:dyDescent="0.25">
      <c r="A59" s="9">
        <f>'Pit Inventory'!A59</f>
        <v>6</v>
      </c>
      <c r="B59" s="9">
        <f>'Pit Inventory'!B59</f>
        <v>444</v>
      </c>
      <c r="C59" s="91">
        <f t="shared" si="6"/>
        <v>13.193333125411632</v>
      </c>
      <c r="D59" s="8">
        <f t="shared" si="0"/>
        <v>4.3045049999999998</v>
      </c>
      <c r="E59" s="8">
        <f>'Pit Inventory'!D59</f>
        <v>3.3099959999999999</v>
      </c>
      <c r="F59" s="8">
        <f>'Pit Inventory'!C59</f>
        <v>0.99450899999999998</v>
      </c>
      <c r="G59" s="8">
        <f>'Pit Inventory'!E59</f>
        <v>57.1</v>
      </c>
      <c r="H59" s="8">
        <f>'Pit Inventory'!F59</f>
        <v>5.61</v>
      </c>
      <c r="I59" s="8">
        <f>'Pit Inventory'!G59</f>
        <v>2.4900000000000002</v>
      </c>
      <c r="J59" s="8">
        <f t="shared" si="1"/>
        <v>42.9</v>
      </c>
      <c r="K59" s="11">
        <f t="shared" si="2"/>
        <v>0</v>
      </c>
      <c r="L59" s="11">
        <f t="shared" si="3"/>
        <v>1</v>
      </c>
      <c r="M59" s="11">
        <f t="shared" si="4"/>
        <v>1</v>
      </c>
      <c r="N59" s="11">
        <f t="shared" si="5"/>
        <v>0</v>
      </c>
    </row>
    <row r="60" spans="1:14" x14ac:dyDescent="0.25">
      <c r="A60" s="9">
        <f>'Pit Inventory'!A60</f>
        <v>6</v>
      </c>
      <c r="B60" s="9">
        <f>'Pit Inventory'!B60</f>
        <v>432</v>
      </c>
      <c r="C60" s="91">
        <f t="shared" si="6"/>
        <v>16.796969862127053</v>
      </c>
      <c r="D60" s="8">
        <f t="shared" si="0"/>
        <v>3.4978579999999999</v>
      </c>
      <c r="E60" s="8">
        <f>'Pit Inventory'!D60</f>
        <v>2.4851030000000001</v>
      </c>
      <c r="F60" s="8">
        <f>'Pit Inventory'!C60</f>
        <v>1.0127550000000001</v>
      </c>
      <c r="G60" s="8">
        <f>'Pit Inventory'!E60</f>
        <v>58.01</v>
      </c>
      <c r="H60" s="8">
        <f>'Pit Inventory'!F60</f>
        <v>4.5599999999999996</v>
      </c>
      <c r="I60" s="8">
        <f>'Pit Inventory'!G60</f>
        <v>2.12</v>
      </c>
      <c r="J60" s="8">
        <f t="shared" si="1"/>
        <v>41.99</v>
      </c>
      <c r="K60" s="11">
        <f t="shared" si="2"/>
        <v>0</v>
      </c>
      <c r="L60" s="11">
        <f t="shared" si="3"/>
        <v>1</v>
      </c>
      <c r="M60" s="11">
        <f t="shared" si="4"/>
        <v>1</v>
      </c>
      <c r="N60" s="11">
        <f t="shared" si="5"/>
        <v>0</v>
      </c>
    </row>
    <row r="61" spans="1:14" x14ac:dyDescent="0.25">
      <c r="A61" s="9">
        <f>'Pit Inventory'!A61</f>
        <v>6</v>
      </c>
      <c r="B61" s="9">
        <f>'Pit Inventory'!B61</f>
        <v>420</v>
      </c>
      <c r="C61" s="91">
        <f t="shared" si="6"/>
        <v>19.202814407631738</v>
      </c>
      <c r="D61" s="8">
        <f t="shared" si="0"/>
        <v>2.7271380000000001</v>
      </c>
      <c r="E61" s="8">
        <f>'Pit Inventory'!D61</f>
        <v>1.8252090000000001</v>
      </c>
      <c r="F61" s="8">
        <f>'Pit Inventory'!C61</f>
        <v>0.90192899999999998</v>
      </c>
      <c r="G61" s="8">
        <f>'Pit Inventory'!E61</f>
        <v>58.06</v>
      </c>
      <c r="H61" s="8">
        <f>'Pit Inventory'!F61</f>
        <v>4.66</v>
      </c>
      <c r="I61" s="8">
        <f>'Pit Inventory'!G61</f>
        <v>2.16</v>
      </c>
      <c r="J61" s="8">
        <f t="shared" si="1"/>
        <v>41.94</v>
      </c>
      <c r="K61" s="11">
        <f t="shared" si="2"/>
        <v>0</v>
      </c>
      <c r="L61" s="11">
        <f t="shared" si="3"/>
        <v>1</v>
      </c>
      <c r="M61" s="11">
        <f t="shared" si="4"/>
        <v>1</v>
      </c>
      <c r="N61" s="11">
        <f t="shared" si="5"/>
        <v>0</v>
      </c>
    </row>
    <row r="62" spans="1:14" x14ac:dyDescent="0.25">
      <c r="A62" s="9">
        <f>'Pit Inventory'!A62</f>
        <v>6</v>
      </c>
      <c r="B62" s="9">
        <f>'Pit Inventory'!B62</f>
        <v>408</v>
      </c>
      <c r="C62" s="91">
        <f t="shared" si="6"/>
        <v>23.283435553737483</v>
      </c>
      <c r="D62" s="8">
        <f t="shared" si="0"/>
        <v>2.053455</v>
      </c>
      <c r="E62" s="8">
        <f>'Pit Inventory'!D62</f>
        <v>1.2247250000000001</v>
      </c>
      <c r="F62" s="8">
        <f>'Pit Inventory'!C62</f>
        <v>0.82872999999999997</v>
      </c>
      <c r="G62" s="8">
        <f>'Pit Inventory'!E62</f>
        <v>57.69</v>
      </c>
      <c r="H62" s="8">
        <f>'Pit Inventory'!F62</f>
        <v>5.08</v>
      </c>
      <c r="I62" s="8">
        <f>'Pit Inventory'!G62</f>
        <v>2.2400000000000002</v>
      </c>
      <c r="J62" s="8">
        <f t="shared" si="1"/>
        <v>42.31</v>
      </c>
      <c r="K62" s="11">
        <f t="shared" si="2"/>
        <v>0</v>
      </c>
      <c r="L62" s="11">
        <f t="shared" si="3"/>
        <v>1</v>
      </c>
      <c r="M62" s="11">
        <f t="shared" si="4"/>
        <v>1</v>
      </c>
      <c r="N62" s="11">
        <f t="shared" si="5"/>
        <v>0</v>
      </c>
    </row>
    <row r="63" spans="1:14" x14ac:dyDescent="0.25">
      <c r="A63" s="9">
        <f>'Pit Inventory'!A63</f>
        <v>6</v>
      </c>
      <c r="B63" s="9">
        <f>'Pit Inventory'!B63</f>
        <v>396</v>
      </c>
      <c r="C63" s="91">
        <f t="shared" si="6"/>
        <v>26.497744524061225</v>
      </c>
      <c r="D63" s="8">
        <f t="shared" si="0"/>
        <v>1.5617869999999998</v>
      </c>
      <c r="E63" s="8">
        <f>'Pit Inventory'!D63</f>
        <v>0.83920499999999998</v>
      </c>
      <c r="F63" s="8">
        <f>'Pit Inventory'!C63</f>
        <v>0.72258199999999995</v>
      </c>
      <c r="G63" s="8">
        <f>'Pit Inventory'!E63</f>
        <v>57.27</v>
      </c>
      <c r="H63" s="8">
        <f>'Pit Inventory'!F63</f>
        <v>5.59</v>
      </c>
      <c r="I63" s="8">
        <f>'Pit Inventory'!G63</f>
        <v>2.14</v>
      </c>
      <c r="J63" s="8">
        <f t="shared" si="1"/>
        <v>42.73</v>
      </c>
      <c r="K63" s="11">
        <f t="shared" si="2"/>
        <v>0</v>
      </c>
      <c r="L63" s="11">
        <f t="shared" si="3"/>
        <v>1</v>
      </c>
      <c r="M63" s="11">
        <f t="shared" si="4"/>
        <v>1</v>
      </c>
      <c r="N63" s="11">
        <f t="shared" si="5"/>
        <v>0</v>
      </c>
    </row>
    <row r="64" spans="1:14" x14ac:dyDescent="0.25">
      <c r="A64" s="9">
        <f>'Pit Inventory'!A64</f>
        <v>6</v>
      </c>
      <c r="B64" s="9">
        <f>'Pit Inventory'!B64</f>
        <v>384</v>
      </c>
      <c r="C64" s="91">
        <f t="shared" si="6"/>
        <v>29.525045653177578</v>
      </c>
      <c r="D64" s="8">
        <f t="shared" si="0"/>
        <v>1.0245070000000001</v>
      </c>
      <c r="E64" s="8">
        <f>'Pit Inventory'!D64</f>
        <v>0.49717800000000001</v>
      </c>
      <c r="F64" s="8">
        <f>'Pit Inventory'!C64</f>
        <v>0.52732900000000005</v>
      </c>
      <c r="G64" s="8">
        <f>'Pit Inventory'!E64</f>
        <v>57.36</v>
      </c>
      <c r="H64" s="8">
        <f>'Pit Inventory'!F64</f>
        <v>5.71</v>
      </c>
      <c r="I64" s="8">
        <f>'Pit Inventory'!G64</f>
        <v>1.94</v>
      </c>
      <c r="J64" s="8">
        <f t="shared" si="1"/>
        <v>42.64</v>
      </c>
      <c r="K64" s="11">
        <f t="shared" si="2"/>
        <v>0</v>
      </c>
      <c r="L64" s="11">
        <f t="shared" si="3"/>
        <v>1</v>
      </c>
      <c r="M64" s="11">
        <f t="shared" si="4"/>
        <v>1</v>
      </c>
      <c r="N64" s="11">
        <f t="shared" si="5"/>
        <v>0</v>
      </c>
    </row>
    <row r="65" spans="1:14" x14ac:dyDescent="0.25">
      <c r="A65" s="9">
        <f>'Pit Inventory'!A65</f>
        <v>6</v>
      </c>
      <c r="B65" s="9">
        <f>'Pit Inventory'!B65</f>
        <v>372</v>
      </c>
      <c r="C65" s="91">
        <f t="shared" si="6"/>
        <v>32.898350906995084</v>
      </c>
      <c r="D65" s="8">
        <f t="shared" si="0"/>
        <v>0.52745600000000004</v>
      </c>
      <c r="E65" s="8">
        <f>'Pit Inventory'!D65</f>
        <v>0.22244800000000001</v>
      </c>
      <c r="F65" s="8">
        <f>'Pit Inventory'!C65</f>
        <v>0.305008</v>
      </c>
      <c r="G65" s="8">
        <f>'Pit Inventory'!E65</f>
        <v>56.89</v>
      </c>
      <c r="H65" s="8">
        <f>'Pit Inventory'!F65</f>
        <v>5.93</v>
      </c>
      <c r="I65" s="8">
        <f>'Pit Inventory'!G65</f>
        <v>2</v>
      </c>
      <c r="J65" s="8">
        <f t="shared" si="1"/>
        <v>43.11</v>
      </c>
      <c r="K65" s="11">
        <f t="shared" si="2"/>
        <v>0</v>
      </c>
      <c r="L65" s="11">
        <f t="shared" si="3"/>
        <v>1</v>
      </c>
      <c r="M65" s="11">
        <f t="shared" si="4"/>
        <v>1</v>
      </c>
      <c r="N65" s="11">
        <f t="shared" si="5"/>
        <v>0</v>
      </c>
    </row>
    <row r="66" spans="1:14" x14ac:dyDescent="0.25">
      <c r="A66" s="9">
        <f>'Pit Inventory'!A66</f>
        <v>6</v>
      </c>
      <c r="B66" s="9">
        <f>'Pit Inventory'!B66</f>
        <v>360</v>
      </c>
      <c r="C66" s="91">
        <f t="shared" si="6"/>
        <v>38.497395367836276</v>
      </c>
      <c r="D66" s="8">
        <f t="shared" si="0"/>
        <v>0.14688600000000002</v>
      </c>
      <c r="E66" s="8">
        <f>'Pit Inventory'!D66</f>
        <v>4.7735E-2</v>
      </c>
      <c r="F66" s="8">
        <f>'Pit Inventory'!C66</f>
        <v>9.9151000000000003E-2</v>
      </c>
      <c r="G66" s="8">
        <f>'Pit Inventory'!E66</f>
        <v>57.03</v>
      </c>
      <c r="H66" s="8">
        <f>'Pit Inventory'!F66</f>
        <v>5.6</v>
      </c>
      <c r="I66" s="8">
        <f>'Pit Inventory'!G66</f>
        <v>2.31</v>
      </c>
      <c r="J66" s="8">
        <f t="shared" si="1"/>
        <v>42.97</v>
      </c>
      <c r="K66" s="11">
        <f t="shared" si="2"/>
        <v>0</v>
      </c>
      <c r="L66" s="11">
        <f t="shared" si="3"/>
        <v>1</v>
      </c>
      <c r="M66" s="11">
        <f t="shared" si="4"/>
        <v>1</v>
      </c>
      <c r="N66" s="11">
        <f t="shared" si="5"/>
        <v>0</v>
      </c>
    </row>
    <row r="67" spans="1:14" x14ac:dyDescent="0.25">
      <c r="A67" s="9">
        <f>'Pit Inventory'!A67</f>
        <v>7</v>
      </c>
      <c r="B67" s="9">
        <f>'Pit Inventory'!B67</f>
        <v>540</v>
      </c>
      <c r="C67" s="91">
        <v>1000</v>
      </c>
      <c r="D67" s="8">
        <f t="shared" ref="D67:D130" si="7">E67+F67</f>
        <v>3.4182999999999998E-2</v>
      </c>
      <c r="E67" s="8">
        <f>'Pit Inventory'!D67</f>
        <v>3.4182999999999998E-2</v>
      </c>
      <c r="F67" s="8">
        <f>'Pit Inventory'!C67</f>
        <v>0</v>
      </c>
      <c r="G67" s="8">
        <f>'Pit Inventory'!E67</f>
        <v>0</v>
      </c>
      <c r="H67" s="8">
        <f>'Pit Inventory'!F67</f>
        <v>0</v>
      </c>
      <c r="I67" s="8">
        <f>'Pit Inventory'!G67</f>
        <v>0</v>
      </c>
      <c r="J67" s="8">
        <f t="shared" ref="J67:J130" si="8">100-G67</f>
        <v>100</v>
      </c>
      <c r="K67" s="11">
        <f t="shared" ref="K67:K130" si="9">IF(OR($A67=1,$A67=3,$A67=5,$A67=7,$A67=9,$A67=11,$A67=13,$A67=15,$A67=17,$A67=19),1,0)</f>
        <v>1</v>
      </c>
      <c r="L67" s="11">
        <f t="shared" ref="L67:L130" si="10">IF(OR($A67=2,$A67=4,$A67=6,$A67=8,$A67=10,$A67=12,$A67=14,$A67=16,$A67=18,$A67=20),1,0)</f>
        <v>0</v>
      </c>
      <c r="M67" s="11">
        <f t="shared" ref="M67:M130" si="11">IF($A67&lt;=6,1,0)</f>
        <v>0</v>
      </c>
      <c r="N67" s="11">
        <f t="shared" ref="N67:N130" si="12">IF($A67&gt;6,1,0)</f>
        <v>1</v>
      </c>
    </row>
    <row r="68" spans="1:14" x14ac:dyDescent="0.25">
      <c r="A68" s="9">
        <f>'Pit Inventory'!A68</f>
        <v>7</v>
      </c>
      <c r="B68" s="9">
        <f>'Pit Inventory'!B68</f>
        <v>528</v>
      </c>
      <c r="C68" s="91">
        <v>1000</v>
      </c>
      <c r="D68" s="8">
        <f t="shared" si="7"/>
        <v>0.16012899999999999</v>
      </c>
      <c r="E68" s="8">
        <f>'Pit Inventory'!D68</f>
        <v>0.16012899999999999</v>
      </c>
      <c r="F68" s="8">
        <f>'Pit Inventory'!C68</f>
        <v>0</v>
      </c>
      <c r="G68" s="8">
        <f>'Pit Inventory'!E68</f>
        <v>0</v>
      </c>
      <c r="H68" s="8">
        <f>'Pit Inventory'!F68</f>
        <v>0</v>
      </c>
      <c r="I68" s="8">
        <f>'Pit Inventory'!G68</f>
        <v>0</v>
      </c>
      <c r="J68" s="8">
        <f t="shared" si="8"/>
        <v>100</v>
      </c>
      <c r="K68" s="11">
        <f t="shared" si="9"/>
        <v>1</v>
      </c>
      <c r="L68" s="11">
        <f t="shared" si="10"/>
        <v>0</v>
      </c>
      <c r="M68" s="11">
        <f t="shared" si="11"/>
        <v>0</v>
      </c>
      <c r="N68" s="11">
        <f t="shared" si="12"/>
        <v>1</v>
      </c>
    </row>
    <row r="69" spans="1:14" x14ac:dyDescent="0.25">
      <c r="A69" s="9">
        <f>'Pit Inventory'!A69</f>
        <v>7</v>
      </c>
      <c r="B69" s="9">
        <f>'Pit Inventory'!B69</f>
        <v>516</v>
      </c>
      <c r="C69" s="91">
        <v>1000</v>
      </c>
      <c r="D69" s="8">
        <f t="shared" si="7"/>
        <v>1.1435000000000001E-2</v>
      </c>
      <c r="E69" s="8">
        <f>'Pit Inventory'!D69</f>
        <v>1.1435000000000001E-2</v>
      </c>
      <c r="F69" s="8">
        <f>'Pit Inventory'!C69</f>
        <v>0</v>
      </c>
      <c r="G69" s="8">
        <f>'Pit Inventory'!E69</f>
        <v>0</v>
      </c>
      <c r="H69" s="8">
        <f>'Pit Inventory'!F69</f>
        <v>0</v>
      </c>
      <c r="I69" s="8">
        <f>'Pit Inventory'!G69</f>
        <v>0</v>
      </c>
      <c r="J69" s="8">
        <f t="shared" si="8"/>
        <v>100</v>
      </c>
      <c r="K69" s="11">
        <f t="shared" si="9"/>
        <v>1</v>
      </c>
      <c r="L69" s="11">
        <f t="shared" si="10"/>
        <v>0</v>
      </c>
      <c r="M69" s="11">
        <f t="shared" si="11"/>
        <v>0</v>
      </c>
      <c r="N69" s="11">
        <f t="shared" si="12"/>
        <v>1</v>
      </c>
    </row>
    <row r="70" spans="1:14" x14ac:dyDescent="0.25">
      <c r="A70" s="9">
        <f>'Pit Inventory'!A70</f>
        <v>7</v>
      </c>
      <c r="B70" s="9">
        <f>'Pit Inventory'!B70</f>
        <v>504</v>
      </c>
      <c r="C70" s="91">
        <v>1000</v>
      </c>
      <c r="D70" s="8">
        <f t="shared" si="7"/>
        <v>9.5600000000000004E-4</v>
      </c>
      <c r="E70" s="8">
        <f>'Pit Inventory'!D70</f>
        <v>9.5600000000000004E-4</v>
      </c>
      <c r="F70" s="8">
        <f>'Pit Inventory'!C70</f>
        <v>0</v>
      </c>
      <c r="G70" s="8">
        <f>'Pit Inventory'!E70</f>
        <v>0</v>
      </c>
      <c r="H70" s="8">
        <f>'Pit Inventory'!F70</f>
        <v>0</v>
      </c>
      <c r="I70" s="8">
        <f>'Pit Inventory'!G70</f>
        <v>0</v>
      </c>
      <c r="J70" s="8">
        <f t="shared" si="8"/>
        <v>100</v>
      </c>
      <c r="K70" s="11">
        <f t="shared" si="9"/>
        <v>1</v>
      </c>
      <c r="L70" s="11">
        <f t="shared" si="10"/>
        <v>0</v>
      </c>
      <c r="M70" s="11">
        <f t="shared" si="11"/>
        <v>0</v>
      </c>
      <c r="N70" s="11">
        <f t="shared" si="12"/>
        <v>1</v>
      </c>
    </row>
    <row r="71" spans="1:14" x14ac:dyDescent="0.25">
      <c r="A71" s="9">
        <f>'Pit Inventory'!A71</f>
        <v>8</v>
      </c>
      <c r="B71" s="9">
        <f>'Pit Inventory'!B71</f>
        <v>540</v>
      </c>
      <c r="C71" s="91">
        <f t="shared" ref="C71:C102" si="13">0.001+F71*G71/D71</f>
        <v>22.92853172570528</v>
      </c>
      <c r="D71" s="8">
        <f t="shared" si="7"/>
        <v>0.623942</v>
      </c>
      <c r="E71" s="8">
        <f>'Pit Inventory'!D71</f>
        <v>0.40094200000000002</v>
      </c>
      <c r="F71" s="8">
        <f>'Pit Inventory'!C71</f>
        <v>0.223</v>
      </c>
      <c r="G71" s="8">
        <f>'Pit Inventory'!E71</f>
        <v>64.150000000000006</v>
      </c>
      <c r="H71" s="8">
        <f>'Pit Inventory'!F71</f>
        <v>2.87</v>
      </c>
      <c r="I71" s="8">
        <f>'Pit Inventory'!G71</f>
        <v>2.5299999999999998</v>
      </c>
      <c r="J71" s="8">
        <f t="shared" si="8"/>
        <v>35.849999999999994</v>
      </c>
      <c r="K71" s="11">
        <f t="shared" si="9"/>
        <v>0</v>
      </c>
      <c r="L71" s="11">
        <f t="shared" si="10"/>
        <v>1</v>
      </c>
      <c r="M71" s="11">
        <f t="shared" si="11"/>
        <v>0</v>
      </c>
      <c r="N71" s="11">
        <f t="shared" si="12"/>
        <v>1</v>
      </c>
    </row>
    <row r="72" spans="1:14" x14ac:dyDescent="0.25">
      <c r="A72" s="9">
        <f>'Pit Inventory'!A72</f>
        <v>8</v>
      </c>
      <c r="B72" s="9">
        <f>'Pit Inventory'!B72</f>
        <v>528</v>
      </c>
      <c r="C72" s="91">
        <f t="shared" si="13"/>
        <v>13.476239104754395</v>
      </c>
      <c r="D72" s="8">
        <f t="shared" si="7"/>
        <v>2.7080390000000003</v>
      </c>
      <c r="E72" s="8">
        <f>'Pit Inventory'!D72</f>
        <v>2.1421920000000001</v>
      </c>
      <c r="F72" s="8">
        <f>'Pit Inventory'!C72</f>
        <v>0.56584699999999999</v>
      </c>
      <c r="G72" s="8">
        <f>'Pit Inventory'!E72</f>
        <v>64.489999999999995</v>
      </c>
      <c r="H72" s="8">
        <f>'Pit Inventory'!F72</f>
        <v>2.8</v>
      </c>
      <c r="I72" s="8">
        <f>'Pit Inventory'!G72</f>
        <v>2.4900000000000002</v>
      </c>
      <c r="J72" s="8">
        <f t="shared" si="8"/>
        <v>35.510000000000005</v>
      </c>
      <c r="K72" s="11">
        <f t="shared" si="9"/>
        <v>0</v>
      </c>
      <c r="L72" s="11">
        <f t="shared" si="10"/>
        <v>1</v>
      </c>
      <c r="M72" s="11">
        <f t="shared" si="11"/>
        <v>0</v>
      </c>
      <c r="N72" s="11">
        <f t="shared" si="12"/>
        <v>1</v>
      </c>
    </row>
    <row r="73" spans="1:14" x14ac:dyDescent="0.25">
      <c r="A73" s="9">
        <f>'Pit Inventory'!A73</f>
        <v>8</v>
      </c>
      <c r="B73" s="9">
        <f>'Pit Inventory'!B73</f>
        <v>516</v>
      </c>
      <c r="C73" s="91">
        <f t="shared" si="13"/>
        <v>5.4285203184563864</v>
      </c>
      <c r="D73" s="8">
        <f t="shared" si="7"/>
        <v>7.5614749999999997</v>
      </c>
      <c r="E73" s="8">
        <f>'Pit Inventory'!D73</f>
        <v>6.924207</v>
      </c>
      <c r="F73" s="8">
        <f>'Pit Inventory'!C73</f>
        <v>0.63726799999999995</v>
      </c>
      <c r="G73" s="8">
        <f>'Pit Inventory'!E73</f>
        <v>64.400000000000006</v>
      </c>
      <c r="H73" s="8">
        <f>'Pit Inventory'!F73</f>
        <v>2.83</v>
      </c>
      <c r="I73" s="8">
        <f>'Pit Inventory'!G73</f>
        <v>2.48</v>
      </c>
      <c r="J73" s="8">
        <f t="shared" si="8"/>
        <v>35.599999999999994</v>
      </c>
      <c r="K73" s="11">
        <f t="shared" si="9"/>
        <v>0</v>
      </c>
      <c r="L73" s="11">
        <f t="shared" si="10"/>
        <v>1</v>
      </c>
      <c r="M73" s="11">
        <f t="shared" si="11"/>
        <v>0</v>
      </c>
      <c r="N73" s="11">
        <f t="shared" si="12"/>
        <v>1</v>
      </c>
    </row>
    <row r="74" spans="1:14" x14ac:dyDescent="0.25">
      <c r="A74" s="9">
        <f>'Pit Inventory'!A74</f>
        <v>8</v>
      </c>
      <c r="B74" s="9">
        <f>'Pit Inventory'!B74</f>
        <v>504</v>
      </c>
      <c r="C74" s="91">
        <f t="shared" si="13"/>
        <v>3.4913364293119855</v>
      </c>
      <c r="D74" s="8">
        <f t="shared" si="7"/>
        <v>12.670953000000001</v>
      </c>
      <c r="E74" s="8">
        <f>'Pit Inventory'!D74</f>
        <v>11.983682</v>
      </c>
      <c r="F74" s="8">
        <f>'Pit Inventory'!C74</f>
        <v>0.68727099999999997</v>
      </c>
      <c r="G74" s="8">
        <f>'Pit Inventory'!E74</f>
        <v>64.349999999999994</v>
      </c>
      <c r="H74" s="8">
        <f>'Pit Inventory'!F74</f>
        <v>2.9</v>
      </c>
      <c r="I74" s="8">
        <f>'Pit Inventory'!G74</f>
        <v>2.4300000000000002</v>
      </c>
      <c r="J74" s="8">
        <f t="shared" si="8"/>
        <v>35.650000000000006</v>
      </c>
      <c r="K74" s="11">
        <f t="shared" si="9"/>
        <v>0</v>
      </c>
      <c r="L74" s="11">
        <f t="shared" si="10"/>
        <v>1</v>
      </c>
      <c r="M74" s="11">
        <f t="shared" si="11"/>
        <v>0</v>
      </c>
      <c r="N74" s="11">
        <f t="shared" si="12"/>
        <v>1</v>
      </c>
    </row>
    <row r="75" spans="1:14" x14ac:dyDescent="0.25">
      <c r="A75" s="9">
        <f>'Pit Inventory'!A75</f>
        <v>8</v>
      </c>
      <c r="B75" s="9">
        <f>'Pit Inventory'!B75</f>
        <v>492</v>
      </c>
      <c r="C75" s="91">
        <f t="shared" si="13"/>
        <v>3.7361582448794795</v>
      </c>
      <c r="D75" s="8">
        <f t="shared" si="7"/>
        <v>12.077484</v>
      </c>
      <c r="E75" s="8">
        <f>'Pit Inventory'!D75</f>
        <v>11.378842000000001</v>
      </c>
      <c r="F75" s="8">
        <f>'Pit Inventory'!C75</f>
        <v>0.69864199999999999</v>
      </c>
      <c r="G75" s="8">
        <f>'Pit Inventory'!E75</f>
        <v>64.569999999999993</v>
      </c>
      <c r="H75" s="8">
        <f>'Pit Inventory'!F75</f>
        <v>2.78</v>
      </c>
      <c r="I75" s="8">
        <f>'Pit Inventory'!G75</f>
        <v>2.34</v>
      </c>
      <c r="J75" s="8">
        <f t="shared" si="8"/>
        <v>35.430000000000007</v>
      </c>
      <c r="K75" s="11">
        <f t="shared" si="9"/>
        <v>0</v>
      </c>
      <c r="L75" s="11">
        <f t="shared" si="10"/>
        <v>1</v>
      </c>
      <c r="M75" s="11">
        <f t="shared" si="11"/>
        <v>0</v>
      </c>
      <c r="N75" s="11">
        <f t="shared" si="12"/>
        <v>1</v>
      </c>
    </row>
    <row r="76" spans="1:14" x14ac:dyDescent="0.25">
      <c r="A76" s="9">
        <f>'Pit Inventory'!A76</f>
        <v>8</v>
      </c>
      <c r="B76" s="9">
        <f>'Pit Inventory'!B76</f>
        <v>480</v>
      </c>
      <c r="C76" s="91">
        <f t="shared" si="13"/>
        <v>4.2381297719677216</v>
      </c>
      <c r="D76" s="8">
        <f t="shared" si="7"/>
        <v>10.518774000000001</v>
      </c>
      <c r="E76" s="8">
        <f>'Pit Inventory'!D76</f>
        <v>9.8271320000000006</v>
      </c>
      <c r="F76" s="8">
        <f>'Pit Inventory'!C76</f>
        <v>0.69164199999999998</v>
      </c>
      <c r="G76" s="8">
        <f>'Pit Inventory'!E76</f>
        <v>64.44</v>
      </c>
      <c r="H76" s="8">
        <f>'Pit Inventory'!F76</f>
        <v>2.89</v>
      </c>
      <c r="I76" s="8">
        <f>'Pit Inventory'!G76</f>
        <v>2.2000000000000002</v>
      </c>
      <c r="J76" s="8">
        <f t="shared" si="8"/>
        <v>35.56</v>
      </c>
      <c r="K76" s="11">
        <f t="shared" si="9"/>
        <v>0</v>
      </c>
      <c r="L76" s="11">
        <f t="shared" si="10"/>
        <v>1</v>
      </c>
      <c r="M76" s="11">
        <f t="shared" si="11"/>
        <v>0</v>
      </c>
      <c r="N76" s="11">
        <f t="shared" si="12"/>
        <v>1</v>
      </c>
    </row>
    <row r="77" spans="1:14" x14ac:dyDescent="0.25">
      <c r="A77" s="9">
        <f>'Pit Inventory'!A77</f>
        <v>8</v>
      </c>
      <c r="B77" s="9">
        <f>'Pit Inventory'!B77</f>
        <v>468</v>
      </c>
      <c r="C77" s="91">
        <f t="shared" si="13"/>
        <v>4.8757050425427293</v>
      </c>
      <c r="D77" s="8">
        <f t="shared" si="7"/>
        <v>9.040557999999999</v>
      </c>
      <c r="E77" s="8">
        <f>'Pit Inventory'!D77</f>
        <v>8.3576189999999997</v>
      </c>
      <c r="F77" s="8">
        <f>'Pit Inventory'!C77</f>
        <v>0.68293899999999996</v>
      </c>
      <c r="G77" s="8">
        <f>'Pit Inventory'!E77</f>
        <v>64.53</v>
      </c>
      <c r="H77" s="8">
        <f>'Pit Inventory'!F77</f>
        <v>2.76</v>
      </c>
      <c r="I77" s="8">
        <f>'Pit Inventory'!G77</f>
        <v>2.04</v>
      </c>
      <c r="J77" s="8">
        <f t="shared" si="8"/>
        <v>35.47</v>
      </c>
      <c r="K77" s="11">
        <f t="shared" si="9"/>
        <v>0</v>
      </c>
      <c r="L77" s="11">
        <f t="shared" si="10"/>
        <v>1</v>
      </c>
      <c r="M77" s="11">
        <f t="shared" si="11"/>
        <v>0</v>
      </c>
      <c r="N77" s="11">
        <f t="shared" si="12"/>
        <v>1</v>
      </c>
    </row>
    <row r="78" spans="1:14" x14ac:dyDescent="0.25">
      <c r="A78" s="9">
        <f>'Pit Inventory'!A78</f>
        <v>8</v>
      </c>
      <c r="B78" s="9">
        <f>'Pit Inventory'!B78</f>
        <v>456</v>
      </c>
      <c r="C78" s="91">
        <f t="shared" si="13"/>
        <v>5.4447135918604666</v>
      </c>
      <c r="D78" s="8">
        <f t="shared" si="7"/>
        <v>7.6879100000000005</v>
      </c>
      <c r="E78" s="8">
        <f>'Pit Inventory'!D78</f>
        <v>7.0404660000000003</v>
      </c>
      <c r="F78" s="8">
        <f>'Pit Inventory'!C78</f>
        <v>0.64744400000000002</v>
      </c>
      <c r="G78" s="8">
        <f>'Pit Inventory'!E78</f>
        <v>64.64</v>
      </c>
      <c r="H78" s="8">
        <f>'Pit Inventory'!F78</f>
        <v>2.4300000000000002</v>
      </c>
      <c r="I78" s="8">
        <f>'Pit Inventory'!G78</f>
        <v>1.91</v>
      </c>
      <c r="J78" s="8">
        <f t="shared" si="8"/>
        <v>35.36</v>
      </c>
      <c r="K78" s="11">
        <f t="shared" si="9"/>
        <v>0</v>
      </c>
      <c r="L78" s="11">
        <f t="shared" si="10"/>
        <v>1</v>
      </c>
      <c r="M78" s="11">
        <f t="shared" si="11"/>
        <v>0</v>
      </c>
      <c r="N78" s="11">
        <f t="shared" si="12"/>
        <v>1</v>
      </c>
    </row>
    <row r="79" spans="1:14" x14ac:dyDescent="0.25">
      <c r="A79" s="9">
        <f>'Pit Inventory'!A79</f>
        <v>8</v>
      </c>
      <c r="B79" s="9">
        <f>'Pit Inventory'!B79</f>
        <v>444</v>
      </c>
      <c r="C79" s="91">
        <f t="shared" si="13"/>
        <v>6.1706273179423707</v>
      </c>
      <c r="D79" s="8">
        <f t="shared" si="7"/>
        <v>6.5257769999999997</v>
      </c>
      <c r="E79" s="8">
        <f>'Pit Inventory'!D79</f>
        <v>5.8989419999999999</v>
      </c>
      <c r="F79" s="8">
        <f>'Pit Inventory'!C79</f>
        <v>0.62683500000000003</v>
      </c>
      <c r="G79" s="8">
        <f>'Pit Inventory'!E79</f>
        <v>64.23</v>
      </c>
      <c r="H79" s="8">
        <f>'Pit Inventory'!F79</f>
        <v>2.54</v>
      </c>
      <c r="I79" s="8">
        <f>'Pit Inventory'!G79</f>
        <v>1.94</v>
      </c>
      <c r="J79" s="8">
        <f t="shared" si="8"/>
        <v>35.769999999999996</v>
      </c>
      <c r="K79" s="11">
        <f t="shared" si="9"/>
        <v>0</v>
      </c>
      <c r="L79" s="11">
        <f t="shared" si="10"/>
        <v>1</v>
      </c>
      <c r="M79" s="11">
        <f t="shared" si="11"/>
        <v>0</v>
      </c>
      <c r="N79" s="11">
        <f t="shared" si="12"/>
        <v>1</v>
      </c>
    </row>
    <row r="80" spans="1:14" x14ac:dyDescent="0.25">
      <c r="A80" s="9">
        <f>'Pit Inventory'!A80</f>
        <v>8</v>
      </c>
      <c r="B80" s="9">
        <f>'Pit Inventory'!B80</f>
        <v>432</v>
      </c>
      <c r="C80" s="91">
        <f t="shared" si="13"/>
        <v>7.1628204953755104</v>
      </c>
      <c r="D80" s="8">
        <f t="shared" si="7"/>
        <v>5.6088360000000002</v>
      </c>
      <c r="E80" s="8">
        <f>'Pit Inventory'!D80</f>
        <v>4.9814819999999997</v>
      </c>
      <c r="F80" s="8">
        <f>'Pit Inventory'!C80</f>
        <v>0.62735399999999997</v>
      </c>
      <c r="G80" s="8">
        <f>'Pit Inventory'!E80</f>
        <v>64.03</v>
      </c>
      <c r="H80" s="8">
        <f>'Pit Inventory'!F80</f>
        <v>2.69</v>
      </c>
      <c r="I80" s="8">
        <f>'Pit Inventory'!G80</f>
        <v>1.97</v>
      </c>
      <c r="J80" s="8">
        <f t="shared" si="8"/>
        <v>35.97</v>
      </c>
      <c r="K80" s="11">
        <f t="shared" si="9"/>
        <v>0</v>
      </c>
      <c r="L80" s="11">
        <f t="shared" si="10"/>
        <v>1</v>
      </c>
      <c r="M80" s="11">
        <f t="shared" si="11"/>
        <v>0</v>
      </c>
      <c r="N80" s="11">
        <f t="shared" si="12"/>
        <v>1</v>
      </c>
    </row>
    <row r="81" spans="1:14" x14ac:dyDescent="0.25">
      <c r="A81" s="9">
        <f>'Pit Inventory'!A81</f>
        <v>8</v>
      </c>
      <c r="B81" s="9">
        <f>'Pit Inventory'!B81</f>
        <v>420</v>
      </c>
      <c r="C81" s="91">
        <f t="shared" si="13"/>
        <v>8.3950639283157322</v>
      </c>
      <c r="D81" s="8">
        <f t="shared" si="7"/>
        <v>4.8481490000000003</v>
      </c>
      <c r="E81" s="8">
        <f>'Pit Inventory'!D81</f>
        <v>4.215541</v>
      </c>
      <c r="F81" s="8">
        <f>'Pit Inventory'!C81</f>
        <v>0.63260799999999995</v>
      </c>
      <c r="G81" s="8">
        <f>'Pit Inventory'!E81</f>
        <v>64.33</v>
      </c>
      <c r="H81" s="8">
        <f>'Pit Inventory'!F81</f>
        <v>2.79</v>
      </c>
      <c r="I81" s="8">
        <f>'Pit Inventory'!G81</f>
        <v>1.9</v>
      </c>
      <c r="J81" s="8">
        <f t="shared" si="8"/>
        <v>35.67</v>
      </c>
      <c r="K81" s="11">
        <f t="shared" si="9"/>
        <v>0</v>
      </c>
      <c r="L81" s="11">
        <f t="shared" si="10"/>
        <v>1</v>
      </c>
      <c r="M81" s="11">
        <f t="shared" si="11"/>
        <v>0</v>
      </c>
      <c r="N81" s="11">
        <f t="shared" si="12"/>
        <v>1</v>
      </c>
    </row>
    <row r="82" spans="1:14" x14ac:dyDescent="0.25">
      <c r="A82" s="9">
        <f>'Pit Inventory'!A82</f>
        <v>8</v>
      </c>
      <c r="B82" s="9">
        <f>'Pit Inventory'!B82</f>
        <v>408</v>
      </c>
      <c r="C82" s="91">
        <f t="shared" si="13"/>
        <v>9.949346707830335</v>
      </c>
      <c r="D82" s="8">
        <f t="shared" si="7"/>
        <v>4.1499379999999997</v>
      </c>
      <c r="E82" s="8">
        <f>'Pit Inventory'!D82</f>
        <v>3.511444</v>
      </c>
      <c r="F82" s="8">
        <f>'Pit Inventory'!C82</f>
        <v>0.63849400000000001</v>
      </c>
      <c r="G82" s="8">
        <f>'Pit Inventory'!E82</f>
        <v>64.66</v>
      </c>
      <c r="H82" s="8">
        <f>'Pit Inventory'!F82</f>
        <v>2.77</v>
      </c>
      <c r="I82" s="8">
        <f>'Pit Inventory'!G82</f>
        <v>1.74</v>
      </c>
      <c r="J82" s="8">
        <f t="shared" si="8"/>
        <v>35.340000000000003</v>
      </c>
      <c r="K82" s="11">
        <f t="shared" si="9"/>
        <v>0</v>
      </c>
      <c r="L82" s="11">
        <f t="shared" si="10"/>
        <v>1</v>
      </c>
      <c r="M82" s="11">
        <f t="shared" si="11"/>
        <v>0</v>
      </c>
      <c r="N82" s="11">
        <f t="shared" si="12"/>
        <v>1</v>
      </c>
    </row>
    <row r="83" spans="1:14" x14ac:dyDescent="0.25">
      <c r="A83" s="9">
        <f>'Pit Inventory'!A83</f>
        <v>8</v>
      </c>
      <c r="B83" s="9">
        <f>'Pit Inventory'!B83</f>
        <v>396</v>
      </c>
      <c r="C83" s="91">
        <f t="shared" si="13"/>
        <v>11.580058822138545</v>
      </c>
      <c r="D83" s="8">
        <f t="shared" si="7"/>
        <v>3.5525909999999996</v>
      </c>
      <c r="E83" s="8">
        <f>'Pit Inventory'!D83</f>
        <v>2.9193449999999999</v>
      </c>
      <c r="F83" s="8">
        <f>'Pit Inventory'!C83</f>
        <v>0.63324599999999998</v>
      </c>
      <c r="G83" s="8">
        <f>'Pit Inventory'!E83</f>
        <v>64.959999999999994</v>
      </c>
      <c r="H83" s="8">
        <f>'Pit Inventory'!F83</f>
        <v>2.5299999999999998</v>
      </c>
      <c r="I83" s="8">
        <f>'Pit Inventory'!G83</f>
        <v>1.66</v>
      </c>
      <c r="J83" s="8">
        <f t="shared" si="8"/>
        <v>35.040000000000006</v>
      </c>
      <c r="K83" s="11">
        <f t="shared" si="9"/>
        <v>0</v>
      </c>
      <c r="L83" s="11">
        <f t="shared" si="10"/>
        <v>1</v>
      </c>
      <c r="M83" s="11">
        <f t="shared" si="11"/>
        <v>0</v>
      </c>
      <c r="N83" s="11">
        <f t="shared" si="12"/>
        <v>1</v>
      </c>
    </row>
    <row r="84" spans="1:14" x14ac:dyDescent="0.25">
      <c r="A84" s="9">
        <f>'Pit Inventory'!A84</f>
        <v>8</v>
      </c>
      <c r="B84" s="9">
        <f>'Pit Inventory'!B84</f>
        <v>384</v>
      </c>
      <c r="C84" s="91">
        <f t="shared" si="13"/>
        <v>13.366274556406792</v>
      </c>
      <c r="D84" s="8">
        <f t="shared" si="7"/>
        <v>2.9498309999999996</v>
      </c>
      <c r="E84" s="8">
        <f>'Pit Inventory'!D84</f>
        <v>2.3426339999999999</v>
      </c>
      <c r="F84" s="8">
        <f>'Pit Inventory'!C84</f>
        <v>0.60719699999999999</v>
      </c>
      <c r="G84" s="8">
        <f>'Pit Inventory'!E84</f>
        <v>64.930000000000007</v>
      </c>
      <c r="H84" s="8">
        <f>'Pit Inventory'!F84</f>
        <v>2.41</v>
      </c>
      <c r="I84" s="8">
        <f>'Pit Inventory'!G84</f>
        <v>1.56</v>
      </c>
      <c r="J84" s="8">
        <f t="shared" si="8"/>
        <v>35.069999999999993</v>
      </c>
      <c r="K84" s="11">
        <f t="shared" si="9"/>
        <v>0</v>
      </c>
      <c r="L84" s="11">
        <f t="shared" si="10"/>
        <v>1</v>
      </c>
      <c r="M84" s="11">
        <f t="shared" si="11"/>
        <v>0</v>
      </c>
      <c r="N84" s="11">
        <f t="shared" si="12"/>
        <v>1</v>
      </c>
    </row>
    <row r="85" spans="1:14" x14ac:dyDescent="0.25">
      <c r="A85" s="9">
        <f>'Pit Inventory'!A85</f>
        <v>8</v>
      </c>
      <c r="B85" s="9">
        <f>'Pit Inventory'!B85</f>
        <v>372</v>
      </c>
      <c r="C85" s="91">
        <f t="shared" si="13"/>
        <v>14.793771639910087</v>
      </c>
      <c r="D85" s="8">
        <f t="shared" si="7"/>
        <v>2.3876369999999998</v>
      </c>
      <c r="E85" s="8">
        <f>'Pit Inventory'!D85</f>
        <v>1.843167</v>
      </c>
      <c r="F85" s="8">
        <f>'Pit Inventory'!C85</f>
        <v>0.54447000000000001</v>
      </c>
      <c r="G85" s="8">
        <f>'Pit Inventory'!E85</f>
        <v>64.87</v>
      </c>
      <c r="H85" s="8">
        <f>'Pit Inventory'!F85</f>
        <v>2.36</v>
      </c>
      <c r="I85" s="8">
        <f>'Pit Inventory'!G85</f>
        <v>1.44</v>
      </c>
      <c r="J85" s="8">
        <f t="shared" si="8"/>
        <v>35.129999999999995</v>
      </c>
      <c r="K85" s="11">
        <f t="shared" si="9"/>
        <v>0</v>
      </c>
      <c r="L85" s="11">
        <f t="shared" si="10"/>
        <v>1</v>
      </c>
      <c r="M85" s="11">
        <f t="shared" si="11"/>
        <v>0</v>
      </c>
      <c r="N85" s="11">
        <f t="shared" si="12"/>
        <v>1</v>
      </c>
    </row>
    <row r="86" spans="1:14" x14ac:dyDescent="0.25">
      <c r="A86" s="9">
        <f>'Pit Inventory'!A86</f>
        <v>8</v>
      </c>
      <c r="B86" s="9">
        <f>'Pit Inventory'!B86</f>
        <v>360</v>
      </c>
      <c r="C86" s="91">
        <f t="shared" si="13"/>
        <v>16.187639804915865</v>
      </c>
      <c r="D86" s="8">
        <f t="shared" si="7"/>
        <v>1.8576600000000001</v>
      </c>
      <c r="E86" s="8">
        <f>'Pit Inventory'!D86</f>
        <v>1.3943430000000001</v>
      </c>
      <c r="F86" s="8">
        <f>'Pit Inventory'!C86</f>
        <v>0.46331699999999998</v>
      </c>
      <c r="G86" s="8">
        <f>'Pit Inventory'!E86</f>
        <v>64.900000000000006</v>
      </c>
      <c r="H86" s="8">
        <f>'Pit Inventory'!F86</f>
        <v>2.2200000000000002</v>
      </c>
      <c r="I86" s="8">
        <f>'Pit Inventory'!G86</f>
        <v>1.46</v>
      </c>
      <c r="J86" s="8">
        <f t="shared" si="8"/>
        <v>35.099999999999994</v>
      </c>
      <c r="K86" s="11">
        <f t="shared" si="9"/>
        <v>0</v>
      </c>
      <c r="L86" s="11">
        <f t="shared" si="10"/>
        <v>1</v>
      </c>
      <c r="M86" s="11">
        <f t="shared" si="11"/>
        <v>0</v>
      </c>
      <c r="N86" s="11">
        <f t="shared" si="12"/>
        <v>1</v>
      </c>
    </row>
    <row r="87" spans="1:14" x14ac:dyDescent="0.25">
      <c r="A87" s="9">
        <f>'Pit Inventory'!A87</f>
        <v>8</v>
      </c>
      <c r="B87" s="9">
        <f>'Pit Inventory'!B87</f>
        <v>348</v>
      </c>
      <c r="C87" s="91">
        <f t="shared" si="13"/>
        <v>20.469631218956113</v>
      </c>
      <c r="D87" s="8">
        <f t="shared" si="7"/>
        <v>1.031604</v>
      </c>
      <c r="E87" s="8">
        <f>'Pit Inventory'!D87</f>
        <v>0.70744799999999997</v>
      </c>
      <c r="F87" s="8">
        <f>'Pit Inventory'!C87</f>
        <v>0.324156</v>
      </c>
      <c r="G87" s="8">
        <f>'Pit Inventory'!E87</f>
        <v>65.14</v>
      </c>
      <c r="H87" s="8">
        <f>'Pit Inventory'!F87</f>
        <v>2.0499999999999998</v>
      </c>
      <c r="I87" s="8">
        <f>'Pit Inventory'!G87</f>
        <v>1.46</v>
      </c>
      <c r="J87" s="8">
        <f t="shared" si="8"/>
        <v>34.86</v>
      </c>
      <c r="K87" s="11">
        <f t="shared" si="9"/>
        <v>0</v>
      </c>
      <c r="L87" s="11">
        <f t="shared" si="10"/>
        <v>1</v>
      </c>
      <c r="M87" s="11">
        <f t="shared" si="11"/>
        <v>0</v>
      </c>
      <c r="N87" s="11">
        <f t="shared" si="12"/>
        <v>1</v>
      </c>
    </row>
    <row r="88" spans="1:14" x14ac:dyDescent="0.25">
      <c r="A88" s="9">
        <f>'Pit Inventory'!A88</f>
        <v>8</v>
      </c>
      <c r="B88" s="9">
        <f>'Pit Inventory'!B88</f>
        <v>336</v>
      </c>
      <c r="C88" s="91">
        <f t="shared" si="13"/>
        <v>24.563412345283421</v>
      </c>
      <c r="D88" s="8">
        <f t="shared" si="7"/>
        <v>0.39321899999999999</v>
      </c>
      <c r="E88" s="8">
        <f>'Pit Inventory'!D88</f>
        <v>0.24645700000000001</v>
      </c>
      <c r="F88" s="8">
        <f>'Pit Inventory'!C88</f>
        <v>0.146762</v>
      </c>
      <c r="G88" s="8">
        <f>'Pit Inventory'!E88</f>
        <v>65.81</v>
      </c>
      <c r="H88" s="8">
        <f>'Pit Inventory'!F88</f>
        <v>1.94</v>
      </c>
      <c r="I88" s="8">
        <f>'Pit Inventory'!G88</f>
        <v>1.47</v>
      </c>
      <c r="J88" s="8">
        <f t="shared" si="8"/>
        <v>34.19</v>
      </c>
      <c r="K88" s="11">
        <f t="shared" si="9"/>
        <v>0</v>
      </c>
      <c r="L88" s="11">
        <f t="shared" si="10"/>
        <v>1</v>
      </c>
      <c r="M88" s="11">
        <f t="shared" si="11"/>
        <v>0</v>
      </c>
      <c r="N88" s="11">
        <f t="shared" si="12"/>
        <v>1</v>
      </c>
    </row>
    <row r="89" spans="1:14" x14ac:dyDescent="0.25">
      <c r="A89" s="9">
        <f>'Pit Inventory'!A89</f>
        <v>8</v>
      </c>
      <c r="B89" s="9">
        <f>'Pit Inventory'!B89</f>
        <v>324</v>
      </c>
      <c r="C89" s="91">
        <f t="shared" si="13"/>
        <v>25.169801264599986</v>
      </c>
      <c r="D89" s="8">
        <f t="shared" si="7"/>
        <v>0.11387</v>
      </c>
      <c r="E89" s="8">
        <f>'Pit Inventory'!D89</f>
        <v>7.0525000000000004E-2</v>
      </c>
      <c r="F89" s="8">
        <f>'Pit Inventory'!C89</f>
        <v>4.3345000000000002E-2</v>
      </c>
      <c r="G89" s="8">
        <f>'Pit Inventory'!E89</f>
        <v>66.12</v>
      </c>
      <c r="H89" s="8">
        <f>'Pit Inventory'!F89</f>
        <v>1.87</v>
      </c>
      <c r="I89" s="8">
        <f>'Pit Inventory'!G89</f>
        <v>1.45</v>
      </c>
      <c r="J89" s="8">
        <f t="shared" si="8"/>
        <v>33.879999999999995</v>
      </c>
      <c r="K89" s="11">
        <f t="shared" si="9"/>
        <v>0</v>
      </c>
      <c r="L89" s="11">
        <f t="shared" si="10"/>
        <v>1</v>
      </c>
      <c r="M89" s="11">
        <f t="shared" si="11"/>
        <v>0</v>
      </c>
      <c r="N89" s="11">
        <f t="shared" si="12"/>
        <v>1</v>
      </c>
    </row>
    <row r="90" spans="1:14" x14ac:dyDescent="0.25">
      <c r="A90" s="9">
        <f>'Pit Inventory'!A90</f>
        <v>9</v>
      </c>
      <c r="B90" s="9">
        <f>'Pit Inventory'!B90</f>
        <v>552</v>
      </c>
      <c r="C90" s="91">
        <v>1000</v>
      </c>
      <c r="D90" s="8">
        <f t="shared" si="7"/>
        <v>7.3208999999999996E-2</v>
      </c>
      <c r="E90" s="8">
        <f>'Pit Inventory'!D90</f>
        <v>7.3208999999999996E-2</v>
      </c>
      <c r="F90" s="8">
        <f>'Pit Inventory'!C90</f>
        <v>0</v>
      </c>
      <c r="G90" s="8">
        <f>'Pit Inventory'!E90</f>
        <v>0</v>
      </c>
      <c r="H90" s="8">
        <f>'Pit Inventory'!F90</f>
        <v>0</v>
      </c>
      <c r="I90" s="8">
        <f>'Pit Inventory'!G90</f>
        <v>0</v>
      </c>
      <c r="J90" s="8">
        <f t="shared" si="8"/>
        <v>100</v>
      </c>
      <c r="K90" s="11">
        <f t="shared" si="9"/>
        <v>1</v>
      </c>
      <c r="L90" s="11">
        <f t="shared" si="10"/>
        <v>0</v>
      </c>
      <c r="M90" s="11">
        <f t="shared" si="11"/>
        <v>0</v>
      </c>
      <c r="N90" s="11">
        <f t="shared" si="12"/>
        <v>1</v>
      </c>
    </row>
    <row r="91" spans="1:14" x14ac:dyDescent="0.25">
      <c r="A91" s="9">
        <f>'Pit Inventory'!A91</f>
        <v>9</v>
      </c>
      <c r="B91" s="9">
        <f>'Pit Inventory'!B91</f>
        <v>540</v>
      </c>
      <c r="C91" s="91">
        <v>1000</v>
      </c>
      <c r="D91" s="8">
        <f t="shared" si="7"/>
        <v>0.117912</v>
      </c>
      <c r="E91" s="8">
        <f>'Pit Inventory'!D91</f>
        <v>0.117912</v>
      </c>
      <c r="F91" s="8">
        <f>'Pit Inventory'!C91</f>
        <v>0</v>
      </c>
      <c r="G91" s="8">
        <f>'Pit Inventory'!E91</f>
        <v>0</v>
      </c>
      <c r="H91" s="8">
        <f>'Pit Inventory'!F91</f>
        <v>0</v>
      </c>
      <c r="I91" s="8">
        <f>'Pit Inventory'!G91</f>
        <v>0</v>
      </c>
      <c r="J91" s="8">
        <f t="shared" si="8"/>
        <v>100</v>
      </c>
      <c r="K91" s="11">
        <f t="shared" si="9"/>
        <v>1</v>
      </c>
      <c r="L91" s="11">
        <f t="shared" si="10"/>
        <v>0</v>
      </c>
      <c r="M91" s="11">
        <f t="shared" si="11"/>
        <v>0</v>
      </c>
      <c r="N91" s="11">
        <f t="shared" si="12"/>
        <v>1</v>
      </c>
    </row>
    <row r="92" spans="1:14" x14ac:dyDescent="0.25">
      <c r="A92" s="9">
        <f>'Pit Inventory'!A92</f>
        <v>9</v>
      </c>
      <c r="B92" s="9">
        <f>'Pit Inventory'!B92</f>
        <v>528</v>
      </c>
      <c r="C92" s="91">
        <v>1000</v>
      </c>
      <c r="D92" s="8">
        <f t="shared" si="7"/>
        <v>2.8507999999999999E-2</v>
      </c>
      <c r="E92" s="8">
        <f>'Pit Inventory'!D92</f>
        <v>2.8507999999999999E-2</v>
      </c>
      <c r="F92" s="8">
        <f>'Pit Inventory'!C92</f>
        <v>0</v>
      </c>
      <c r="G92" s="8">
        <f>'Pit Inventory'!E92</f>
        <v>0</v>
      </c>
      <c r="H92" s="8">
        <f>'Pit Inventory'!F92</f>
        <v>0</v>
      </c>
      <c r="I92" s="8">
        <f>'Pit Inventory'!G92</f>
        <v>0</v>
      </c>
      <c r="J92" s="8">
        <f t="shared" si="8"/>
        <v>100</v>
      </c>
      <c r="K92" s="11">
        <f t="shared" si="9"/>
        <v>1</v>
      </c>
      <c r="L92" s="11">
        <f t="shared" si="10"/>
        <v>0</v>
      </c>
      <c r="M92" s="11">
        <f t="shared" si="11"/>
        <v>0</v>
      </c>
      <c r="N92" s="11">
        <f t="shared" si="12"/>
        <v>1</v>
      </c>
    </row>
    <row r="93" spans="1:14" x14ac:dyDescent="0.25">
      <c r="A93" s="9">
        <f>'Pit Inventory'!A93</f>
        <v>9</v>
      </c>
      <c r="B93" s="9">
        <f>'Pit Inventory'!B93</f>
        <v>516</v>
      </c>
      <c r="C93" s="91">
        <v>1000</v>
      </c>
      <c r="D93" s="8">
        <f t="shared" si="7"/>
        <v>1.029E-3</v>
      </c>
      <c r="E93" s="8">
        <f>'Pit Inventory'!D93</f>
        <v>1.029E-3</v>
      </c>
      <c r="F93" s="8">
        <f>'Pit Inventory'!C93</f>
        <v>0</v>
      </c>
      <c r="G93" s="8">
        <f>'Pit Inventory'!E93</f>
        <v>0</v>
      </c>
      <c r="H93" s="8">
        <f>'Pit Inventory'!F93</f>
        <v>0</v>
      </c>
      <c r="I93" s="8">
        <f>'Pit Inventory'!G93</f>
        <v>0</v>
      </c>
      <c r="J93" s="8">
        <f t="shared" si="8"/>
        <v>100</v>
      </c>
      <c r="K93" s="11">
        <f t="shared" si="9"/>
        <v>1</v>
      </c>
      <c r="L93" s="11">
        <f t="shared" si="10"/>
        <v>0</v>
      </c>
      <c r="M93" s="11">
        <f t="shared" si="11"/>
        <v>0</v>
      </c>
      <c r="N93" s="11">
        <f t="shared" si="12"/>
        <v>1</v>
      </c>
    </row>
    <row r="94" spans="1:14" x14ac:dyDescent="0.25">
      <c r="A94" s="9">
        <f>'Pit Inventory'!A94</f>
        <v>10</v>
      </c>
      <c r="B94" s="9">
        <f>'Pit Inventory'!B94</f>
        <v>552</v>
      </c>
      <c r="C94" s="91">
        <f t="shared" si="13"/>
        <v>21.779867244160666</v>
      </c>
      <c r="D94" s="8">
        <f t="shared" si="7"/>
        <v>7.3766999999999999E-2</v>
      </c>
      <c r="E94" s="8">
        <f>'Pit Inventory'!D94</f>
        <v>4.7364999999999997E-2</v>
      </c>
      <c r="F94" s="8">
        <f>'Pit Inventory'!C94</f>
        <v>2.6401999999999998E-2</v>
      </c>
      <c r="G94" s="8">
        <f>'Pit Inventory'!E94</f>
        <v>60.85</v>
      </c>
      <c r="H94" s="8">
        <f>'Pit Inventory'!F94</f>
        <v>2.91</v>
      </c>
      <c r="I94" s="8">
        <f>'Pit Inventory'!G94</f>
        <v>2.4</v>
      </c>
      <c r="J94" s="8">
        <f t="shared" si="8"/>
        <v>39.15</v>
      </c>
      <c r="K94" s="11">
        <f t="shared" si="9"/>
        <v>0</v>
      </c>
      <c r="L94" s="11">
        <f t="shared" si="10"/>
        <v>1</v>
      </c>
      <c r="M94" s="11">
        <f t="shared" si="11"/>
        <v>0</v>
      </c>
      <c r="N94" s="11">
        <f t="shared" si="12"/>
        <v>1</v>
      </c>
    </row>
    <row r="95" spans="1:14" x14ac:dyDescent="0.25">
      <c r="A95" s="9">
        <f>'Pit Inventory'!A95</f>
        <v>10</v>
      </c>
      <c r="B95" s="9">
        <f>'Pit Inventory'!B95</f>
        <v>540</v>
      </c>
      <c r="C95" s="91">
        <f t="shared" si="13"/>
        <v>13.507883714263473</v>
      </c>
      <c r="D95" s="8">
        <f t="shared" si="7"/>
        <v>1.2976570000000001</v>
      </c>
      <c r="E95" s="8">
        <f>'Pit Inventory'!D95</f>
        <v>1.011029</v>
      </c>
      <c r="F95" s="8">
        <f>'Pit Inventory'!C95</f>
        <v>0.28662799999999999</v>
      </c>
      <c r="G95" s="8">
        <f>'Pit Inventory'!E95</f>
        <v>61.15</v>
      </c>
      <c r="H95" s="8">
        <f>'Pit Inventory'!F95</f>
        <v>3.07</v>
      </c>
      <c r="I95" s="8">
        <f>'Pit Inventory'!G95</f>
        <v>2.61</v>
      </c>
      <c r="J95" s="8">
        <f t="shared" si="8"/>
        <v>38.85</v>
      </c>
      <c r="K95" s="11">
        <f t="shared" si="9"/>
        <v>0</v>
      </c>
      <c r="L95" s="11">
        <f t="shared" si="10"/>
        <v>1</v>
      </c>
      <c r="M95" s="11">
        <f t="shared" si="11"/>
        <v>0</v>
      </c>
      <c r="N95" s="11">
        <f t="shared" si="12"/>
        <v>1</v>
      </c>
    </row>
    <row r="96" spans="1:14" x14ac:dyDescent="0.25">
      <c r="A96" s="9">
        <f>'Pit Inventory'!A96</f>
        <v>10</v>
      </c>
      <c r="B96" s="9">
        <f>'Pit Inventory'!B96</f>
        <v>528</v>
      </c>
      <c r="C96" s="91">
        <f t="shared" si="13"/>
        <v>6.8764449440157973</v>
      </c>
      <c r="D96" s="8">
        <f t="shared" si="7"/>
        <v>5.4119729999999997</v>
      </c>
      <c r="E96" s="8">
        <f>'Pit Inventory'!D96</f>
        <v>4.8039709999999998</v>
      </c>
      <c r="F96" s="8">
        <f>'Pit Inventory'!C96</f>
        <v>0.60800200000000004</v>
      </c>
      <c r="G96" s="8">
        <f>'Pit Inventory'!E96</f>
        <v>61.2</v>
      </c>
      <c r="H96" s="8">
        <f>'Pit Inventory'!F96</f>
        <v>3.3</v>
      </c>
      <c r="I96" s="8">
        <f>'Pit Inventory'!G96</f>
        <v>2.57</v>
      </c>
      <c r="J96" s="8">
        <f t="shared" si="8"/>
        <v>38.799999999999997</v>
      </c>
      <c r="K96" s="11">
        <f t="shared" si="9"/>
        <v>0</v>
      </c>
      <c r="L96" s="11">
        <f t="shared" si="10"/>
        <v>1</v>
      </c>
      <c r="M96" s="11">
        <f t="shared" si="11"/>
        <v>0</v>
      </c>
      <c r="N96" s="11">
        <f t="shared" si="12"/>
        <v>1</v>
      </c>
    </row>
    <row r="97" spans="1:14" x14ac:dyDescent="0.25">
      <c r="A97" s="9">
        <f>'Pit Inventory'!A97</f>
        <v>10</v>
      </c>
      <c r="B97" s="9">
        <f>'Pit Inventory'!B97</f>
        <v>516</v>
      </c>
      <c r="C97" s="91">
        <f t="shared" si="13"/>
        <v>4.0995864916088678</v>
      </c>
      <c r="D97" s="8">
        <f t="shared" si="7"/>
        <v>11.879505</v>
      </c>
      <c r="E97" s="8">
        <f>'Pit Inventory'!D97</f>
        <v>11.080798</v>
      </c>
      <c r="F97" s="8">
        <f>'Pit Inventory'!C97</f>
        <v>0.79870699999999994</v>
      </c>
      <c r="G97" s="8">
        <f>'Pit Inventory'!E97</f>
        <v>60.96</v>
      </c>
      <c r="H97" s="8">
        <f>'Pit Inventory'!F97</f>
        <v>3.43</v>
      </c>
      <c r="I97" s="8">
        <f>'Pit Inventory'!G97</f>
        <v>2.48</v>
      </c>
      <c r="J97" s="8">
        <f t="shared" si="8"/>
        <v>39.04</v>
      </c>
      <c r="K97" s="11">
        <f t="shared" si="9"/>
        <v>0</v>
      </c>
      <c r="L97" s="11">
        <f t="shared" si="10"/>
        <v>1</v>
      </c>
      <c r="M97" s="11">
        <f t="shared" si="11"/>
        <v>0</v>
      </c>
      <c r="N97" s="11">
        <f t="shared" si="12"/>
        <v>1</v>
      </c>
    </row>
    <row r="98" spans="1:14" x14ac:dyDescent="0.25">
      <c r="A98" s="9">
        <f>'Pit Inventory'!A98</f>
        <v>10</v>
      </c>
      <c r="B98" s="9">
        <f>'Pit Inventory'!B98</f>
        <v>504</v>
      </c>
      <c r="C98" s="91">
        <f t="shared" si="13"/>
        <v>4.4316033038253986</v>
      </c>
      <c r="D98" s="8">
        <f t="shared" si="7"/>
        <v>12.200220999999999</v>
      </c>
      <c r="E98" s="8">
        <f>'Pit Inventory'!D98</f>
        <v>11.315099999999999</v>
      </c>
      <c r="F98" s="8">
        <f>'Pit Inventory'!C98</f>
        <v>0.88512100000000005</v>
      </c>
      <c r="G98" s="8">
        <f>'Pit Inventory'!E98</f>
        <v>61.07</v>
      </c>
      <c r="H98" s="8">
        <f>'Pit Inventory'!F98</f>
        <v>3.34</v>
      </c>
      <c r="I98" s="8">
        <f>'Pit Inventory'!G98</f>
        <v>2.39</v>
      </c>
      <c r="J98" s="8">
        <f t="shared" si="8"/>
        <v>38.93</v>
      </c>
      <c r="K98" s="11">
        <f t="shared" si="9"/>
        <v>0</v>
      </c>
      <c r="L98" s="11">
        <f t="shared" si="10"/>
        <v>1</v>
      </c>
      <c r="M98" s="11">
        <f t="shared" si="11"/>
        <v>0</v>
      </c>
      <c r="N98" s="11">
        <f t="shared" si="12"/>
        <v>1</v>
      </c>
    </row>
    <row r="99" spans="1:14" x14ac:dyDescent="0.25">
      <c r="A99" s="9">
        <f>'Pit Inventory'!A99</f>
        <v>10</v>
      </c>
      <c r="B99" s="9">
        <f>'Pit Inventory'!B99</f>
        <v>492</v>
      </c>
      <c r="C99" s="91">
        <f t="shared" si="13"/>
        <v>5.2266046485206274</v>
      </c>
      <c r="D99" s="8">
        <f t="shared" si="7"/>
        <v>10.861434000000001</v>
      </c>
      <c r="E99" s="8">
        <f>'Pit Inventory'!D99</f>
        <v>9.9328090000000007</v>
      </c>
      <c r="F99" s="8">
        <f>'Pit Inventory'!C99</f>
        <v>0.92862500000000003</v>
      </c>
      <c r="G99" s="8">
        <f>'Pit Inventory'!E99</f>
        <v>61.12</v>
      </c>
      <c r="H99" s="8">
        <f>'Pit Inventory'!F99</f>
        <v>3.31</v>
      </c>
      <c r="I99" s="8">
        <f>'Pit Inventory'!G99</f>
        <v>2.31</v>
      </c>
      <c r="J99" s="8">
        <f t="shared" si="8"/>
        <v>38.880000000000003</v>
      </c>
      <c r="K99" s="11">
        <f t="shared" si="9"/>
        <v>0</v>
      </c>
      <c r="L99" s="11">
        <f t="shared" si="10"/>
        <v>1</v>
      </c>
      <c r="M99" s="11">
        <f t="shared" si="11"/>
        <v>0</v>
      </c>
      <c r="N99" s="11">
        <f t="shared" si="12"/>
        <v>1</v>
      </c>
    </row>
    <row r="100" spans="1:14" x14ac:dyDescent="0.25">
      <c r="A100" s="9">
        <f>'Pit Inventory'!A100</f>
        <v>10</v>
      </c>
      <c r="B100" s="9">
        <f>'Pit Inventory'!B100</f>
        <v>480</v>
      </c>
      <c r="C100" s="91">
        <f t="shared" si="13"/>
        <v>6.1136152180554415</v>
      </c>
      <c r="D100" s="8">
        <f t="shared" si="7"/>
        <v>9.7151439999999987</v>
      </c>
      <c r="E100" s="8">
        <f>'Pit Inventory'!D100</f>
        <v>8.7443259999999992</v>
      </c>
      <c r="F100" s="8">
        <f>'Pit Inventory'!C100</f>
        <v>0.97081799999999996</v>
      </c>
      <c r="G100" s="8">
        <f>'Pit Inventory'!E100</f>
        <v>61.17</v>
      </c>
      <c r="H100" s="8">
        <f>'Pit Inventory'!F100</f>
        <v>3.31</v>
      </c>
      <c r="I100" s="8">
        <f>'Pit Inventory'!G100</f>
        <v>2.33</v>
      </c>
      <c r="J100" s="8">
        <f t="shared" si="8"/>
        <v>38.83</v>
      </c>
      <c r="K100" s="11">
        <f t="shared" si="9"/>
        <v>0</v>
      </c>
      <c r="L100" s="11">
        <f t="shared" si="10"/>
        <v>1</v>
      </c>
      <c r="M100" s="11">
        <f t="shared" si="11"/>
        <v>0</v>
      </c>
      <c r="N100" s="11">
        <f t="shared" si="12"/>
        <v>1</v>
      </c>
    </row>
    <row r="101" spans="1:14" x14ac:dyDescent="0.25">
      <c r="A101" s="9">
        <f>'Pit Inventory'!A101</f>
        <v>10</v>
      </c>
      <c r="B101" s="9">
        <f>'Pit Inventory'!B101</f>
        <v>468</v>
      </c>
      <c r="C101" s="91">
        <f t="shared" si="13"/>
        <v>7.2313381704827906</v>
      </c>
      <c r="D101" s="8">
        <f t="shared" si="7"/>
        <v>8.6050679999999993</v>
      </c>
      <c r="E101" s="8">
        <f>'Pit Inventory'!D101</f>
        <v>7.5881090000000002</v>
      </c>
      <c r="F101" s="8">
        <f>'Pit Inventory'!C101</f>
        <v>1.0169589999999999</v>
      </c>
      <c r="G101" s="8">
        <f>'Pit Inventory'!E101</f>
        <v>61.18</v>
      </c>
      <c r="H101" s="8">
        <f>'Pit Inventory'!F101</f>
        <v>3.31</v>
      </c>
      <c r="I101" s="8">
        <f>'Pit Inventory'!G101</f>
        <v>2.31</v>
      </c>
      <c r="J101" s="8">
        <f t="shared" si="8"/>
        <v>38.82</v>
      </c>
      <c r="K101" s="11">
        <f t="shared" si="9"/>
        <v>0</v>
      </c>
      <c r="L101" s="11">
        <f t="shared" si="10"/>
        <v>1</v>
      </c>
      <c r="M101" s="11">
        <f t="shared" si="11"/>
        <v>0</v>
      </c>
      <c r="N101" s="11">
        <f t="shared" si="12"/>
        <v>1</v>
      </c>
    </row>
    <row r="102" spans="1:14" x14ac:dyDescent="0.25">
      <c r="A102" s="9">
        <f>'Pit Inventory'!A102</f>
        <v>10</v>
      </c>
      <c r="B102" s="9">
        <f>'Pit Inventory'!B102</f>
        <v>456</v>
      </c>
      <c r="C102" s="91">
        <f t="shared" si="13"/>
        <v>8.1370219671952579</v>
      </c>
      <c r="D102" s="8">
        <f t="shared" si="7"/>
        <v>7.6753540000000005</v>
      </c>
      <c r="E102" s="8">
        <f>'Pit Inventory'!D102</f>
        <v>6.656479</v>
      </c>
      <c r="F102" s="8">
        <f>'Pit Inventory'!C102</f>
        <v>1.018875</v>
      </c>
      <c r="G102" s="8">
        <f>'Pit Inventory'!E102</f>
        <v>61.29</v>
      </c>
      <c r="H102" s="8">
        <f>'Pit Inventory'!F102</f>
        <v>3.46</v>
      </c>
      <c r="I102" s="8">
        <f>'Pit Inventory'!G102</f>
        <v>2.2400000000000002</v>
      </c>
      <c r="J102" s="8">
        <f t="shared" si="8"/>
        <v>38.71</v>
      </c>
      <c r="K102" s="11">
        <f t="shared" si="9"/>
        <v>0</v>
      </c>
      <c r="L102" s="11">
        <f t="shared" si="10"/>
        <v>1</v>
      </c>
      <c r="M102" s="11">
        <f t="shared" si="11"/>
        <v>0</v>
      </c>
      <c r="N102" s="11">
        <f t="shared" si="12"/>
        <v>1</v>
      </c>
    </row>
    <row r="103" spans="1:14" x14ac:dyDescent="0.25">
      <c r="A103" s="9">
        <f>'Pit Inventory'!A103</f>
        <v>10</v>
      </c>
      <c r="B103" s="9">
        <f>'Pit Inventory'!B103</f>
        <v>444</v>
      </c>
      <c r="C103" s="91">
        <f>1+F103*G103/D103</f>
        <v>10.033603314456473</v>
      </c>
      <c r="D103" s="8">
        <f t="shared" si="7"/>
        <v>6.7115679999999998</v>
      </c>
      <c r="E103" s="8">
        <f>'Pit Inventory'!D103</f>
        <v>5.7226650000000001</v>
      </c>
      <c r="F103" s="8">
        <f>'Pit Inventory'!C103</f>
        <v>0.98890299999999998</v>
      </c>
      <c r="G103" s="8">
        <f>'Pit Inventory'!E103</f>
        <v>61.31</v>
      </c>
      <c r="H103" s="8">
        <f>'Pit Inventory'!F103</f>
        <v>3.65</v>
      </c>
      <c r="I103" s="8">
        <f>'Pit Inventory'!G103</f>
        <v>2.25</v>
      </c>
      <c r="J103" s="8">
        <f t="shared" si="8"/>
        <v>38.69</v>
      </c>
      <c r="K103" s="11">
        <f t="shared" si="9"/>
        <v>0</v>
      </c>
      <c r="L103" s="11">
        <f t="shared" si="10"/>
        <v>1</v>
      </c>
      <c r="M103" s="11">
        <f t="shared" si="11"/>
        <v>0</v>
      </c>
      <c r="N103" s="11">
        <f t="shared" si="12"/>
        <v>1</v>
      </c>
    </row>
    <row r="104" spans="1:14" x14ac:dyDescent="0.25">
      <c r="A104" s="9">
        <f>'Pit Inventory'!A104</f>
        <v>10</v>
      </c>
      <c r="B104" s="9">
        <f>'Pit Inventory'!B104</f>
        <v>432</v>
      </c>
      <c r="C104" s="91">
        <f t="shared" ref="C104:C167" si="14">1+F104*G104/D104</f>
        <v>11.075932717575339</v>
      </c>
      <c r="D104" s="8">
        <f t="shared" si="7"/>
        <v>5.8542480000000001</v>
      </c>
      <c r="E104" s="8">
        <f>'Pit Inventory'!D104</f>
        <v>4.8913520000000004</v>
      </c>
      <c r="F104" s="8">
        <f>'Pit Inventory'!C104</f>
        <v>0.96289599999999997</v>
      </c>
      <c r="G104" s="8">
        <f>'Pit Inventory'!E104</f>
        <v>61.26</v>
      </c>
      <c r="H104" s="8">
        <f>'Pit Inventory'!F104</f>
        <v>3.74</v>
      </c>
      <c r="I104" s="8">
        <f>'Pit Inventory'!G104</f>
        <v>2.2200000000000002</v>
      </c>
      <c r="J104" s="8">
        <f t="shared" si="8"/>
        <v>38.74</v>
      </c>
      <c r="K104" s="11">
        <f t="shared" si="9"/>
        <v>0</v>
      </c>
      <c r="L104" s="11">
        <f t="shared" si="10"/>
        <v>1</v>
      </c>
      <c r="M104" s="11">
        <f t="shared" si="11"/>
        <v>0</v>
      </c>
      <c r="N104" s="11">
        <f t="shared" si="12"/>
        <v>1</v>
      </c>
    </row>
    <row r="105" spans="1:14" x14ac:dyDescent="0.25">
      <c r="A105" s="9">
        <f>'Pit Inventory'!A105</f>
        <v>10</v>
      </c>
      <c r="B105" s="9">
        <f>'Pit Inventory'!B105</f>
        <v>420</v>
      </c>
      <c r="C105" s="91">
        <f t="shared" si="14"/>
        <v>12.355125200884578</v>
      </c>
      <c r="D105" s="8">
        <f t="shared" si="7"/>
        <v>5.0234069999999997</v>
      </c>
      <c r="E105" s="8">
        <f>'Pit Inventory'!D105</f>
        <v>4.0945450000000001</v>
      </c>
      <c r="F105" s="8">
        <f>'Pit Inventory'!C105</f>
        <v>0.92886199999999997</v>
      </c>
      <c r="G105" s="8">
        <f>'Pit Inventory'!E105</f>
        <v>61.41</v>
      </c>
      <c r="H105" s="8">
        <f>'Pit Inventory'!F105</f>
        <v>3.66</v>
      </c>
      <c r="I105" s="8">
        <f>'Pit Inventory'!G105</f>
        <v>2.17</v>
      </c>
      <c r="J105" s="8">
        <f t="shared" si="8"/>
        <v>38.590000000000003</v>
      </c>
      <c r="K105" s="11">
        <f t="shared" si="9"/>
        <v>0</v>
      </c>
      <c r="L105" s="11">
        <f t="shared" si="10"/>
        <v>1</v>
      </c>
      <c r="M105" s="11">
        <f t="shared" si="11"/>
        <v>0</v>
      </c>
      <c r="N105" s="11">
        <f t="shared" si="12"/>
        <v>1</v>
      </c>
    </row>
    <row r="106" spans="1:14" x14ac:dyDescent="0.25">
      <c r="A106" s="9">
        <f>'Pit Inventory'!A106</f>
        <v>10</v>
      </c>
      <c r="B106" s="9">
        <f>'Pit Inventory'!B106</f>
        <v>408</v>
      </c>
      <c r="C106" s="91">
        <f t="shared" si="14"/>
        <v>14.218045000256909</v>
      </c>
      <c r="D106" s="8">
        <f t="shared" si="7"/>
        <v>4.1454430000000002</v>
      </c>
      <c r="E106" s="8">
        <f>'Pit Inventory'!D106</f>
        <v>3.2557749999999999</v>
      </c>
      <c r="F106" s="8">
        <f>'Pit Inventory'!C106</f>
        <v>0.88966800000000001</v>
      </c>
      <c r="G106" s="8">
        <f>'Pit Inventory'!E106</f>
        <v>61.59</v>
      </c>
      <c r="H106" s="8">
        <f>'Pit Inventory'!F106</f>
        <v>3.41</v>
      </c>
      <c r="I106" s="8">
        <f>'Pit Inventory'!G106</f>
        <v>2.08</v>
      </c>
      <c r="J106" s="8">
        <f t="shared" si="8"/>
        <v>38.409999999999997</v>
      </c>
      <c r="K106" s="11">
        <f t="shared" si="9"/>
        <v>0</v>
      </c>
      <c r="L106" s="11">
        <f t="shared" si="10"/>
        <v>1</v>
      </c>
      <c r="M106" s="11">
        <f t="shared" si="11"/>
        <v>0</v>
      </c>
      <c r="N106" s="11">
        <f t="shared" si="12"/>
        <v>1</v>
      </c>
    </row>
    <row r="107" spans="1:14" x14ac:dyDescent="0.25">
      <c r="A107" s="9">
        <f>'Pit Inventory'!A107</f>
        <v>10</v>
      </c>
      <c r="B107" s="9">
        <f>'Pit Inventory'!B107</f>
        <v>396</v>
      </c>
      <c r="C107" s="91">
        <f t="shared" si="14"/>
        <v>16.382922840069266</v>
      </c>
      <c r="D107" s="8">
        <f t="shared" si="7"/>
        <v>3.4367189999999996</v>
      </c>
      <c r="E107" s="8">
        <f>'Pit Inventory'!D107</f>
        <v>2.5784919999999998</v>
      </c>
      <c r="F107" s="8">
        <f>'Pit Inventory'!C107</f>
        <v>0.85822699999999996</v>
      </c>
      <c r="G107" s="8">
        <f>'Pit Inventory'!E107</f>
        <v>61.6</v>
      </c>
      <c r="H107" s="8">
        <f>'Pit Inventory'!F107</f>
        <v>3.4</v>
      </c>
      <c r="I107" s="8">
        <f>'Pit Inventory'!G107</f>
        <v>2.02</v>
      </c>
      <c r="J107" s="8">
        <f t="shared" si="8"/>
        <v>38.4</v>
      </c>
      <c r="K107" s="11">
        <f t="shared" si="9"/>
        <v>0</v>
      </c>
      <c r="L107" s="11">
        <f t="shared" si="10"/>
        <v>1</v>
      </c>
      <c r="M107" s="11">
        <f t="shared" si="11"/>
        <v>0</v>
      </c>
      <c r="N107" s="11">
        <f t="shared" si="12"/>
        <v>1</v>
      </c>
    </row>
    <row r="108" spans="1:14" x14ac:dyDescent="0.25">
      <c r="A108" s="9">
        <f>'Pit Inventory'!A108</f>
        <v>10</v>
      </c>
      <c r="B108" s="9">
        <f>'Pit Inventory'!B108</f>
        <v>384</v>
      </c>
      <c r="C108" s="91">
        <f t="shared" si="14"/>
        <v>18.677459169290927</v>
      </c>
      <c r="D108" s="8">
        <f t="shared" si="7"/>
        <v>2.7201339999999998</v>
      </c>
      <c r="E108" s="8">
        <f>'Pit Inventory'!D108</f>
        <v>1.9402919999999999</v>
      </c>
      <c r="F108" s="8">
        <f>'Pit Inventory'!C108</f>
        <v>0.77984200000000004</v>
      </c>
      <c r="G108" s="8">
        <f>'Pit Inventory'!E108</f>
        <v>61.66</v>
      </c>
      <c r="H108" s="8">
        <f>'Pit Inventory'!F108</f>
        <v>3.31</v>
      </c>
      <c r="I108" s="8">
        <f>'Pit Inventory'!G108</f>
        <v>1.92</v>
      </c>
      <c r="J108" s="8">
        <f t="shared" si="8"/>
        <v>38.340000000000003</v>
      </c>
      <c r="K108" s="11">
        <f t="shared" si="9"/>
        <v>0</v>
      </c>
      <c r="L108" s="11">
        <f t="shared" si="10"/>
        <v>1</v>
      </c>
      <c r="M108" s="11">
        <f t="shared" si="11"/>
        <v>0</v>
      </c>
      <c r="N108" s="11">
        <f t="shared" si="12"/>
        <v>1</v>
      </c>
    </row>
    <row r="109" spans="1:14" x14ac:dyDescent="0.25">
      <c r="A109" s="9">
        <f>'Pit Inventory'!A109</f>
        <v>10</v>
      </c>
      <c r="B109" s="9">
        <f>'Pit Inventory'!B109</f>
        <v>372</v>
      </c>
      <c r="C109" s="91">
        <f t="shared" si="14"/>
        <v>20.706857076339919</v>
      </c>
      <c r="D109" s="8">
        <f t="shared" si="7"/>
        <v>1.9672670000000001</v>
      </c>
      <c r="E109" s="8">
        <f>'Pit Inventory'!D109</f>
        <v>1.3427720000000001</v>
      </c>
      <c r="F109" s="8">
        <f>'Pit Inventory'!C109</f>
        <v>0.62449500000000002</v>
      </c>
      <c r="G109" s="8">
        <f>'Pit Inventory'!E109</f>
        <v>62.08</v>
      </c>
      <c r="H109" s="8">
        <f>'Pit Inventory'!F109</f>
        <v>3.31</v>
      </c>
      <c r="I109" s="8">
        <f>'Pit Inventory'!G109</f>
        <v>1.89</v>
      </c>
      <c r="J109" s="8">
        <f t="shared" si="8"/>
        <v>37.92</v>
      </c>
      <c r="K109" s="11">
        <f t="shared" si="9"/>
        <v>0</v>
      </c>
      <c r="L109" s="11">
        <f t="shared" si="10"/>
        <v>1</v>
      </c>
      <c r="M109" s="11">
        <f t="shared" si="11"/>
        <v>0</v>
      </c>
      <c r="N109" s="11">
        <f t="shared" si="12"/>
        <v>1</v>
      </c>
    </row>
    <row r="110" spans="1:14" x14ac:dyDescent="0.25">
      <c r="A110" s="9">
        <f>'Pit Inventory'!A110</f>
        <v>10</v>
      </c>
      <c r="B110" s="9">
        <f>'Pit Inventory'!B110</f>
        <v>360</v>
      </c>
      <c r="C110" s="91">
        <f t="shared" si="14"/>
        <v>21.93259758182662</v>
      </c>
      <c r="D110" s="8">
        <f t="shared" si="7"/>
        <v>1.094876</v>
      </c>
      <c r="E110" s="8">
        <f>'Pit Inventory'!D110</f>
        <v>0.72575699999999999</v>
      </c>
      <c r="F110" s="8">
        <f>'Pit Inventory'!C110</f>
        <v>0.36911899999999997</v>
      </c>
      <c r="G110" s="8">
        <f>'Pit Inventory'!E110</f>
        <v>62.09</v>
      </c>
      <c r="H110" s="8">
        <f>'Pit Inventory'!F110</f>
        <v>3.51</v>
      </c>
      <c r="I110" s="8">
        <f>'Pit Inventory'!G110</f>
        <v>1.81</v>
      </c>
      <c r="J110" s="8">
        <f t="shared" si="8"/>
        <v>37.909999999999997</v>
      </c>
      <c r="K110" s="11">
        <f t="shared" si="9"/>
        <v>0</v>
      </c>
      <c r="L110" s="11">
        <f t="shared" si="10"/>
        <v>1</v>
      </c>
      <c r="M110" s="11">
        <f t="shared" si="11"/>
        <v>0</v>
      </c>
      <c r="N110" s="11">
        <f t="shared" si="12"/>
        <v>1</v>
      </c>
    </row>
    <row r="111" spans="1:14" x14ac:dyDescent="0.25">
      <c r="A111" s="9">
        <f>'Pit Inventory'!A111</f>
        <v>10</v>
      </c>
      <c r="B111" s="9">
        <f>'Pit Inventory'!B111</f>
        <v>348</v>
      </c>
      <c r="C111" s="91">
        <f t="shared" si="14"/>
        <v>28.719724599031434</v>
      </c>
      <c r="D111" s="8">
        <f t="shared" si="7"/>
        <v>0.58271399999999995</v>
      </c>
      <c r="E111" s="8">
        <f>'Pit Inventory'!D111</f>
        <v>0.32277400000000001</v>
      </c>
      <c r="F111" s="8">
        <f>'Pit Inventory'!C111</f>
        <v>0.25994</v>
      </c>
      <c r="G111" s="8">
        <f>'Pit Inventory'!E111</f>
        <v>62.14</v>
      </c>
      <c r="H111" s="8">
        <f>'Pit Inventory'!F111</f>
        <v>3.92</v>
      </c>
      <c r="I111" s="8">
        <f>'Pit Inventory'!G111</f>
        <v>1.75</v>
      </c>
      <c r="J111" s="8">
        <f t="shared" si="8"/>
        <v>37.86</v>
      </c>
      <c r="K111" s="11">
        <f t="shared" si="9"/>
        <v>0</v>
      </c>
      <c r="L111" s="11">
        <f t="shared" si="10"/>
        <v>1</v>
      </c>
      <c r="M111" s="11">
        <f t="shared" si="11"/>
        <v>0</v>
      </c>
      <c r="N111" s="11">
        <f t="shared" si="12"/>
        <v>1</v>
      </c>
    </row>
    <row r="112" spans="1:14" x14ac:dyDescent="0.25">
      <c r="A112" s="9">
        <f>'Pit Inventory'!A112</f>
        <v>10</v>
      </c>
      <c r="B112" s="9">
        <f>'Pit Inventory'!B112</f>
        <v>336</v>
      </c>
      <c r="C112" s="91">
        <f t="shared" si="14"/>
        <v>39.061125729886747</v>
      </c>
      <c r="D112" s="8">
        <f t="shared" si="7"/>
        <v>0.303643</v>
      </c>
      <c r="E112" s="8">
        <f>'Pit Inventory'!D112</f>
        <v>0.119907</v>
      </c>
      <c r="F112" s="8">
        <f>'Pit Inventory'!C112</f>
        <v>0.18373600000000001</v>
      </c>
      <c r="G112" s="8">
        <f>'Pit Inventory'!E112</f>
        <v>62.9</v>
      </c>
      <c r="H112" s="8">
        <f>'Pit Inventory'!F112</f>
        <v>4.16</v>
      </c>
      <c r="I112" s="8">
        <f>'Pit Inventory'!G112</f>
        <v>1.57</v>
      </c>
      <c r="J112" s="8">
        <f t="shared" si="8"/>
        <v>37.1</v>
      </c>
      <c r="K112" s="11">
        <f t="shared" si="9"/>
        <v>0</v>
      </c>
      <c r="L112" s="11">
        <f t="shared" si="10"/>
        <v>1</v>
      </c>
      <c r="M112" s="11">
        <f t="shared" si="11"/>
        <v>0</v>
      </c>
      <c r="N112" s="11">
        <f t="shared" si="12"/>
        <v>1</v>
      </c>
    </row>
    <row r="113" spans="1:14" x14ac:dyDescent="0.25">
      <c r="A113" s="9">
        <f>'Pit Inventory'!A113</f>
        <v>10</v>
      </c>
      <c r="B113" s="9">
        <f>'Pit Inventory'!B113</f>
        <v>324</v>
      </c>
      <c r="C113" s="91">
        <f t="shared" si="14"/>
        <v>46.083700391652151</v>
      </c>
      <c r="D113" s="8">
        <f t="shared" si="7"/>
        <v>9.0130999999999989E-2</v>
      </c>
      <c r="E113" s="8">
        <f>'Pit Inventory'!D113</f>
        <v>2.5375000000000002E-2</v>
      </c>
      <c r="F113" s="8">
        <f>'Pit Inventory'!C113</f>
        <v>6.4755999999999994E-2</v>
      </c>
      <c r="G113" s="8">
        <f>'Pit Inventory'!E113</f>
        <v>62.75</v>
      </c>
      <c r="H113" s="8">
        <f>'Pit Inventory'!F113</f>
        <v>4.62</v>
      </c>
      <c r="I113" s="8">
        <f>'Pit Inventory'!G113</f>
        <v>1.39</v>
      </c>
      <c r="J113" s="8">
        <f t="shared" si="8"/>
        <v>37.25</v>
      </c>
      <c r="K113" s="11">
        <f t="shared" si="9"/>
        <v>0</v>
      </c>
      <c r="L113" s="11">
        <f t="shared" si="10"/>
        <v>1</v>
      </c>
      <c r="M113" s="11">
        <f t="shared" si="11"/>
        <v>0</v>
      </c>
      <c r="N113" s="11">
        <f t="shared" si="12"/>
        <v>1</v>
      </c>
    </row>
    <row r="114" spans="1:14" x14ac:dyDescent="0.25">
      <c r="A114" s="9">
        <f>'Pit Inventory'!A114</f>
        <v>11</v>
      </c>
      <c r="B114" s="9">
        <f>'Pit Inventory'!B114</f>
        <v>528</v>
      </c>
      <c r="C114" s="91">
        <f t="shared" si="14"/>
        <v>1</v>
      </c>
      <c r="D114" s="8">
        <f t="shared" si="7"/>
        <v>1.931E-3</v>
      </c>
      <c r="E114" s="8">
        <f>'Pit Inventory'!D114</f>
        <v>1.931E-3</v>
      </c>
      <c r="F114" s="8">
        <f>'Pit Inventory'!C114</f>
        <v>0</v>
      </c>
      <c r="G114" s="8">
        <f>'Pit Inventory'!E114</f>
        <v>0</v>
      </c>
      <c r="H114" s="8">
        <f>'Pit Inventory'!F114</f>
        <v>0</v>
      </c>
      <c r="I114" s="8">
        <f>'Pit Inventory'!G114</f>
        <v>0</v>
      </c>
      <c r="J114" s="8">
        <f t="shared" si="8"/>
        <v>100</v>
      </c>
      <c r="K114" s="11">
        <f t="shared" si="9"/>
        <v>1</v>
      </c>
      <c r="L114" s="11">
        <f t="shared" si="10"/>
        <v>0</v>
      </c>
      <c r="M114" s="11">
        <f t="shared" si="11"/>
        <v>0</v>
      </c>
      <c r="N114" s="11">
        <f t="shared" si="12"/>
        <v>1</v>
      </c>
    </row>
    <row r="115" spans="1:14" x14ac:dyDescent="0.25">
      <c r="A115" s="9">
        <f>'Pit Inventory'!A115</f>
        <v>11</v>
      </c>
      <c r="B115" s="9">
        <f>'Pit Inventory'!B115</f>
        <v>516</v>
      </c>
      <c r="C115" s="91">
        <f t="shared" si="14"/>
        <v>1</v>
      </c>
      <c r="D115" s="8">
        <f t="shared" si="7"/>
        <v>7.1879999999999999E-3</v>
      </c>
      <c r="E115" s="8">
        <f>'Pit Inventory'!D115</f>
        <v>7.1879999999999999E-3</v>
      </c>
      <c r="F115" s="8">
        <f>'Pit Inventory'!C115</f>
        <v>0</v>
      </c>
      <c r="G115" s="8">
        <f>'Pit Inventory'!E115</f>
        <v>0</v>
      </c>
      <c r="H115" s="8">
        <f>'Pit Inventory'!F115</f>
        <v>0</v>
      </c>
      <c r="I115" s="8">
        <f>'Pit Inventory'!G115</f>
        <v>0</v>
      </c>
      <c r="J115" s="8">
        <f t="shared" si="8"/>
        <v>100</v>
      </c>
      <c r="K115" s="11">
        <f t="shared" si="9"/>
        <v>1</v>
      </c>
      <c r="L115" s="11">
        <f t="shared" si="10"/>
        <v>0</v>
      </c>
      <c r="M115" s="11">
        <f t="shared" si="11"/>
        <v>0</v>
      </c>
      <c r="N115" s="11">
        <f t="shared" si="12"/>
        <v>1</v>
      </c>
    </row>
    <row r="116" spans="1:14" x14ac:dyDescent="0.25">
      <c r="A116" s="9">
        <f>'Pit Inventory'!A116</f>
        <v>12</v>
      </c>
      <c r="B116" s="9">
        <f>'Pit Inventory'!B116</f>
        <v>528</v>
      </c>
      <c r="C116" s="91">
        <f t="shared" si="14"/>
        <v>6.1660195903829029</v>
      </c>
      <c r="D116" s="8">
        <f t="shared" si="7"/>
        <v>1.4598999999999999E-2</v>
      </c>
      <c r="E116" s="8">
        <f>'Pit Inventory'!D116</f>
        <v>1.3285999999999999E-2</v>
      </c>
      <c r="F116" s="8">
        <f>'Pit Inventory'!C116</f>
        <v>1.3129999999999999E-3</v>
      </c>
      <c r="G116" s="8">
        <f>'Pit Inventory'!E116</f>
        <v>57.44</v>
      </c>
      <c r="H116" s="8">
        <f>'Pit Inventory'!F116</f>
        <v>5.8</v>
      </c>
      <c r="I116" s="8">
        <f>'Pit Inventory'!G116</f>
        <v>2.46</v>
      </c>
      <c r="J116" s="8">
        <f t="shared" si="8"/>
        <v>42.56</v>
      </c>
      <c r="K116" s="11">
        <f t="shared" si="9"/>
        <v>0</v>
      </c>
      <c r="L116" s="11">
        <f t="shared" si="10"/>
        <v>1</v>
      </c>
      <c r="M116" s="11">
        <f t="shared" si="11"/>
        <v>0</v>
      </c>
      <c r="N116" s="11">
        <f t="shared" si="12"/>
        <v>1</v>
      </c>
    </row>
    <row r="117" spans="1:14" x14ac:dyDescent="0.25">
      <c r="A117" s="9">
        <f>'Pit Inventory'!A117</f>
        <v>12</v>
      </c>
      <c r="B117" s="9">
        <f>'Pit Inventory'!B117</f>
        <v>516</v>
      </c>
      <c r="C117" s="91">
        <f t="shared" si="14"/>
        <v>7.1053319782232709</v>
      </c>
      <c r="D117" s="8">
        <f t="shared" si="7"/>
        <v>2.0357509999999999</v>
      </c>
      <c r="E117" s="8">
        <f>'Pit Inventory'!D117</f>
        <v>1.829153</v>
      </c>
      <c r="F117" s="8">
        <f>'Pit Inventory'!C117</f>
        <v>0.206598</v>
      </c>
      <c r="G117" s="8">
        <f>'Pit Inventory'!E117</f>
        <v>60.16</v>
      </c>
      <c r="H117" s="8">
        <f>'Pit Inventory'!F117</f>
        <v>5.54</v>
      </c>
      <c r="I117" s="8">
        <f>'Pit Inventory'!G117</f>
        <v>2.35</v>
      </c>
      <c r="J117" s="8">
        <f t="shared" si="8"/>
        <v>39.840000000000003</v>
      </c>
      <c r="K117" s="11">
        <f t="shared" si="9"/>
        <v>0</v>
      </c>
      <c r="L117" s="11">
        <f t="shared" si="10"/>
        <v>1</v>
      </c>
      <c r="M117" s="11">
        <f t="shared" si="11"/>
        <v>0</v>
      </c>
      <c r="N117" s="11">
        <f t="shared" si="12"/>
        <v>1</v>
      </c>
    </row>
    <row r="118" spans="1:14" x14ac:dyDescent="0.25">
      <c r="A118" s="9">
        <f>'Pit Inventory'!A118</f>
        <v>12</v>
      </c>
      <c r="B118" s="9">
        <f>'Pit Inventory'!B118</f>
        <v>504</v>
      </c>
      <c r="C118" s="91">
        <f t="shared" si="14"/>
        <v>6.3838488555548425</v>
      </c>
      <c r="D118" s="8">
        <f t="shared" si="7"/>
        <v>3.2876629999999998</v>
      </c>
      <c r="E118" s="8">
        <f>'Pit Inventory'!D118</f>
        <v>2.9947089999999998</v>
      </c>
      <c r="F118" s="8">
        <f>'Pit Inventory'!C118</f>
        <v>0.29295399999999999</v>
      </c>
      <c r="G118" s="8">
        <f>'Pit Inventory'!E118</f>
        <v>60.42</v>
      </c>
      <c r="H118" s="8">
        <f>'Pit Inventory'!F118</f>
        <v>5.45</v>
      </c>
      <c r="I118" s="8">
        <f>'Pit Inventory'!G118</f>
        <v>2.33</v>
      </c>
      <c r="J118" s="8">
        <f t="shared" si="8"/>
        <v>39.58</v>
      </c>
      <c r="K118" s="11">
        <f t="shared" si="9"/>
        <v>0</v>
      </c>
      <c r="L118" s="11">
        <f t="shared" si="10"/>
        <v>1</v>
      </c>
      <c r="M118" s="11">
        <f t="shared" si="11"/>
        <v>0</v>
      </c>
      <c r="N118" s="11">
        <f t="shared" si="12"/>
        <v>1</v>
      </c>
    </row>
    <row r="119" spans="1:14" x14ac:dyDescent="0.25">
      <c r="A119" s="9">
        <f>'Pit Inventory'!A119</f>
        <v>12</v>
      </c>
      <c r="B119" s="9">
        <f>'Pit Inventory'!B119</f>
        <v>492</v>
      </c>
      <c r="C119" s="91">
        <f t="shared" si="14"/>
        <v>8.221440154121936</v>
      </c>
      <c r="D119" s="8">
        <f t="shared" si="7"/>
        <v>2.9119799999999998</v>
      </c>
      <c r="E119" s="8">
        <f>'Pit Inventory'!D119</f>
        <v>2.565258</v>
      </c>
      <c r="F119" s="8">
        <f>'Pit Inventory'!C119</f>
        <v>0.34672199999999997</v>
      </c>
      <c r="G119" s="8">
        <f>'Pit Inventory'!E119</f>
        <v>60.65</v>
      </c>
      <c r="H119" s="8">
        <f>'Pit Inventory'!F119</f>
        <v>5.48</v>
      </c>
      <c r="I119" s="8">
        <f>'Pit Inventory'!G119</f>
        <v>2.29</v>
      </c>
      <c r="J119" s="8">
        <f t="shared" si="8"/>
        <v>39.35</v>
      </c>
      <c r="K119" s="11">
        <f t="shared" si="9"/>
        <v>0</v>
      </c>
      <c r="L119" s="11">
        <f t="shared" si="10"/>
        <v>1</v>
      </c>
      <c r="M119" s="11">
        <f t="shared" si="11"/>
        <v>0</v>
      </c>
      <c r="N119" s="11">
        <f t="shared" si="12"/>
        <v>1</v>
      </c>
    </row>
    <row r="120" spans="1:14" x14ac:dyDescent="0.25">
      <c r="A120" s="9">
        <f>'Pit Inventory'!A120</f>
        <v>12</v>
      </c>
      <c r="B120" s="9">
        <f>'Pit Inventory'!B120</f>
        <v>480</v>
      </c>
      <c r="C120" s="91">
        <f t="shared" si="14"/>
        <v>10.090289769499259</v>
      </c>
      <c r="D120" s="8">
        <f t="shared" si="7"/>
        <v>2.5979960000000002</v>
      </c>
      <c r="E120" s="8">
        <f>'Pit Inventory'!D120</f>
        <v>2.2096300000000002</v>
      </c>
      <c r="F120" s="8">
        <f>'Pit Inventory'!C120</f>
        <v>0.38836599999999999</v>
      </c>
      <c r="G120" s="8">
        <f>'Pit Inventory'!E120</f>
        <v>60.81</v>
      </c>
      <c r="H120" s="8">
        <f>'Pit Inventory'!F120</f>
        <v>5.68</v>
      </c>
      <c r="I120" s="8">
        <f>'Pit Inventory'!G120</f>
        <v>2.2000000000000002</v>
      </c>
      <c r="J120" s="8">
        <f t="shared" si="8"/>
        <v>39.19</v>
      </c>
      <c r="K120" s="11">
        <f t="shared" si="9"/>
        <v>0</v>
      </c>
      <c r="L120" s="11">
        <f t="shared" si="10"/>
        <v>1</v>
      </c>
      <c r="M120" s="11">
        <f t="shared" si="11"/>
        <v>0</v>
      </c>
      <c r="N120" s="11">
        <f t="shared" si="12"/>
        <v>1</v>
      </c>
    </row>
    <row r="121" spans="1:14" x14ac:dyDescent="0.25">
      <c r="A121" s="9">
        <f>'Pit Inventory'!A121</f>
        <v>12</v>
      </c>
      <c r="B121" s="9">
        <f>'Pit Inventory'!B121</f>
        <v>468</v>
      </c>
      <c r="C121" s="91">
        <f t="shared" si="14"/>
        <v>12.020059099396921</v>
      </c>
      <c r="D121" s="8">
        <f t="shared" si="7"/>
        <v>2.3086530000000001</v>
      </c>
      <c r="E121" s="8">
        <f>'Pit Inventory'!D121</f>
        <v>1.8898630000000001</v>
      </c>
      <c r="F121" s="8">
        <f>'Pit Inventory'!C121</f>
        <v>0.41879</v>
      </c>
      <c r="G121" s="8">
        <f>'Pit Inventory'!E121</f>
        <v>60.75</v>
      </c>
      <c r="H121" s="8">
        <f>'Pit Inventory'!F121</f>
        <v>6.01</v>
      </c>
      <c r="I121" s="8">
        <f>'Pit Inventory'!G121</f>
        <v>2.0699999999999998</v>
      </c>
      <c r="J121" s="8">
        <f t="shared" si="8"/>
        <v>39.25</v>
      </c>
      <c r="K121" s="11">
        <f t="shared" si="9"/>
        <v>0</v>
      </c>
      <c r="L121" s="11">
        <f t="shared" si="10"/>
        <v>1</v>
      </c>
      <c r="M121" s="11">
        <f t="shared" si="11"/>
        <v>0</v>
      </c>
      <c r="N121" s="11">
        <f t="shared" si="12"/>
        <v>1</v>
      </c>
    </row>
    <row r="122" spans="1:14" x14ac:dyDescent="0.25">
      <c r="A122" s="9">
        <f>'Pit Inventory'!A122</f>
        <v>12</v>
      </c>
      <c r="B122" s="9">
        <f>'Pit Inventory'!B122</f>
        <v>456</v>
      </c>
      <c r="C122" s="91">
        <f t="shared" si="14"/>
        <v>14.439723523159596</v>
      </c>
      <c r="D122" s="8">
        <f t="shared" si="7"/>
        <v>1.984253</v>
      </c>
      <c r="E122" s="8">
        <f>'Pit Inventory'!D122</f>
        <v>1.5418540000000001</v>
      </c>
      <c r="F122" s="8">
        <f>'Pit Inventory'!C122</f>
        <v>0.44239899999999999</v>
      </c>
      <c r="G122" s="8">
        <f>'Pit Inventory'!E122</f>
        <v>60.28</v>
      </c>
      <c r="H122" s="8">
        <f>'Pit Inventory'!F122</f>
        <v>6.4</v>
      </c>
      <c r="I122" s="8">
        <f>'Pit Inventory'!G122</f>
        <v>1.89</v>
      </c>
      <c r="J122" s="8">
        <f t="shared" si="8"/>
        <v>39.72</v>
      </c>
      <c r="K122" s="11">
        <f t="shared" si="9"/>
        <v>0</v>
      </c>
      <c r="L122" s="11">
        <f t="shared" si="10"/>
        <v>1</v>
      </c>
      <c r="M122" s="11">
        <f t="shared" si="11"/>
        <v>0</v>
      </c>
      <c r="N122" s="11">
        <f t="shared" si="12"/>
        <v>1</v>
      </c>
    </row>
    <row r="123" spans="1:14" x14ac:dyDescent="0.25">
      <c r="A123" s="9">
        <f>'Pit Inventory'!A123</f>
        <v>12</v>
      </c>
      <c r="B123" s="9">
        <f>'Pit Inventory'!B123</f>
        <v>444</v>
      </c>
      <c r="C123" s="91">
        <f t="shared" si="14"/>
        <v>17.077760587667569</v>
      </c>
      <c r="D123" s="8">
        <f t="shared" si="7"/>
        <v>1.588381</v>
      </c>
      <c r="E123" s="8">
        <f>'Pit Inventory'!D123</f>
        <v>1.160185</v>
      </c>
      <c r="F123" s="8">
        <f>'Pit Inventory'!C123</f>
        <v>0.42819600000000002</v>
      </c>
      <c r="G123" s="8">
        <f>'Pit Inventory'!E123</f>
        <v>59.64</v>
      </c>
      <c r="H123" s="8">
        <f>'Pit Inventory'!F123</f>
        <v>6.74</v>
      </c>
      <c r="I123" s="8">
        <f>'Pit Inventory'!G123</f>
        <v>1.83</v>
      </c>
      <c r="J123" s="8">
        <f t="shared" si="8"/>
        <v>40.36</v>
      </c>
      <c r="K123" s="11">
        <f t="shared" si="9"/>
        <v>0</v>
      </c>
      <c r="L123" s="11">
        <f t="shared" si="10"/>
        <v>1</v>
      </c>
      <c r="M123" s="11">
        <f t="shared" si="11"/>
        <v>0</v>
      </c>
      <c r="N123" s="11">
        <f t="shared" si="12"/>
        <v>1</v>
      </c>
    </row>
    <row r="124" spans="1:14" x14ac:dyDescent="0.25">
      <c r="A124" s="9">
        <f>'Pit Inventory'!A124</f>
        <v>12</v>
      </c>
      <c r="B124" s="9">
        <f>'Pit Inventory'!B124</f>
        <v>432</v>
      </c>
      <c r="C124" s="91">
        <f t="shared" si="14"/>
        <v>17.390704282371399</v>
      </c>
      <c r="D124" s="8">
        <f t="shared" si="7"/>
        <v>1.269647</v>
      </c>
      <c r="E124" s="8">
        <f>'Pit Inventory'!D124</f>
        <v>0.91373099999999996</v>
      </c>
      <c r="F124" s="8">
        <f>'Pit Inventory'!C124</f>
        <v>0.35591600000000001</v>
      </c>
      <c r="G124" s="8">
        <f>'Pit Inventory'!E124</f>
        <v>58.47</v>
      </c>
      <c r="H124" s="8">
        <f>'Pit Inventory'!F124</f>
        <v>6.86</v>
      </c>
      <c r="I124" s="8">
        <f>'Pit Inventory'!G124</f>
        <v>1.75</v>
      </c>
      <c r="J124" s="8">
        <f t="shared" si="8"/>
        <v>41.53</v>
      </c>
      <c r="K124" s="11">
        <f t="shared" si="9"/>
        <v>0</v>
      </c>
      <c r="L124" s="11">
        <f t="shared" si="10"/>
        <v>1</v>
      </c>
      <c r="M124" s="11">
        <f t="shared" si="11"/>
        <v>0</v>
      </c>
      <c r="N124" s="11">
        <f t="shared" si="12"/>
        <v>1</v>
      </c>
    </row>
    <row r="125" spans="1:14" x14ac:dyDescent="0.25">
      <c r="A125" s="9">
        <f>'Pit Inventory'!A125</f>
        <v>12</v>
      </c>
      <c r="B125" s="9">
        <f>'Pit Inventory'!B125</f>
        <v>420</v>
      </c>
      <c r="C125" s="91">
        <f t="shared" si="14"/>
        <v>16.188222721660686</v>
      </c>
      <c r="D125" s="8">
        <f t="shared" si="7"/>
        <v>0.924149</v>
      </c>
      <c r="E125" s="8">
        <f>'Pit Inventory'!D125</f>
        <v>0.679531</v>
      </c>
      <c r="F125" s="8">
        <f>'Pit Inventory'!C125</f>
        <v>0.244618</v>
      </c>
      <c r="G125" s="8">
        <f>'Pit Inventory'!E125</f>
        <v>57.38</v>
      </c>
      <c r="H125" s="8">
        <f>'Pit Inventory'!F125</f>
        <v>7.01</v>
      </c>
      <c r="I125" s="8">
        <f>'Pit Inventory'!G125</f>
        <v>1.71</v>
      </c>
      <c r="J125" s="8">
        <f t="shared" si="8"/>
        <v>42.62</v>
      </c>
      <c r="K125" s="11">
        <f t="shared" si="9"/>
        <v>0</v>
      </c>
      <c r="L125" s="11">
        <f t="shared" si="10"/>
        <v>1</v>
      </c>
      <c r="M125" s="11">
        <f t="shared" si="11"/>
        <v>0</v>
      </c>
      <c r="N125" s="11">
        <f t="shared" si="12"/>
        <v>1</v>
      </c>
    </row>
    <row r="126" spans="1:14" x14ac:dyDescent="0.25">
      <c r="A126" s="9">
        <f>'Pit Inventory'!A126</f>
        <v>12</v>
      </c>
      <c r="B126" s="9">
        <f>'Pit Inventory'!B126</f>
        <v>408</v>
      </c>
      <c r="C126" s="91">
        <f t="shared" si="14"/>
        <v>13.924487353167812</v>
      </c>
      <c r="D126" s="8">
        <f t="shared" si="7"/>
        <v>0.52040699999999995</v>
      </c>
      <c r="E126" s="8">
        <f>'Pit Inventory'!D126</f>
        <v>0.40361599999999997</v>
      </c>
      <c r="F126" s="8">
        <f>'Pit Inventory'!C126</f>
        <v>0.11679100000000001</v>
      </c>
      <c r="G126" s="8">
        <f>'Pit Inventory'!E126</f>
        <v>57.59</v>
      </c>
      <c r="H126" s="8">
        <f>'Pit Inventory'!F126</f>
        <v>6.51</v>
      </c>
      <c r="I126" s="8">
        <f>'Pit Inventory'!G126</f>
        <v>1.71</v>
      </c>
      <c r="J126" s="8">
        <f t="shared" si="8"/>
        <v>42.41</v>
      </c>
      <c r="K126" s="11">
        <f t="shared" si="9"/>
        <v>0</v>
      </c>
      <c r="L126" s="11">
        <f t="shared" si="10"/>
        <v>1</v>
      </c>
      <c r="M126" s="11">
        <f t="shared" si="11"/>
        <v>0</v>
      </c>
      <c r="N126" s="11">
        <f t="shared" si="12"/>
        <v>1</v>
      </c>
    </row>
    <row r="127" spans="1:14" x14ac:dyDescent="0.25">
      <c r="A127" s="9">
        <f>'Pit Inventory'!A127</f>
        <v>12</v>
      </c>
      <c r="B127" s="9">
        <f>'Pit Inventory'!B127</f>
        <v>396</v>
      </c>
      <c r="C127" s="91">
        <f t="shared" si="14"/>
        <v>18.478709088558105</v>
      </c>
      <c r="D127" s="8">
        <f t="shared" si="7"/>
        <v>0.26294600000000001</v>
      </c>
      <c r="E127" s="8">
        <f>'Pit Inventory'!D127</f>
        <v>0.183058</v>
      </c>
      <c r="F127" s="8">
        <f>'Pit Inventory'!C127</f>
        <v>7.9888000000000001E-2</v>
      </c>
      <c r="G127" s="8">
        <f>'Pit Inventory'!E127</f>
        <v>57.53</v>
      </c>
      <c r="H127" s="8">
        <f>'Pit Inventory'!F127</f>
        <v>6.55</v>
      </c>
      <c r="I127" s="8">
        <f>'Pit Inventory'!G127</f>
        <v>1.66</v>
      </c>
      <c r="J127" s="8">
        <f t="shared" si="8"/>
        <v>42.47</v>
      </c>
      <c r="K127" s="11">
        <f t="shared" si="9"/>
        <v>0</v>
      </c>
      <c r="L127" s="11">
        <f t="shared" si="10"/>
        <v>1</v>
      </c>
      <c r="M127" s="11">
        <f t="shared" si="11"/>
        <v>0</v>
      </c>
      <c r="N127" s="11">
        <f t="shared" si="12"/>
        <v>1</v>
      </c>
    </row>
    <row r="128" spans="1:14" x14ac:dyDescent="0.25">
      <c r="A128" s="9">
        <f>'Pit Inventory'!A128</f>
        <v>12</v>
      </c>
      <c r="B128" s="9">
        <f>'Pit Inventory'!B128</f>
        <v>384</v>
      </c>
      <c r="C128" s="91">
        <f t="shared" si="14"/>
        <v>28.936204715524411</v>
      </c>
      <c r="D128" s="8">
        <f t="shared" si="7"/>
        <v>6.7351999999999995E-2</v>
      </c>
      <c r="E128" s="8">
        <f>'Pit Inventory'!D128</f>
        <v>3.5237999999999998E-2</v>
      </c>
      <c r="F128" s="8">
        <f>'Pit Inventory'!C128</f>
        <v>3.2113999999999997E-2</v>
      </c>
      <c r="G128" s="8">
        <f>'Pit Inventory'!E128</f>
        <v>58.59</v>
      </c>
      <c r="H128" s="8">
        <f>'Pit Inventory'!F128</f>
        <v>6.33</v>
      </c>
      <c r="I128" s="8">
        <f>'Pit Inventory'!G128</f>
        <v>1.43</v>
      </c>
      <c r="J128" s="8">
        <f t="shared" si="8"/>
        <v>41.41</v>
      </c>
      <c r="K128" s="11">
        <f t="shared" si="9"/>
        <v>0</v>
      </c>
      <c r="L128" s="11">
        <f t="shared" si="10"/>
        <v>1</v>
      </c>
      <c r="M128" s="11">
        <f t="shared" si="11"/>
        <v>0</v>
      </c>
      <c r="N128" s="11">
        <f t="shared" si="12"/>
        <v>1</v>
      </c>
    </row>
    <row r="129" spans="1:14" x14ac:dyDescent="0.25">
      <c r="A129" s="9">
        <f>'Pit Inventory'!A129</f>
        <v>13</v>
      </c>
      <c r="B129" s="9">
        <f>'Pit Inventory'!B129</f>
        <v>576</v>
      </c>
      <c r="C129" s="91">
        <f t="shared" si="14"/>
        <v>1</v>
      </c>
      <c r="D129" s="8">
        <f t="shared" si="7"/>
        <v>2.6940000000000002E-3</v>
      </c>
      <c r="E129" s="8">
        <f>'Pit Inventory'!D129</f>
        <v>2.6940000000000002E-3</v>
      </c>
      <c r="F129" s="8">
        <f>'Pit Inventory'!C129</f>
        <v>0</v>
      </c>
      <c r="G129" s="8">
        <f>'Pit Inventory'!E129</f>
        <v>0</v>
      </c>
      <c r="H129" s="8">
        <f>'Pit Inventory'!F129</f>
        <v>0</v>
      </c>
      <c r="I129" s="8">
        <f>'Pit Inventory'!G129</f>
        <v>0</v>
      </c>
      <c r="J129" s="8">
        <f t="shared" si="8"/>
        <v>100</v>
      </c>
      <c r="K129" s="11">
        <f t="shared" si="9"/>
        <v>1</v>
      </c>
      <c r="L129" s="11">
        <f t="shared" si="10"/>
        <v>0</v>
      </c>
      <c r="M129" s="11">
        <f t="shared" si="11"/>
        <v>0</v>
      </c>
      <c r="N129" s="11">
        <f t="shared" si="12"/>
        <v>1</v>
      </c>
    </row>
    <row r="130" spans="1:14" x14ac:dyDescent="0.25">
      <c r="A130" s="9">
        <f>'Pit Inventory'!A130</f>
        <v>13</v>
      </c>
      <c r="B130" s="9">
        <f>'Pit Inventory'!B130</f>
        <v>564</v>
      </c>
      <c r="C130" s="91">
        <f t="shared" si="14"/>
        <v>1</v>
      </c>
      <c r="D130" s="8">
        <f t="shared" si="7"/>
        <v>6.8294999999999995E-2</v>
      </c>
      <c r="E130" s="8">
        <f>'Pit Inventory'!D130</f>
        <v>6.8294999999999995E-2</v>
      </c>
      <c r="F130" s="8">
        <f>'Pit Inventory'!C130</f>
        <v>0</v>
      </c>
      <c r="G130" s="8">
        <f>'Pit Inventory'!E130</f>
        <v>0</v>
      </c>
      <c r="H130" s="8">
        <f>'Pit Inventory'!F130</f>
        <v>0</v>
      </c>
      <c r="I130" s="8">
        <f>'Pit Inventory'!G130</f>
        <v>0</v>
      </c>
      <c r="J130" s="8">
        <f t="shared" si="8"/>
        <v>100</v>
      </c>
      <c r="K130" s="11">
        <f t="shared" si="9"/>
        <v>1</v>
      </c>
      <c r="L130" s="11">
        <f t="shared" si="10"/>
        <v>0</v>
      </c>
      <c r="M130" s="11">
        <f t="shared" si="11"/>
        <v>0</v>
      </c>
      <c r="N130" s="11">
        <f t="shared" si="12"/>
        <v>1</v>
      </c>
    </row>
    <row r="131" spans="1:14" x14ac:dyDescent="0.25">
      <c r="A131" s="9">
        <f>'Pit Inventory'!A131</f>
        <v>13</v>
      </c>
      <c r="B131" s="9">
        <f>'Pit Inventory'!B131</f>
        <v>552</v>
      </c>
      <c r="C131" s="91">
        <f t="shared" si="14"/>
        <v>1</v>
      </c>
      <c r="D131" s="8">
        <f t="shared" ref="D131:D185" si="15">E131+F131</f>
        <v>1.9196999999999999E-2</v>
      </c>
      <c r="E131" s="8">
        <f>'Pit Inventory'!D131</f>
        <v>1.9196999999999999E-2</v>
      </c>
      <c r="F131" s="8">
        <f>'Pit Inventory'!C131</f>
        <v>0</v>
      </c>
      <c r="G131" s="8">
        <f>'Pit Inventory'!E131</f>
        <v>0</v>
      </c>
      <c r="H131" s="8">
        <f>'Pit Inventory'!F131</f>
        <v>0</v>
      </c>
      <c r="I131" s="8">
        <f>'Pit Inventory'!G131</f>
        <v>0</v>
      </c>
      <c r="J131" s="8">
        <f t="shared" ref="J131:J185" si="16">100-G131</f>
        <v>100</v>
      </c>
      <c r="K131" s="11">
        <f t="shared" ref="K131:K185" si="17">IF(OR($A131=1,$A131=3,$A131=5,$A131=7,$A131=9,$A131=11,$A131=13,$A131=15,$A131=17,$A131=19),1,0)</f>
        <v>1</v>
      </c>
      <c r="L131" s="11">
        <f t="shared" ref="L131:L185" si="18">IF(OR($A131=2,$A131=4,$A131=6,$A131=8,$A131=10,$A131=12,$A131=14,$A131=16,$A131=18,$A131=20),1,0)</f>
        <v>0</v>
      </c>
      <c r="M131" s="11">
        <f t="shared" ref="M131:M185" si="19">IF($A131&lt;=6,1,0)</f>
        <v>0</v>
      </c>
      <c r="N131" s="11">
        <f t="shared" ref="N131:N185" si="20">IF($A131&gt;6,1,0)</f>
        <v>1</v>
      </c>
    </row>
    <row r="132" spans="1:14" x14ac:dyDescent="0.25">
      <c r="A132" s="9">
        <f>'Pit Inventory'!A132</f>
        <v>13</v>
      </c>
      <c r="B132" s="9">
        <f>'Pit Inventory'!B132</f>
        <v>540</v>
      </c>
      <c r="C132" s="91">
        <f t="shared" si="14"/>
        <v>1</v>
      </c>
      <c r="D132" s="8">
        <f t="shared" si="15"/>
        <v>6.5069999999999998E-3</v>
      </c>
      <c r="E132" s="8">
        <f>'Pit Inventory'!D132</f>
        <v>6.5069999999999998E-3</v>
      </c>
      <c r="F132" s="8">
        <f>'Pit Inventory'!C132</f>
        <v>0</v>
      </c>
      <c r="G132" s="8">
        <f>'Pit Inventory'!E132</f>
        <v>0</v>
      </c>
      <c r="H132" s="8">
        <f>'Pit Inventory'!F132</f>
        <v>0</v>
      </c>
      <c r="I132" s="8">
        <f>'Pit Inventory'!G132</f>
        <v>0</v>
      </c>
      <c r="J132" s="8">
        <f t="shared" si="16"/>
        <v>100</v>
      </c>
      <c r="K132" s="11">
        <f t="shared" si="17"/>
        <v>1</v>
      </c>
      <c r="L132" s="11">
        <f t="shared" si="18"/>
        <v>0</v>
      </c>
      <c r="M132" s="11">
        <f t="shared" si="19"/>
        <v>0</v>
      </c>
      <c r="N132" s="11">
        <f t="shared" si="20"/>
        <v>1</v>
      </c>
    </row>
    <row r="133" spans="1:14" x14ac:dyDescent="0.25">
      <c r="A133" s="9">
        <f>'Pit Inventory'!A133</f>
        <v>14</v>
      </c>
      <c r="B133" s="9">
        <f>'Pit Inventory'!B133</f>
        <v>576</v>
      </c>
      <c r="C133" s="91">
        <f t="shared" si="14"/>
        <v>1</v>
      </c>
      <c r="D133" s="8">
        <f t="shared" si="15"/>
        <v>1.92E-4</v>
      </c>
      <c r="E133" s="8">
        <f>'Pit Inventory'!D133</f>
        <v>1.92E-4</v>
      </c>
      <c r="F133" s="8">
        <f>'Pit Inventory'!C133</f>
        <v>0</v>
      </c>
      <c r="G133" s="8">
        <f>'Pit Inventory'!E133</f>
        <v>0</v>
      </c>
      <c r="H133" s="8">
        <f>'Pit Inventory'!F133</f>
        <v>0</v>
      </c>
      <c r="I133" s="8">
        <f>'Pit Inventory'!G133</f>
        <v>0</v>
      </c>
      <c r="J133" s="8">
        <f t="shared" si="16"/>
        <v>100</v>
      </c>
      <c r="K133" s="11">
        <f t="shared" si="17"/>
        <v>0</v>
      </c>
      <c r="L133" s="11">
        <f t="shared" si="18"/>
        <v>1</v>
      </c>
      <c r="M133" s="11">
        <f t="shared" si="19"/>
        <v>0</v>
      </c>
      <c r="N133" s="11">
        <f t="shared" si="20"/>
        <v>1</v>
      </c>
    </row>
    <row r="134" spans="1:14" x14ac:dyDescent="0.25">
      <c r="A134" s="9">
        <f>'Pit Inventory'!A134</f>
        <v>14</v>
      </c>
      <c r="B134" s="9">
        <f>'Pit Inventory'!B134</f>
        <v>564</v>
      </c>
      <c r="C134" s="91">
        <f t="shared" si="14"/>
        <v>1.1407484110697659</v>
      </c>
      <c r="D134" s="8">
        <f t="shared" si="15"/>
        <v>0.19053700000000001</v>
      </c>
      <c r="E134" s="8">
        <f>'Pit Inventory'!D134</f>
        <v>0.190083</v>
      </c>
      <c r="F134" s="8">
        <f>'Pit Inventory'!C134</f>
        <v>4.5399999999999998E-4</v>
      </c>
      <c r="G134" s="8">
        <f>'Pit Inventory'!E134</f>
        <v>59.07</v>
      </c>
      <c r="H134" s="8">
        <f>'Pit Inventory'!F134</f>
        <v>5.95</v>
      </c>
      <c r="I134" s="8">
        <f>'Pit Inventory'!G134</f>
        <v>2.13</v>
      </c>
      <c r="J134" s="8">
        <f t="shared" si="16"/>
        <v>40.93</v>
      </c>
      <c r="K134" s="11">
        <f t="shared" si="17"/>
        <v>0</v>
      </c>
      <c r="L134" s="11">
        <f t="shared" si="18"/>
        <v>1</v>
      </c>
      <c r="M134" s="11">
        <f t="shared" si="19"/>
        <v>0</v>
      </c>
      <c r="N134" s="11">
        <f t="shared" si="20"/>
        <v>1</v>
      </c>
    </row>
    <row r="135" spans="1:14" x14ac:dyDescent="0.25">
      <c r="A135" s="9">
        <f>'Pit Inventory'!A135</f>
        <v>14</v>
      </c>
      <c r="B135" s="9">
        <f>'Pit Inventory'!B135</f>
        <v>552</v>
      </c>
      <c r="C135" s="91">
        <f t="shared" si="14"/>
        <v>4.4253740993791091</v>
      </c>
      <c r="D135" s="8">
        <f t="shared" si="15"/>
        <v>0.82123900000000005</v>
      </c>
      <c r="E135" s="8">
        <f>'Pit Inventory'!D135</f>
        <v>0.77339800000000003</v>
      </c>
      <c r="F135" s="8">
        <f>'Pit Inventory'!C135</f>
        <v>4.7841000000000002E-2</v>
      </c>
      <c r="G135" s="8">
        <f>'Pit Inventory'!E135</f>
        <v>58.8</v>
      </c>
      <c r="H135" s="8">
        <f>'Pit Inventory'!F135</f>
        <v>6.33</v>
      </c>
      <c r="I135" s="8">
        <f>'Pit Inventory'!G135</f>
        <v>2.08</v>
      </c>
      <c r="J135" s="8">
        <f t="shared" si="16"/>
        <v>41.2</v>
      </c>
      <c r="K135" s="11">
        <f t="shared" si="17"/>
        <v>0</v>
      </c>
      <c r="L135" s="11">
        <f t="shared" si="18"/>
        <v>1</v>
      </c>
      <c r="M135" s="11">
        <f t="shared" si="19"/>
        <v>0</v>
      </c>
      <c r="N135" s="11">
        <f t="shared" si="20"/>
        <v>1</v>
      </c>
    </row>
    <row r="136" spans="1:14" x14ac:dyDescent="0.25">
      <c r="A136" s="9">
        <f>'Pit Inventory'!A136</f>
        <v>14</v>
      </c>
      <c r="B136" s="9">
        <f>'Pit Inventory'!B136</f>
        <v>540</v>
      </c>
      <c r="C136" s="91">
        <f t="shared" si="14"/>
        <v>5.3786727686950506</v>
      </c>
      <c r="D136" s="8">
        <f t="shared" si="15"/>
        <v>1.61968</v>
      </c>
      <c r="E136" s="8">
        <f>'Pit Inventory'!D136</f>
        <v>1.499333</v>
      </c>
      <c r="F136" s="8">
        <f>'Pit Inventory'!C136</f>
        <v>0.120347</v>
      </c>
      <c r="G136" s="8">
        <f>'Pit Inventory'!E136</f>
        <v>58.93</v>
      </c>
      <c r="H136" s="8">
        <f>'Pit Inventory'!F136</f>
        <v>5.68</v>
      </c>
      <c r="I136" s="8">
        <f>'Pit Inventory'!G136</f>
        <v>2.2999999999999998</v>
      </c>
      <c r="J136" s="8">
        <f t="shared" si="16"/>
        <v>41.07</v>
      </c>
      <c r="K136" s="11">
        <f t="shared" si="17"/>
        <v>0</v>
      </c>
      <c r="L136" s="11">
        <f t="shared" si="18"/>
        <v>1</v>
      </c>
      <c r="M136" s="11">
        <f t="shared" si="19"/>
        <v>0</v>
      </c>
      <c r="N136" s="11">
        <f t="shared" si="20"/>
        <v>1</v>
      </c>
    </row>
    <row r="137" spans="1:14" x14ac:dyDescent="0.25">
      <c r="A137" s="9">
        <f>'Pit Inventory'!A137</f>
        <v>14</v>
      </c>
      <c r="B137" s="9">
        <f>'Pit Inventory'!B137</f>
        <v>528</v>
      </c>
      <c r="C137" s="91">
        <f t="shared" si="14"/>
        <v>5.514083852654128</v>
      </c>
      <c r="D137" s="8">
        <f t="shared" si="15"/>
        <v>3.2995020000000004</v>
      </c>
      <c r="E137" s="8">
        <f>'Pit Inventory'!D137</f>
        <v>3.0464570000000002</v>
      </c>
      <c r="F137" s="8">
        <f>'Pit Inventory'!C137</f>
        <v>0.25304500000000002</v>
      </c>
      <c r="G137" s="8">
        <f>'Pit Inventory'!E137</f>
        <v>58.86</v>
      </c>
      <c r="H137" s="8">
        <f>'Pit Inventory'!F137</f>
        <v>5.74</v>
      </c>
      <c r="I137" s="8">
        <f>'Pit Inventory'!G137</f>
        <v>2.2000000000000002</v>
      </c>
      <c r="J137" s="8">
        <f t="shared" si="16"/>
        <v>41.14</v>
      </c>
      <c r="K137" s="11">
        <f t="shared" si="17"/>
        <v>0</v>
      </c>
      <c r="L137" s="11">
        <f t="shared" si="18"/>
        <v>1</v>
      </c>
      <c r="M137" s="11">
        <f t="shared" si="19"/>
        <v>0</v>
      </c>
      <c r="N137" s="11">
        <f t="shared" si="20"/>
        <v>1</v>
      </c>
    </row>
    <row r="138" spans="1:14" x14ac:dyDescent="0.25">
      <c r="A138" s="9">
        <f>'Pit Inventory'!A138</f>
        <v>14</v>
      </c>
      <c r="B138" s="9">
        <f>'Pit Inventory'!B138</f>
        <v>516</v>
      </c>
      <c r="C138" s="91">
        <f t="shared" si="14"/>
        <v>4.6206331552646871</v>
      </c>
      <c r="D138" s="8">
        <f t="shared" si="15"/>
        <v>4.9164560000000002</v>
      </c>
      <c r="E138" s="8">
        <f>'Pit Inventory'!D138</f>
        <v>4.6152600000000001</v>
      </c>
      <c r="F138" s="8">
        <f>'Pit Inventory'!C138</f>
        <v>0.30119600000000002</v>
      </c>
      <c r="G138" s="8">
        <f>'Pit Inventory'!E138</f>
        <v>59.1</v>
      </c>
      <c r="H138" s="8">
        <f>'Pit Inventory'!F138</f>
        <v>5.67</v>
      </c>
      <c r="I138" s="8">
        <f>'Pit Inventory'!G138</f>
        <v>2.04</v>
      </c>
      <c r="J138" s="8">
        <f t="shared" si="16"/>
        <v>40.9</v>
      </c>
      <c r="K138" s="11">
        <f t="shared" si="17"/>
        <v>0</v>
      </c>
      <c r="L138" s="11">
        <f t="shared" si="18"/>
        <v>1</v>
      </c>
      <c r="M138" s="11">
        <f t="shared" si="19"/>
        <v>0</v>
      </c>
      <c r="N138" s="11">
        <f t="shared" si="20"/>
        <v>1</v>
      </c>
    </row>
    <row r="139" spans="1:14" x14ac:dyDescent="0.25">
      <c r="A139" s="9">
        <f>'Pit Inventory'!A139</f>
        <v>14</v>
      </c>
      <c r="B139" s="9">
        <f>'Pit Inventory'!B139</f>
        <v>504</v>
      </c>
      <c r="C139" s="91">
        <f t="shared" si="14"/>
        <v>4.1780164008797147</v>
      </c>
      <c r="D139" s="8">
        <f t="shared" si="15"/>
        <v>4.809742</v>
      </c>
      <c r="E139" s="8">
        <f>'Pit Inventory'!D139</f>
        <v>4.5504910000000001</v>
      </c>
      <c r="F139" s="8">
        <f>'Pit Inventory'!C139</f>
        <v>0.25925100000000001</v>
      </c>
      <c r="G139" s="8">
        <f>'Pit Inventory'!E139</f>
        <v>58.96</v>
      </c>
      <c r="H139" s="8">
        <f>'Pit Inventory'!F139</f>
        <v>5.93</v>
      </c>
      <c r="I139" s="8">
        <f>'Pit Inventory'!G139</f>
        <v>1.98</v>
      </c>
      <c r="J139" s="8">
        <f t="shared" si="16"/>
        <v>41.04</v>
      </c>
      <c r="K139" s="11">
        <f t="shared" si="17"/>
        <v>0</v>
      </c>
      <c r="L139" s="11">
        <f t="shared" si="18"/>
        <v>1</v>
      </c>
      <c r="M139" s="11">
        <f t="shared" si="19"/>
        <v>0</v>
      </c>
      <c r="N139" s="11">
        <f t="shared" si="20"/>
        <v>1</v>
      </c>
    </row>
    <row r="140" spans="1:14" x14ac:dyDescent="0.25">
      <c r="A140" s="9">
        <f>'Pit Inventory'!A140</f>
        <v>14</v>
      </c>
      <c r="B140" s="9">
        <f>'Pit Inventory'!B140</f>
        <v>492</v>
      </c>
      <c r="C140" s="91">
        <f t="shared" si="14"/>
        <v>4.1203736623414686</v>
      </c>
      <c r="D140" s="8">
        <f t="shared" si="15"/>
        <v>4.0530710000000001</v>
      </c>
      <c r="E140" s="8">
        <f>'Pit Inventory'!D140</f>
        <v>3.8374709999999999</v>
      </c>
      <c r="F140" s="8">
        <f>'Pit Inventory'!C140</f>
        <v>0.21560000000000001</v>
      </c>
      <c r="G140" s="8">
        <f>'Pit Inventory'!E140</f>
        <v>58.66</v>
      </c>
      <c r="H140" s="8">
        <f>'Pit Inventory'!F140</f>
        <v>6.06</v>
      </c>
      <c r="I140" s="8">
        <f>'Pit Inventory'!G140</f>
        <v>2</v>
      </c>
      <c r="J140" s="8">
        <f t="shared" si="16"/>
        <v>41.34</v>
      </c>
      <c r="K140" s="11">
        <f t="shared" si="17"/>
        <v>0</v>
      </c>
      <c r="L140" s="11">
        <f t="shared" si="18"/>
        <v>1</v>
      </c>
      <c r="M140" s="11">
        <f t="shared" si="19"/>
        <v>0</v>
      </c>
      <c r="N140" s="11">
        <f t="shared" si="20"/>
        <v>1</v>
      </c>
    </row>
    <row r="141" spans="1:14" x14ac:dyDescent="0.25">
      <c r="A141" s="9">
        <f>'Pit Inventory'!A141</f>
        <v>14</v>
      </c>
      <c r="B141" s="9">
        <f>'Pit Inventory'!B141</f>
        <v>480</v>
      </c>
      <c r="C141" s="91">
        <f t="shared" si="14"/>
        <v>5.1659020308749737</v>
      </c>
      <c r="D141" s="8">
        <f t="shared" si="15"/>
        <v>3.2985290000000003</v>
      </c>
      <c r="E141" s="8">
        <f>'Pit Inventory'!D141</f>
        <v>3.0631110000000001</v>
      </c>
      <c r="F141" s="8">
        <f>'Pit Inventory'!C141</f>
        <v>0.23541799999999999</v>
      </c>
      <c r="G141" s="8">
        <f>'Pit Inventory'!E141</f>
        <v>58.37</v>
      </c>
      <c r="H141" s="8">
        <f>'Pit Inventory'!F141</f>
        <v>5.88</v>
      </c>
      <c r="I141" s="8">
        <f>'Pit Inventory'!G141</f>
        <v>2.02</v>
      </c>
      <c r="J141" s="8">
        <f t="shared" si="16"/>
        <v>41.63</v>
      </c>
      <c r="K141" s="11">
        <f t="shared" si="17"/>
        <v>0</v>
      </c>
      <c r="L141" s="11">
        <f t="shared" si="18"/>
        <v>1</v>
      </c>
      <c r="M141" s="11">
        <f t="shared" si="19"/>
        <v>0</v>
      </c>
      <c r="N141" s="11">
        <f t="shared" si="20"/>
        <v>1</v>
      </c>
    </row>
    <row r="142" spans="1:14" x14ac:dyDescent="0.25">
      <c r="A142" s="9">
        <f>'Pit Inventory'!A142</f>
        <v>14</v>
      </c>
      <c r="B142" s="9">
        <f>'Pit Inventory'!B142</f>
        <v>468</v>
      </c>
      <c r="C142" s="91">
        <f t="shared" si="14"/>
        <v>6.6856303245568602</v>
      </c>
      <c r="D142" s="8">
        <f t="shared" si="15"/>
        <v>2.6025640000000001</v>
      </c>
      <c r="E142" s="8">
        <f>'Pit Inventory'!D142</f>
        <v>2.3491870000000001</v>
      </c>
      <c r="F142" s="8">
        <f>'Pit Inventory'!C142</f>
        <v>0.25337700000000002</v>
      </c>
      <c r="G142" s="8">
        <f>'Pit Inventory'!E142</f>
        <v>58.4</v>
      </c>
      <c r="H142" s="8">
        <f>'Pit Inventory'!F142</f>
        <v>5.62</v>
      </c>
      <c r="I142" s="8">
        <f>'Pit Inventory'!G142</f>
        <v>2</v>
      </c>
      <c r="J142" s="8">
        <f t="shared" si="16"/>
        <v>41.6</v>
      </c>
      <c r="K142" s="11">
        <f t="shared" si="17"/>
        <v>0</v>
      </c>
      <c r="L142" s="11">
        <f t="shared" si="18"/>
        <v>1</v>
      </c>
      <c r="M142" s="11">
        <f t="shared" si="19"/>
        <v>0</v>
      </c>
      <c r="N142" s="11">
        <f t="shared" si="20"/>
        <v>1</v>
      </c>
    </row>
    <row r="143" spans="1:14" x14ac:dyDescent="0.25">
      <c r="A143" s="9">
        <f>'Pit Inventory'!A143</f>
        <v>14</v>
      </c>
      <c r="B143" s="9">
        <f>'Pit Inventory'!B143</f>
        <v>456</v>
      </c>
      <c r="C143" s="91">
        <f t="shared" si="14"/>
        <v>8.96875750126976</v>
      </c>
      <c r="D143" s="8">
        <f t="shared" si="15"/>
        <v>2.0141590000000003</v>
      </c>
      <c r="E143" s="8">
        <f>'Pit Inventory'!D143</f>
        <v>1.742855</v>
      </c>
      <c r="F143" s="8">
        <f>'Pit Inventory'!C143</f>
        <v>0.27130399999999999</v>
      </c>
      <c r="G143" s="8">
        <f>'Pit Inventory'!E143</f>
        <v>59.16</v>
      </c>
      <c r="H143" s="8">
        <f>'Pit Inventory'!F143</f>
        <v>4.88</v>
      </c>
      <c r="I143" s="8">
        <f>'Pit Inventory'!G143</f>
        <v>1.77</v>
      </c>
      <c r="J143" s="8">
        <f t="shared" si="16"/>
        <v>40.840000000000003</v>
      </c>
      <c r="K143" s="11">
        <f t="shared" si="17"/>
        <v>0</v>
      </c>
      <c r="L143" s="11">
        <f t="shared" si="18"/>
        <v>1</v>
      </c>
      <c r="M143" s="11">
        <f t="shared" si="19"/>
        <v>0</v>
      </c>
      <c r="N143" s="11">
        <f t="shared" si="20"/>
        <v>1</v>
      </c>
    </row>
    <row r="144" spans="1:14" x14ac:dyDescent="0.25">
      <c r="A144" s="9">
        <f>'Pit Inventory'!A144</f>
        <v>14</v>
      </c>
      <c r="B144" s="9">
        <f>'Pit Inventory'!B144</f>
        <v>444</v>
      </c>
      <c r="C144" s="91">
        <f t="shared" si="14"/>
        <v>12.971931922593138</v>
      </c>
      <c r="D144" s="8">
        <f t="shared" si="15"/>
        <v>1.5574330000000001</v>
      </c>
      <c r="E144" s="8">
        <f>'Pit Inventory'!D144</f>
        <v>1.2438</v>
      </c>
      <c r="F144" s="8">
        <f>'Pit Inventory'!C144</f>
        <v>0.313633</v>
      </c>
      <c r="G144" s="8">
        <f>'Pit Inventory'!E144</f>
        <v>59.45</v>
      </c>
      <c r="H144" s="8">
        <f>'Pit Inventory'!F144</f>
        <v>4.93</v>
      </c>
      <c r="I144" s="8">
        <f>'Pit Inventory'!G144</f>
        <v>1.58</v>
      </c>
      <c r="J144" s="8">
        <f t="shared" si="16"/>
        <v>40.549999999999997</v>
      </c>
      <c r="K144" s="11">
        <f t="shared" si="17"/>
        <v>0</v>
      </c>
      <c r="L144" s="11">
        <f t="shared" si="18"/>
        <v>1</v>
      </c>
      <c r="M144" s="11">
        <f t="shared" si="19"/>
        <v>0</v>
      </c>
      <c r="N144" s="11">
        <f t="shared" si="20"/>
        <v>1</v>
      </c>
    </row>
    <row r="145" spans="1:14" x14ac:dyDescent="0.25">
      <c r="A145" s="9">
        <f>'Pit Inventory'!A145</f>
        <v>14</v>
      </c>
      <c r="B145" s="9">
        <f>'Pit Inventory'!B145</f>
        <v>432</v>
      </c>
      <c r="C145" s="91">
        <f t="shared" si="14"/>
        <v>18.130550511209325</v>
      </c>
      <c r="D145" s="8">
        <f t="shared" si="15"/>
        <v>1.1587229999999999</v>
      </c>
      <c r="E145" s="8">
        <f>'Pit Inventory'!D145</f>
        <v>0.82522899999999999</v>
      </c>
      <c r="F145" s="8">
        <f>'Pit Inventory'!C145</f>
        <v>0.33349400000000001</v>
      </c>
      <c r="G145" s="8">
        <f>'Pit Inventory'!E145</f>
        <v>59.52</v>
      </c>
      <c r="H145" s="8">
        <f>'Pit Inventory'!F145</f>
        <v>5.0599999999999996</v>
      </c>
      <c r="I145" s="8">
        <f>'Pit Inventory'!G145</f>
        <v>1.51</v>
      </c>
      <c r="J145" s="8">
        <f t="shared" si="16"/>
        <v>40.479999999999997</v>
      </c>
      <c r="K145" s="11">
        <f t="shared" si="17"/>
        <v>0</v>
      </c>
      <c r="L145" s="11">
        <f t="shared" si="18"/>
        <v>1</v>
      </c>
      <c r="M145" s="11">
        <f t="shared" si="19"/>
        <v>0</v>
      </c>
      <c r="N145" s="11">
        <f t="shared" si="20"/>
        <v>1</v>
      </c>
    </row>
    <row r="146" spans="1:14" x14ac:dyDescent="0.25">
      <c r="A146" s="9">
        <f>'Pit Inventory'!A146</f>
        <v>14</v>
      </c>
      <c r="B146" s="9">
        <f>'Pit Inventory'!B146</f>
        <v>420</v>
      </c>
      <c r="C146" s="91">
        <f t="shared" si="14"/>
        <v>24.564985343192191</v>
      </c>
      <c r="D146" s="8">
        <f t="shared" si="15"/>
        <v>0.79860500000000001</v>
      </c>
      <c r="E146" s="8">
        <f>'Pit Inventory'!D146</f>
        <v>0.482211</v>
      </c>
      <c r="F146" s="8">
        <f>'Pit Inventory'!C146</f>
        <v>0.31639400000000001</v>
      </c>
      <c r="G146" s="8">
        <f>'Pit Inventory'!E146</f>
        <v>59.48</v>
      </c>
      <c r="H146" s="8">
        <f>'Pit Inventory'!F146</f>
        <v>5.1100000000000003</v>
      </c>
      <c r="I146" s="8">
        <f>'Pit Inventory'!G146</f>
        <v>1.41</v>
      </c>
      <c r="J146" s="8">
        <f t="shared" si="16"/>
        <v>40.520000000000003</v>
      </c>
      <c r="K146" s="11">
        <f t="shared" si="17"/>
        <v>0</v>
      </c>
      <c r="L146" s="11">
        <f t="shared" si="18"/>
        <v>1</v>
      </c>
      <c r="M146" s="11">
        <f t="shared" si="19"/>
        <v>0</v>
      </c>
      <c r="N146" s="11">
        <f t="shared" si="20"/>
        <v>1</v>
      </c>
    </row>
    <row r="147" spans="1:14" x14ac:dyDescent="0.25">
      <c r="A147" s="9">
        <f>'Pit Inventory'!A147</f>
        <v>14</v>
      </c>
      <c r="B147" s="9">
        <f>'Pit Inventory'!B147</f>
        <v>408</v>
      </c>
      <c r="C147" s="91">
        <f t="shared" si="14"/>
        <v>33.286223002304517</v>
      </c>
      <c r="D147" s="8">
        <f t="shared" si="15"/>
        <v>0.29854400000000003</v>
      </c>
      <c r="E147" s="8">
        <f>'Pit Inventory'!D147</f>
        <v>0.13781599999999999</v>
      </c>
      <c r="F147" s="8">
        <f>'Pit Inventory'!C147</f>
        <v>0.16072800000000001</v>
      </c>
      <c r="G147" s="8">
        <f>'Pit Inventory'!E147</f>
        <v>59.97</v>
      </c>
      <c r="H147" s="8">
        <f>'Pit Inventory'!F147</f>
        <v>4.5599999999999996</v>
      </c>
      <c r="I147" s="8">
        <f>'Pit Inventory'!G147</f>
        <v>1.33</v>
      </c>
      <c r="J147" s="8">
        <f t="shared" si="16"/>
        <v>40.03</v>
      </c>
      <c r="K147" s="11">
        <f t="shared" si="17"/>
        <v>0</v>
      </c>
      <c r="L147" s="11">
        <f t="shared" si="18"/>
        <v>1</v>
      </c>
      <c r="M147" s="11">
        <f t="shared" si="19"/>
        <v>0</v>
      </c>
      <c r="N147" s="11">
        <f t="shared" si="20"/>
        <v>1</v>
      </c>
    </row>
    <row r="148" spans="1:14" x14ac:dyDescent="0.25">
      <c r="A148" s="9">
        <f>'Pit Inventory'!A148</f>
        <v>15</v>
      </c>
      <c r="B148" s="9">
        <f>'Pit Inventory'!B148</f>
        <v>576</v>
      </c>
      <c r="C148" s="91">
        <f t="shared" si="14"/>
        <v>1</v>
      </c>
      <c r="D148" s="8">
        <f t="shared" si="15"/>
        <v>8.8616E-2</v>
      </c>
      <c r="E148" s="8">
        <f>'Pit Inventory'!D148</f>
        <v>8.8616E-2</v>
      </c>
      <c r="F148" s="8">
        <f>'Pit Inventory'!C148</f>
        <v>0</v>
      </c>
      <c r="G148" s="8">
        <f>'Pit Inventory'!E148</f>
        <v>0</v>
      </c>
      <c r="H148" s="8">
        <f>'Pit Inventory'!F148</f>
        <v>0</v>
      </c>
      <c r="I148" s="8">
        <f>'Pit Inventory'!G148</f>
        <v>0</v>
      </c>
      <c r="J148" s="8">
        <f t="shared" si="16"/>
        <v>100</v>
      </c>
      <c r="K148" s="11">
        <f t="shared" si="17"/>
        <v>1</v>
      </c>
      <c r="L148" s="11">
        <f t="shared" si="18"/>
        <v>0</v>
      </c>
      <c r="M148" s="11">
        <f t="shared" si="19"/>
        <v>0</v>
      </c>
      <c r="N148" s="11">
        <f t="shared" si="20"/>
        <v>1</v>
      </c>
    </row>
    <row r="149" spans="1:14" x14ac:dyDescent="0.25">
      <c r="A149" s="9">
        <f>'Pit Inventory'!A149</f>
        <v>15</v>
      </c>
      <c r="B149" s="9">
        <f>'Pit Inventory'!B149</f>
        <v>564</v>
      </c>
      <c r="C149" s="91">
        <f t="shared" si="14"/>
        <v>1</v>
      </c>
      <c r="D149" s="8">
        <f t="shared" si="15"/>
        <v>1.8446000000000001E-2</v>
      </c>
      <c r="E149" s="8">
        <f>'Pit Inventory'!D149</f>
        <v>1.8446000000000001E-2</v>
      </c>
      <c r="F149" s="8">
        <f>'Pit Inventory'!C149</f>
        <v>0</v>
      </c>
      <c r="G149" s="8">
        <f>'Pit Inventory'!E149</f>
        <v>0</v>
      </c>
      <c r="H149" s="8">
        <f>'Pit Inventory'!F149</f>
        <v>0</v>
      </c>
      <c r="I149" s="8">
        <f>'Pit Inventory'!G149</f>
        <v>0</v>
      </c>
      <c r="J149" s="8">
        <f t="shared" si="16"/>
        <v>100</v>
      </c>
      <c r="K149" s="11">
        <f t="shared" si="17"/>
        <v>1</v>
      </c>
      <c r="L149" s="11">
        <f t="shared" si="18"/>
        <v>0</v>
      </c>
      <c r="M149" s="11">
        <f t="shared" si="19"/>
        <v>0</v>
      </c>
      <c r="N149" s="11">
        <f t="shared" si="20"/>
        <v>1</v>
      </c>
    </row>
    <row r="150" spans="1:14" x14ac:dyDescent="0.25">
      <c r="A150" s="9">
        <f>'Pit Inventory'!A150</f>
        <v>15</v>
      </c>
      <c r="B150" s="9">
        <f>'Pit Inventory'!B150</f>
        <v>552</v>
      </c>
      <c r="C150" s="91">
        <f t="shared" si="14"/>
        <v>1</v>
      </c>
      <c r="D150" s="8">
        <f t="shared" si="15"/>
        <v>3.2919999999999998E-3</v>
      </c>
      <c r="E150" s="8">
        <f>'Pit Inventory'!D150</f>
        <v>3.2919999999999998E-3</v>
      </c>
      <c r="F150" s="8">
        <f>'Pit Inventory'!C150</f>
        <v>0</v>
      </c>
      <c r="G150" s="8">
        <f>'Pit Inventory'!E150</f>
        <v>0</v>
      </c>
      <c r="H150" s="8">
        <f>'Pit Inventory'!F150</f>
        <v>0</v>
      </c>
      <c r="I150" s="8">
        <f>'Pit Inventory'!G150</f>
        <v>0</v>
      </c>
      <c r="J150" s="8">
        <f t="shared" si="16"/>
        <v>100</v>
      </c>
      <c r="K150" s="11">
        <f t="shared" si="17"/>
        <v>1</v>
      </c>
      <c r="L150" s="11">
        <f t="shared" si="18"/>
        <v>0</v>
      </c>
      <c r="M150" s="11">
        <f t="shared" si="19"/>
        <v>0</v>
      </c>
      <c r="N150" s="11">
        <f t="shared" si="20"/>
        <v>1</v>
      </c>
    </row>
    <row r="151" spans="1:14" x14ac:dyDescent="0.25">
      <c r="A151" s="9">
        <f>'Pit Inventory'!A151</f>
        <v>16</v>
      </c>
      <c r="B151" s="9">
        <f>'Pit Inventory'!B151</f>
        <v>576</v>
      </c>
      <c r="C151" s="91">
        <f t="shared" si="14"/>
        <v>1.2909919924024951</v>
      </c>
      <c r="D151" s="8">
        <f t="shared" si="15"/>
        <v>4.6330999999999997E-2</v>
      </c>
      <c r="E151" s="8">
        <f>'Pit Inventory'!D151</f>
        <v>4.6095999999999998E-2</v>
      </c>
      <c r="F151" s="8">
        <f>'Pit Inventory'!C151</f>
        <v>2.3499999999999999E-4</v>
      </c>
      <c r="G151" s="8">
        <f>'Pit Inventory'!E151</f>
        <v>57.37</v>
      </c>
      <c r="H151" s="8">
        <f>'Pit Inventory'!F151</f>
        <v>7.44</v>
      </c>
      <c r="I151" s="8">
        <f>'Pit Inventory'!G151</f>
        <v>2.38</v>
      </c>
      <c r="J151" s="8">
        <f t="shared" si="16"/>
        <v>42.63</v>
      </c>
      <c r="K151" s="11">
        <f t="shared" si="17"/>
        <v>0</v>
      </c>
      <c r="L151" s="11">
        <f t="shared" si="18"/>
        <v>1</v>
      </c>
      <c r="M151" s="11">
        <f t="shared" si="19"/>
        <v>0</v>
      </c>
      <c r="N151" s="11">
        <f t="shared" si="20"/>
        <v>1</v>
      </c>
    </row>
    <row r="152" spans="1:14" x14ac:dyDescent="0.25">
      <c r="A152" s="9">
        <f>'Pit Inventory'!A152</f>
        <v>16</v>
      </c>
      <c r="B152" s="9">
        <f>'Pit Inventory'!B152</f>
        <v>564</v>
      </c>
      <c r="C152" s="91">
        <f t="shared" si="14"/>
        <v>6.3008053786605434</v>
      </c>
      <c r="D152" s="8">
        <f t="shared" si="15"/>
        <v>0.63361499999999993</v>
      </c>
      <c r="E152" s="8">
        <f>'Pit Inventory'!D152</f>
        <v>0.57532499999999998</v>
      </c>
      <c r="F152" s="8">
        <f>'Pit Inventory'!C152</f>
        <v>5.8290000000000002E-2</v>
      </c>
      <c r="G152" s="8">
        <f>'Pit Inventory'!E152</f>
        <v>57.62</v>
      </c>
      <c r="H152" s="8">
        <f>'Pit Inventory'!F152</f>
        <v>7.57</v>
      </c>
      <c r="I152" s="8">
        <f>'Pit Inventory'!G152</f>
        <v>2.38</v>
      </c>
      <c r="J152" s="8">
        <f t="shared" si="16"/>
        <v>42.38</v>
      </c>
      <c r="K152" s="11">
        <f t="shared" si="17"/>
        <v>0</v>
      </c>
      <c r="L152" s="11">
        <f t="shared" si="18"/>
        <v>1</v>
      </c>
      <c r="M152" s="11">
        <f t="shared" si="19"/>
        <v>0</v>
      </c>
      <c r="N152" s="11">
        <f t="shared" si="20"/>
        <v>1</v>
      </c>
    </row>
    <row r="153" spans="1:14" x14ac:dyDescent="0.25">
      <c r="A153" s="9">
        <f>'Pit Inventory'!A153</f>
        <v>16</v>
      </c>
      <c r="B153" s="9">
        <f>'Pit Inventory'!B153</f>
        <v>552</v>
      </c>
      <c r="C153" s="91">
        <f t="shared" si="14"/>
        <v>4.3903825663020655</v>
      </c>
      <c r="D153" s="8">
        <f t="shared" si="15"/>
        <v>1.2622909999999998</v>
      </c>
      <c r="E153" s="8">
        <f>'Pit Inventory'!D153</f>
        <v>1.1881459999999999</v>
      </c>
      <c r="F153" s="8">
        <f>'Pit Inventory'!C153</f>
        <v>7.4145000000000003E-2</v>
      </c>
      <c r="G153" s="8">
        <f>'Pit Inventory'!E153</f>
        <v>57.72</v>
      </c>
      <c r="H153" s="8">
        <f>'Pit Inventory'!F153</f>
        <v>7.58</v>
      </c>
      <c r="I153" s="8">
        <f>'Pit Inventory'!G153</f>
        <v>2.31</v>
      </c>
      <c r="J153" s="8">
        <f t="shared" si="16"/>
        <v>42.28</v>
      </c>
      <c r="K153" s="11">
        <f t="shared" si="17"/>
        <v>0</v>
      </c>
      <c r="L153" s="11">
        <f t="shared" si="18"/>
        <v>1</v>
      </c>
      <c r="M153" s="11">
        <f t="shared" si="19"/>
        <v>0</v>
      </c>
      <c r="N153" s="11">
        <f t="shared" si="20"/>
        <v>1</v>
      </c>
    </row>
    <row r="154" spans="1:14" x14ac:dyDescent="0.25">
      <c r="A154" s="9">
        <f>'Pit Inventory'!A154</f>
        <v>16</v>
      </c>
      <c r="B154" s="9">
        <f>'Pit Inventory'!B154</f>
        <v>540</v>
      </c>
      <c r="C154" s="91">
        <f t="shared" si="14"/>
        <v>4.0410342271211999</v>
      </c>
      <c r="D154" s="8">
        <f t="shared" si="15"/>
        <v>1.4149890000000001</v>
      </c>
      <c r="E154" s="8">
        <f>'Pit Inventory'!D154</f>
        <v>1.340722</v>
      </c>
      <c r="F154" s="8">
        <f>'Pit Inventory'!C154</f>
        <v>7.4267E-2</v>
      </c>
      <c r="G154" s="8">
        <f>'Pit Inventory'!E154</f>
        <v>57.94</v>
      </c>
      <c r="H154" s="8">
        <f>'Pit Inventory'!F154</f>
        <v>7.44</v>
      </c>
      <c r="I154" s="8">
        <f>'Pit Inventory'!G154</f>
        <v>2.25</v>
      </c>
      <c r="J154" s="8">
        <f t="shared" si="16"/>
        <v>42.06</v>
      </c>
      <c r="K154" s="11">
        <f t="shared" si="17"/>
        <v>0</v>
      </c>
      <c r="L154" s="11">
        <f t="shared" si="18"/>
        <v>1</v>
      </c>
      <c r="M154" s="11">
        <f t="shared" si="19"/>
        <v>0</v>
      </c>
      <c r="N154" s="11">
        <f t="shared" si="20"/>
        <v>1</v>
      </c>
    </row>
    <row r="155" spans="1:14" x14ac:dyDescent="0.25">
      <c r="A155" s="9">
        <f>'Pit Inventory'!A155</f>
        <v>16</v>
      </c>
      <c r="B155" s="9">
        <f>'Pit Inventory'!B155</f>
        <v>528</v>
      </c>
      <c r="C155" s="91">
        <f t="shared" si="14"/>
        <v>4.9292966110742178</v>
      </c>
      <c r="D155" s="8">
        <f t="shared" si="15"/>
        <v>1.1053060000000001</v>
      </c>
      <c r="E155" s="8">
        <f>'Pit Inventory'!D155</f>
        <v>1.0305800000000001</v>
      </c>
      <c r="F155" s="8">
        <f>'Pit Inventory'!C155</f>
        <v>7.4726000000000001E-2</v>
      </c>
      <c r="G155" s="8">
        <f>'Pit Inventory'!E155</f>
        <v>58.12</v>
      </c>
      <c r="H155" s="8">
        <f>'Pit Inventory'!F155</f>
        <v>7.25</v>
      </c>
      <c r="I155" s="8">
        <f>'Pit Inventory'!G155</f>
        <v>2.2400000000000002</v>
      </c>
      <c r="J155" s="8">
        <f t="shared" si="16"/>
        <v>41.88</v>
      </c>
      <c r="K155" s="11">
        <f t="shared" si="17"/>
        <v>0</v>
      </c>
      <c r="L155" s="11">
        <f t="shared" si="18"/>
        <v>1</v>
      </c>
      <c r="M155" s="11">
        <f t="shared" si="19"/>
        <v>0</v>
      </c>
      <c r="N155" s="11">
        <f t="shared" si="20"/>
        <v>1</v>
      </c>
    </row>
    <row r="156" spans="1:14" x14ac:dyDescent="0.25">
      <c r="A156" s="9">
        <f>'Pit Inventory'!A156</f>
        <v>16</v>
      </c>
      <c r="B156" s="9">
        <f>'Pit Inventory'!B156</f>
        <v>516</v>
      </c>
      <c r="C156" s="91">
        <f t="shared" si="14"/>
        <v>6.3036594853969303</v>
      </c>
      <c r="D156" s="8">
        <f t="shared" si="15"/>
        <v>0.71231599999999995</v>
      </c>
      <c r="E156" s="8">
        <f>'Pit Inventory'!D156</f>
        <v>0.64759299999999997</v>
      </c>
      <c r="F156" s="8">
        <f>'Pit Inventory'!C156</f>
        <v>6.4723000000000003E-2</v>
      </c>
      <c r="G156" s="8">
        <f>'Pit Inventory'!E156</f>
        <v>58.37</v>
      </c>
      <c r="H156" s="8">
        <f>'Pit Inventory'!F156</f>
        <v>7.08</v>
      </c>
      <c r="I156" s="8">
        <f>'Pit Inventory'!G156</f>
        <v>2.15</v>
      </c>
      <c r="J156" s="8">
        <f t="shared" si="16"/>
        <v>41.63</v>
      </c>
      <c r="K156" s="11">
        <f t="shared" si="17"/>
        <v>0</v>
      </c>
      <c r="L156" s="11">
        <f t="shared" si="18"/>
        <v>1</v>
      </c>
      <c r="M156" s="11">
        <f t="shared" si="19"/>
        <v>0</v>
      </c>
      <c r="N156" s="11">
        <f t="shared" si="20"/>
        <v>1</v>
      </c>
    </row>
    <row r="157" spans="1:14" x14ac:dyDescent="0.25">
      <c r="A157" s="9">
        <f>'Pit Inventory'!A157</f>
        <v>16</v>
      </c>
      <c r="B157" s="9">
        <f>'Pit Inventory'!B157</f>
        <v>504</v>
      </c>
      <c r="C157" s="91">
        <f t="shared" si="14"/>
        <v>7.8428195823007103</v>
      </c>
      <c r="D157" s="8">
        <f t="shared" si="15"/>
        <v>0.40148499999999998</v>
      </c>
      <c r="E157" s="8">
        <f>'Pit Inventory'!D157</f>
        <v>0.35423199999999999</v>
      </c>
      <c r="F157" s="8">
        <f>'Pit Inventory'!C157</f>
        <v>4.7253000000000003E-2</v>
      </c>
      <c r="G157" s="8">
        <f>'Pit Inventory'!E157</f>
        <v>58.14</v>
      </c>
      <c r="H157" s="8">
        <f>'Pit Inventory'!F157</f>
        <v>7.26</v>
      </c>
      <c r="I157" s="8">
        <f>'Pit Inventory'!G157</f>
        <v>2.2000000000000002</v>
      </c>
      <c r="J157" s="8">
        <f t="shared" si="16"/>
        <v>41.86</v>
      </c>
      <c r="K157" s="11">
        <f t="shared" si="17"/>
        <v>0</v>
      </c>
      <c r="L157" s="11">
        <f t="shared" si="18"/>
        <v>1</v>
      </c>
      <c r="M157" s="11">
        <f t="shared" si="19"/>
        <v>0</v>
      </c>
      <c r="N157" s="11">
        <f t="shared" si="20"/>
        <v>1</v>
      </c>
    </row>
    <row r="158" spans="1:14" x14ac:dyDescent="0.25">
      <c r="A158" s="9">
        <f>'Pit Inventory'!A158</f>
        <v>16</v>
      </c>
      <c r="B158" s="9">
        <f>'Pit Inventory'!B158</f>
        <v>492</v>
      </c>
      <c r="C158" s="91">
        <f t="shared" si="14"/>
        <v>8.1555581632272069</v>
      </c>
      <c r="D158" s="8">
        <f t="shared" si="15"/>
        <v>0.18748099999999998</v>
      </c>
      <c r="E158" s="8">
        <f>'Pit Inventory'!D158</f>
        <v>0.16454099999999999</v>
      </c>
      <c r="F158" s="8">
        <f>'Pit Inventory'!C158</f>
        <v>2.2939999999999999E-2</v>
      </c>
      <c r="G158" s="8">
        <f>'Pit Inventory'!E158</f>
        <v>58.48</v>
      </c>
      <c r="H158" s="8">
        <f>'Pit Inventory'!F158</f>
        <v>6.46</v>
      </c>
      <c r="I158" s="8">
        <f>'Pit Inventory'!G158</f>
        <v>2.2400000000000002</v>
      </c>
      <c r="J158" s="8">
        <f t="shared" si="16"/>
        <v>41.52</v>
      </c>
      <c r="K158" s="11">
        <f t="shared" si="17"/>
        <v>0</v>
      </c>
      <c r="L158" s="11">
        <f t="shared" si="18"/>
        <v>1</v>
      </c>
      <c r="M158" s="11">
        <f t="shared" si="19"/>
        <v>0</v>
      </c>
      <c r="N158" s="11">
        <f t="shared" si="20"/>
        <v>1</v>
      </c>
    </row>
    <row r="159" spans="1:14" x14ac:dyDescent="0.25">
      <c r="A159" s="9">
        <f>'Pit Inventory'!A159</f>
        <v>16</v>
      </c>
      <c r="B159" s="9">
        <f>'Pit Inventory'!B159</f>
        <v>480</v>
      </c>
      <c r="C159" s="91">
        <f t="shared" si="14"/>
        <v>11.469476668120366</v>
      </c>
      <c r="D159" s="8">
        <f t="shared" si="15"/>
        <v>6.4203999999999997E-2</v>
      </c>
      <c r="E159" s="8">
        <f>'Pit Inventory'!D159</f>
        <v>5.2696E-2</v>
      </c>
      <c r="F159" s="8">
        <f>'Pit Inventory'!C159</f>
        <v>1.1508000000000001E-2</v>
      </c>
      <c r="G159" s="8">
        <f>'Pit Inventory'!E159</f>
        <v>58.41</v>
      </c>
      <c r="H159" s="8">
        <f>'Pit Inventory'!F159</f>
        <v>6.79</v>
      </c>
      <c r="I159" s="8">
        <f>'Pit Inventory'!G159</f>
        <v>2.16</v>
      </c>
      <c r="J159" s="8">
        <f t="shared" si="16"/>
        <v>41.59</v>
      </c>
      <c r="K159" s="11">
        <f t="shared" si="17"/>
        <v>0</v>
      </c>
      <c r="L159" s="11">
        <f t="shared" si="18"/>
        <v>1</v>
      </c>
      <c r="M159" s="11">
        <f t="shared" si="19"/>
        <v>0</v>
      </c>
      <c r="N159" s="11">
        <f t="shared" si="20"/>
        <v>1</v>
      </c>
    </row>
    <row r="160" spans="1:14" x14ac:dyDescent="0.25">
      <c r="A160" s="9">
        <f>'Pit Inventory'!A160</f>
        <v>17</v>
      </c>
      <c r="B160" s="9">
        <f>'Pit Inventory'!B160</f>
        <v>564</v>
      </c>
      <c r="C160" s="91">
        <f t="shared" si="14"/>
        <v>1</v>
      </c>
      <c r="D160" s="8">
        <f t="shared" si="15"/>
        <v>1.1640000000000001E-3</v>
      </c>
      <c r="E160" s="8">
        <f>'Pit Inventory'!D160</f>
        <v>1.1640000000000001E-3</v>
      </c>
      <c r="F160" s="8">
        <f>'Pit Inventory'!C160</f>
        <v>0</v>
      </c>
      <c r="G160" s="8">
        <f>'Pit Inventory'!E160</f>
        <v>0</v>
      </c>
      <c r="H160" s="8">
        <f>'Pit Inventory'!F160</f>
        <v>0</v>
      </c>
      <c r="I160" s="8">
        <f>'Pit Inventory'!G160</f>
        <v>0</v>
      </c>
      <c r="J160" s="8">
        <f t="shared" si="16"/>
        <v>100</v>
      </c>
      <c r="K160" s="11">
        <f t="shared" si="17"/>
        <v>1</v>
      </c>
      <c r="L160" s="11">
        <f t="shared" si="18"/>
        <v>0</v>
      </c>
      <c r="M160" s="11">
        <f t="shared" si="19"/>
        <v>0</v>
      </c>
      <c r="N160" s="11">
        <f t="shared" si="20"/>
        <v>1</v>
      </c>
    </row>
    <row r="161" spans="1:14" x14ac:dyDescent="0.25">
      <c r="A161" s="9">
        <f>'Pit Inventory'!A161</f>
        <v>17</v>
      </c>
      <c r="B161" s="9">
        <f>'Pit Inventory'!B161</f>
        <v>552</v>
      </c>
      <c r="C161" s="91">
        <f t="shared" si="14"/>
        <v>1</v>
      </c>
      <c r="D161" s="8">
        <f t="shared" si="15"/>
        <v>8.5955000000000004E-2</v>
      </c>
      <c r="E161" s="8">
        <f>'Pit Inventory'!D161</f>
        <v>8.5955000000000004E-2</v>
      </c>
      <c r="F161" s="8">
        <f>'Pit Inventory'!C161</f>
        <v>0</v>
      </c>
      <c r="G161" s="8">
        <f>'Pit Inventory'!E161</f>
        <v>0</v>
      </c>
      <c r="H161" s="8">
        <f>'Pit Inventory'!F161</f>
        <v>0</v>
      </c>
      <c r="I161" s="8">
        <f>'Pit Inventory'!G161</f>
        <v>0</v>
      </c>
      <c r="J161" s="8">
        <f t="shared" si="16"/>
        <v>100</v>
      </c>
      <c r="K161" s="11">
        <f t="shared" si="17"/>
        <v>1</v>
      </c>
      <c r="L161" s="11">
        <f t="shared" si="18"/>
        <v>0</v>
      </c>
      <c r="M161" s="11">
        <f t="shared" si="19"/>
        <v>0</v>
      </c>
      <c r="N161" s="11">
        <f t="shared" si="20"/>
        <v>1</v>
      </c>
    </row>
    <row r="162" spans="1:14" x14ac:dyDescent="0.25">
      <c r="A162" s="9">
        <f>'Pit Inventory'!A162</f>
        <v>17</v>
      </c>
      <c r="B162" s="9">
        <f>'Pit Inventory'!B162</f>
        <v>540</v>
      </c>
      <c r="C162" s="91">
        <f t="shared" si="14"/>
        <v>1</v>
      </c>
      <c r="D162" s="8">
        <f t="shared" si="15"/>
        <v>6.4060000000000002E-3</v>
      </c>
      <c r="E162" s="8">
        <f>'Pit Inventory'!D162</f>
        <v>6.4060000000000002E-3</v>
      </c>
      <c r="F162" s="8">
        <f>'Pit Inventory'!C162</f>
        <v>0</v>
      </c>
      <c r="G162" s="8">
        <f>'Pit Inventory'!E162</f>
        <v>0</v>
      </c>
      <c r="H162" s="8">
        <f>'Pit Inventory'!F162</f>
        <v>0</v>
      </c>
      <c r="I162" s="8">
        <f>'Pit Inventory'!G162</f>
        <v>0</v>
      </c>
      <c r="J162" s="8">
        <f t="shared" si="16"/>
        <v>100</v>
      </c>
      <c r="K162" s="11">
        <f t="shared" si="17"/>
        <v>1</v>
      </c>
      <c r="L162" s="11">
        <f t="shared" si="18"/>
        <v>0</v>
      </c>
      <c r="M162" s="11">
        <f t="shared" si="19"/>
        <v>0</v>
      </c>
      <c r="N162" s="11">
        <f t="shared" si="20"/>
        <v>1</v>
      </c>
    </row>
    <row r="163" spans="1:14" x14ac:dyDescent="0.25">
      <c r="A163" s="9">
        <f>'Pit Inventory'!A163</f>
        <v>17</v>
      </c>
      <c r="B163" s="9">
        <f>'Pit Inventory'!B163</f>
        <v>528</v>
      </c>
      <c r="C163" s="91">
        <f t="shared" si="14"/>
        <v>1</v>
      </c>
      <c r="D163" s="8">
        <f t="shared" si="15"/>
        <v>5.3899999999999998E-4</v>
      </c>
      <c r="E163" s="8">
        <f>'Pit Inventory'!D163</f>
        <v>5.3899999999999998E-4</v>
      </c>
      <c r="F163" s="8">
        <f>'Pit Inventory'!C163</f>
        <v>0</v>
      </c>
      <c r="G163" s="8">
        <f>'Pit Inventory'!E163</f>
        <v>0</v>
      </c>
      <c r="H163" s="8">
        <f>'Pit Inventory'!F163</f>
        <v>0</v>
      </c>
      <c r="I163" s="8">
        <f>'Pit Inventory'!G163</f>
        <v>0</v>
      </c>
      <c r="J163" s="8">
        <f t="shared" si="16"/>
        <v>100</v>
      </c>
      <c r="K163" s="11">
        <f t="shared" si="17"/>
        <v>1</v>
      </c>
      <c r="L163" s="11">
        <f t="shared" si="18"/>
        <v>0</v>
      </c>
      <c r="M163" s="11">
        <f t="shared" si="19"/>
        <v>0</v>
      </c>
      <c r="N163" s="11">
        <f t="shared" si="20"/>
        <v>1</v>
      </c>
    </row>
    <row r="164" spans="1:14" x14ac:dyDescent="0.25">
      <c r="A164" s="9">
        <f>'Pit Inventory'!A164</f>
        <v>18</v>
      </c>
      <c r="B164" s="9">
        <f>'Pit Inventory'!B164</f>
        <v>540</v>
      </c>
      <c r="C164" s="91">
        <f t="shared" si="14"/>
        <v>3.493317555338995</v>
      </c>
      <c r="D164" s="8">
        <f t="shared" si="15"/>
        <v>0.59618899999999997</v>
      </c>
      <c r="E164" s="8">
        <f>'Pit Inventory'!D164</f>
        <v>0.570604</v>
      </c>
      <c r="F164" s="8">
        <f>'Pit Inventory'!C164</f>
        <v>2.5585E-2</v>
      </c>
      <c r="G164" s="8">
        <f>'Pit Inventory'!E164</f>
        <v>58.1</v>
      </c>
      <c r="H164" s="8">
        <f>'Pit Inventory'!F164</f>
        <v>7</v>
      </c>
      <c r="I164" s="8">
        <f>'Pit Inventory'!G164</f>
        <v>2.52</v>
      </c>
      <c r="J164" s="8">
        <f t="shared" si="16"/>
        <v>41.9</v>
      </c>
      <c r="K164" s="11">
        <f t="shared" si="17"/>
        <v>0</v>
      </c>
      <c r="L164" s="11">
        <f t="shared" si="18"/>
        <v>1</v>
      </c>
      <c r="M164" s="11">
        <f t="shared" si="19"/>
        <v>0</v>
      </c>
      <c r="N164" s="11">
        <f t="shared" si="20"/>
        <v>1</v>
      </c>
    </row>
    <row r="165" spans="1:14" x14ac:dyDescent="0.25">
      <c r="A165" s="9">
        <f>'Pit Inventory'!A165</f>
        <v>18</v>
      </c>
      <c r="B165" s="9">
        <f>'Pit Inventory'!B165</f>
        <v>528</v>
      </c>
      <c r="C165" s="91">
        <f t="shared" si="14"/>
        <v>5.3422914138272164</v>
      </c>
      <c r="D165" s="8">
        <f t="shared" si="15"/>
        <v>1.7649539999999999</v>
      </c>
      <c r="E165" s="8">
        <f>'Pit Inventory'!D165</f>
        <v>1.634814</v>
      </c>
      <c r="F165" s="8">
        <f>'Pit Inventory'!C165</f>
        <v>0.13014000000000001</v>
      </c>
      <c r="G165" s="8">
        <f>'Pit Inventory'!E165</f>
        <v>58.89</v>
      </c>
      <c r="H165" s="8">
        <f>'Pit Inventory'!F165</f>
        <v>6.77</v>
      </c>
      <c r="I165" s="8">
        <f>'Pit Inventory'!G165</f>
        <v>2.25</v>
      </c>
      <c r="J165" s="8">
        <f t="shared" si="16"/>
        <v>41.11</v>
      </c>
      <c r="K165" s="11">
        <f t="shared" si="17"/>
        <v>0</v>
      </c>
      <c r="L165" s="11">
        <f t="shared" si="18"/>
        <v>1</v>
      </c>
      <c r="M165" s="11">
        <f t="shared" si="19"/>
        <v>0</v>
      </c>
      <c r="N165" s="11">
        <f t="shared" si="20"/>
        <v>1</v>
      </c>
    </row>
    <row r="166" spans="1:14" x14ac:dyDescent="0.25">
      <c r="A166" s="9">
        <f>'Pit Inventory'!A166</f>
        <v>18</v>
      </c>
      <c r="B166" s="9">
        <f>'Pit Inventory'!B166</f>
        <v>516</v>
      </c>
      <c r="C166" s="91">
        <f t="shared" si="14"/>
        <v>5.9123990601110892</v>
      </c>
      <c r="D166" s="8">
        <f t="shared" si="15"/>
        <v>1.894692</v>
      </c>
      <c r="E166" s="8">
        <f>'Pit Inventory'!D166</f>
        <v>1.737471</v>
      </c>
      <c r="F166" s="8">
        <f>'Pit Inventory'!C166</f>
        <v>0.157221</v>
      </c>
      <c r="G166" s="8">
        <f>'Pit Inventory'!E166</f>
        <v>59.2</v>
      </c>
      <c r="H166" s="8">
        <f>'Pit Inventory'!F166</f>
        <v>6.79</v>
      </c>
      <c r="I166" s="8">
        <f>'Pit Inventory'!G166</f>
        <v>2.0699999999999998</v>
      </c>
      <c r="J166" s="8">
        <f t="shared" si="16"/>
        <v>40.799999999999997</v>
      </c>
      <c r="K166" s="11">
        <f t="shared" si="17"/>
        <v>0</v>
      </c>
      <c r="L166" s="11">
        <f t="shared" si="18"/>
        <v>1</v>
      </c>
      <c r="M166" s="11">
        <f t="shared" si="19"/>
        <v>0</v>
      </c>
      <c r="N166" s="11">
        <f t="shared" si="20"/>
        <v>1</v>
      </c>
    </row>
    <row r="167" spans="1:14" x14ac:dyDescent="0.25">
      <c r="A167" s="9">
        <f>'Pit Inventory'!A167</f>
        <v>18</v>
      </c>
      <c r="B167" s="9">
        <f>'Pit Inventory'!B167</f>
        <v>504</v>
      </c>
      <c r="C167" s="91">
        <f t="shared" si="14"/>
        <v>8.1910003903869928</v>
      </c>
      <c r="D167" s="8">
        <f t="shared" si="15"/>
        <v>1.3704350000000001</v>
      </c>
      <c r="E167" s="8">
        <f>'Pit Inventory'!D167</f>
        <v>1.207438</v>
      </c>
      <c r="F167" s="8">
        <f>'Pit Inventory'!C167</f>
        <v>0.162997</v>
      </c>
      <c r="G167" s="8">
        <f>'Pit Inventory'!E167</f>
        <v>60.46</v>
      </c>
      <c r="H167" s="8">
        <f>'Pit Inventory'!F167</f>
        <v>5.31</v>
      </c>
      <c r="I167" s="8">
        <f>'Pit Inventory'!G167</f>
        <v>2.0299999999999998</v>
      </c>
      <c r="J167" s="8">
        <f t="shared" si="16"/>
        <v>39.54</v>
      </c>
      <c r="K167" s="11">
        <f t="shared" si="17"/>
        <v>0</v>
      </c>
      <c r="L167" s="11">
        <f t="shared" si="18"/>
        <v>1</v>
      </c>
      <c r="M167" s="11">
        <f t="shared" si="19"/>
        <v>0</v>
      </c>
      <c r="N167" s="11">
        <f t="shared" si="20"/>
        <v>1</v>
      </c>
    </row>
    <row r="168" spans="1:14" x14ac:dyDescent="0.25">
      <c r="A168" s="9">
        <f>'Pit Inventory'!A168</f>
        <v>18</v>
      </c>
      <c r="B168" s="9">
        <f>'Pit Inventory'!B168</f>
        <v>492</v>
      </c>
      <c r="C168" s="91">
        <f t="shared" ref="C168:C185" si="21">1+F168*G168/D168</f>
        <v>11.673130597632351</v>
      </c>
      <c r="D168" s="8">
        <f t="shared" si="15"/>
        <v>0.912551</v>
      </c>
      <c r="E168" s="8">
        <f>'Pit Inventory'!D168</f>
        <v>0.75402599999999997</v>
      </c>
      <c r="F168" s="8">
        <f>'Pit Inventory'!C168</f>
        <v>0.158525</v>
      </c>
      <c r="G168" s="8">
        <f>'Pit Inventory'!E168</f>
        <v>61.44</v>
      </c>
      <c r="H168" s="8">
        <f>'Pit Inventory'!F168</f>
        <v>4.21</v>
      </c>
      <c r="I168" s="8">
        <f>'Pit Inventory'!G168</f>
        <v>2.06</v>
      </c>
      <c r="J168" s="8">
        <f t="shared" si="16"/>
        <v>38.56</v>
      </c>
      <c r="K168" s="11">
        <f t="shared" si="17"/>
        <v>0</v>
      </c>
      <c r="L168" s="11">
        <f t="shared" si="18"/>
        <v>1</v>
      </c>
      <c r="M168" s="11">
        <f t="shared" si="19"/>
        <v>0</v>
      </c>
      <c r="N168" s="11">
        <f t="shared" si="20"/>
        <v>1</v>
      </c>
    </row>
    <row r="169" spans="1:14" x14ac:dyDescent="0.25">
      <c r="A169" s="9">
        <f>'Pit Inventory'!A169</f>
        <v>18</v>
      </c>
      <c r="B169" s="9">
        <f>'Pit Inventory'!B169</f>
        <v>480</v>
      </c>
      <c r="C169" s="91">
        <f t="shared" si="21"/>
        <v>17.775295752789752</v>
      </c>
      <c r="D169" s="8">
        <f t="shared" si="15"/>
        <v>0.524509</v>
      </c>
      <c r="E169" s="8">
        <f>'Pit Inventory'!D169</f>
        <v>0.37979200000000002</v>
      </c>
      <c r="F169" s="8">
        <f>'Pit Inventory'!C169</f>
        <v>0.14471700000000001</v>
      </c>
      <c r="G169" s="8">
        <f>'Pit Inventory'!E169</f>
        <v>60.8</v>
      </c>
      <c r="H169" s="8">
        <f>'Pit Inventory'!F169</f>
        <v>4.49</v>
      </c>
      <c r="I169" s="8">
        <f>'Pit Inventory'!G169</f>
        <v>2.13</v>
      </c>
      <c r="J169" s="8">
        <f t="shared" si="16"/>
        <v>39.200000000000003</v>
      </c>
      <c r="K169" s="11">
        <f t="shared" si="17"/>
        <v>0</v>
      </c>
      <c r="L169" s="11">
        <f t="shared" si="18"/>
        <v>1</v>
      </c>
      <c r="M169" s="11">
        <f t="shared" si="19"/>
        <v>0</v>
      </c>
      <c r="N169" s="11">
        <f t="shared" si="20"/>
        <v>1</v>
      </c>
    </row>
    <row r="170" spans="1:14" x14ac:dyDescent="0.25">
      <c r="A170" s="9">
        <f>'Pit Inventory'!A170</f>
        <v>18</v>
      </c>
      <c r="B170" s="9">
        <f>'Pit Inventory'!B170</f>
        <v>468</v>
      </c>
      <c r="C170" s="91">
        <f t="shared" si="21"/>
        <v>32.127897698639345</v>
      </c>
      <c r="D170" s="8">
        <f t="shared" si="15"/>
        <v>0.214308</v>
      </c>
      <c r="E170" s="8">
        <f>'Pit Inventory'!D170</f>
        <v>0.10449799999999999</v>
      </c>
      <c r="F170" s="8">
        <f>'Pit Inventory'!C170</f>
        <v>0.10981</v>
      </c>
      <c r="G170" s="8">
        <f>'Pit Inventory'!E170</f>
        <v>60.75</v>
      </c>
      <c r="H170" s="8">
        <f>'Pit Inventory'!F170</f>
        <v>4.59</v>
      </c>
      <c r="I170" s="8">
        <f>'Pit Inventory'!G170</f>
        <v>2.23</v>
      </c>
      <c r="J170" s="8">
        <f t="shared" si="16"/>
        <v>39.25</v>
      </c>
      <c r="K170" s="11">
        <f t="shared" si="17"/>
        <v>0</v>
      </c>
      <c r="L170" s="11">
        <f t="shared" si="18"/>
        <v>1</v>
      </c>
      <c r="M170" s="11">
        <f t="shared" si="19"/>
        <v>0</v>
      </c>
      <c r="N170" s="11">
        <f t="shared" si="20"/>
        <v>1</v>
      </c>
    </row>
    <row r="171" spans="1:14" x14ac:dyDescent="0.25">
      <c r="A171" s="9">
        <f>'Pit Inventory'!A171</f>
        <v>18</v>
      </c>
      <c r="B171" s="9">
        <f>'Pit Inventory'!B171</f>
        <v>456</v>
      </c>
      <c r="C171" s="91">
        <f t="shared" si="21"/>
        <v>41.818675771665831</v>
      </c>
      <c r="D171" s="8">
        <f t="shared" si="15"/>
        <v>5.8283000000000001E-2</v>
      </c>
      <c r="E171" s="8">
        <f>'Pit Inventory'!D171</f>
        <v>1.9359000000000001E-2</v>
      </c>
      <c r="F171" s="8">
        <f>'Pit Inventory'!C171</f>
        <v>3.8924E-2</v>
      </c>
      <c r="G171" s="8">
        <f>'Pit Inventory'!E171</f>
        <v>61.12</v>
      </c>
      <c r="H171" s="8">
        <f>'Pit Inventory'!F171</f>
        <v>4.51</v>
      </c>
      <c r="I171" s="8">
        <f>'Pit Inventory'!G171</f>
        <v>2.29</v>
      </c>
      <c r="J171" s="8">
        <f t="shared" si="16"/>
        <v>38.880000000000003</v>
      </c>
      <c r="K171" s="11">
        <f t="shared" si="17"/>
        <v>0</v>
      </c>
      <c r="L171" s="11">
        <f t="shared" si="18"/>
        <v>1</v>
      </c>
      <c r="M171" s="11">
        <f t="shared" si="19"/>
        <v>0</v>
      </c>
      <c r="N171" s="11">
        <f t="shared" si="20"/>
        <v>1</v>
      </c>
    </row>
    <row r="172" spans="1:14" x14ac:dyDescent="0.25">
      <c r="A172" s="9">
        <f>'Pit Inventory'!A172</f>
        <v>19</v>
      </c>
      <c r="B172" s="9">
        <f>'Pit Inventory'!B172</f>
        <v>564</v>
      </c>
      <c r="C172" s="91">
        <f t="shared" si="21"/>
        <v>1</v>
      </c>
      <c r="D172" s="8">
        <f t="shared" si="15"/>
        <v>1.0900000000000001E-4</v>
      </c>
      <c r="E172" s="8">
        <f>'Pit Inventory'!D172</f>
        <v>1.0900000000000001E-4</v>
      </c>
      <c r="F172" s="8">
        <f>'Pit Inventory'!C172</f>
        <v>0</v>
      </c>
      <c r="G172" s="8">
        <f>'Pit Inventory'!E172</f>
        <v>0</v>
      </c>
      <c r="H172" s="8">
        <f>'Pit Inventory'!F172</f>
        <v>0</v>
      </c>
      <c r="I172" s="8">
        <f>'Pit Inventory'!G172</f>
        <v>0</v>
      </c>
      <c r="J172" s="8">
        <f t="shared" si="16"/>
        <v>100</v>
      </c>
      <c r="K172" s="11">
        <f t="shared" si="17"/>
        <v>1</v>
      </c>
      <c r="L172" s="11">
        <f t="shared" si="18"/>
        <v>0</v>
      </c>
      <c r="M172" s="11">
        <f t="shared" si="19"/>
        <v>0</v>
      </c>
      <c r="N172" s="11">
        <f t="shared" si="20"/>
        <v>1</v>
      </c>
    </row>
    <row r="173" spans="1:14" x14ac:dyDescent="0.25">
      <c r="A173" s="9">
        <f>'Pit Inventory'!A173</f>
        <v>19</v>
      </c>
      <c r="B173" s="9">
        <f>'Pit Inventory'!B173</f>
        <v>552</v>
      </c>
      <c r="C173" s="91">
        <f t="shared" si="21"/>
        <v>1</v>
      </c>
      <c r="D173" s="8">
        <f t="shared" si="15"/>
        <v>3.4719E-2</v>
      </c>
      <c r="E173" s="8">
        <f>'Pit Inventory'!D173</f>
        <v>3.4719E-2</v>
      </c>
      <c r="F173" s="8">
        <f>'Pit Inventory'!C173</f>
        <v>0</v>
      </c>
      <c r="G173" s="8">
        <f>'Pit Inventory'!E173</f>
        <v>0</v>
      </c>
      <c r="H173" s="8">
        <f>'Pit Inventory'!F173</f>
        <v>0</v>
      </c>
      <c r="I173" s="8">
        <f>'Pit Inventory'!G173</f>
        <v>0</v>
      </c>
      <c r="J173" s="8">
        <f t="shared" si="16"/>
        <v>100</v>
      </c>
      <c r="K173" s="11">
        <f t="shared" si="17"/>
        <v>1</v>
      </c>
      <c r="L173" s="11">
        <f t="shared" si="18"/>
        <v>0</v>
      </c>
      <c r="M173" s="11">
        <f t="shared" si="19"/>
        <v>0</v>
      </c>
      <c r="N173" s="11">
        <f t="shared" si="20"/>
        <v>1</v>
      </c>
    </row>
    <row r="174" spans="1:14" x14ac:dyDescent="0.25">
      <c r="A174" s="9">
        <f>'Pit Inventory'!A174</f>
        <v>19</v>
      </c>
      <c r="B174" s="9">
        <f>'Pit Inventory'!B174</f>
        <v>540</v>
      </c>
      <c r="C174" s="91">
        <f t="shared" si="21"/>
        <v>1</v>
      </c>
      <c r="D174" s="8">
        <f t="shared" si="15"/>
        <v>2.0722999999999998E-2</v>
      </c>
      <c r="E174" s="8">
        <f>'Pit Inventory'!D174</f>
        <v>2.0722999999999998E-2</v>
      </c>
      <c r="F174" s="8">
        <f>'Pit Inventory'!C174</f>
        <v>0</v>
      </c>
      <c r="G174" s="8">
        <f>'Pit Inventory'!E174</f>
        <v>0</v>
      </c>
      <c r="H174" s="8">
        <f>'Pit Inventory'!F174</f>
        <v>0</v>
      </c>
      <c r="I174" s="8">
        <f>'Pit Inventory'!G174</f>
        <v>0</v>
      </c>
      <c r="J174" s="8">
        <f t="shared" si="16"/>
        <v>100</v>
      </c>
      <c r="K174" s="11">
        <f t="shared" si="17"/>
        <v>1</v>
      </c>
      <c r="L174" s="11">
        <f t="shared" si="18"/>
        <v>0</v>
      </c>
      <c r="M174" s="11">
        <f t="shared" si="19"/>
        <v>0</v>
      </c>
      <c r="N174" s="11">
        <f t="shared" si="20"/>
        <v>1</v>
      </c>
    </row>
    <row r="175" spans="1:14" x14ac:dyDescent="0.25">
      <c r="A175" s="9">
        <f>'Pit Inventory'!A175</f>
        <v>19</v>
      </c>
      <c r="B175" s="9">
        <f>'Pit Inventory'!B175</f>
        <v>528</v>
      </c>
      <c r="C175" s="91">
        <f t="shared" si="21"/>
        <v>1</v>
      </c>
      <c r="D175" s="8">
        <f t="shared" si="15"/>
        <v>7.9679999999999994E-3</v>
      </c>
      <c r="E175" s="8">
        <f>'Pit Inventory'!D175</f>
        <v>7.9679999999999994E-3</v>
      </c>
      <c r="F175" s="8">
        <f>'Pit Inventory'!C175</f>
        <v>0</v>
      </c>
      <c r="G175" s="8">
        <f>'Pit Inventory'!E175</f>
        <v>0</v>
      </c>
      <c r="H175" s="8">
        <f>'Pit Inventory'!F175</f>
        <v>0</v>
      </c>
      <c r="I175" s="8">
        <f>'Pit Inventory'!G175</f>
        <v>0</v>
      </c>
      <c r="J175" s="8">
        <f t="shared" si="16"/>
        <v>100</v>
      </c>
      <c r="K175" s="11">
        <f t="shared" si="17"/>
        <v>1</v>
      </c>
      <c r="L175" s="11">
        <f t="shared" si="18"/>
        <v>0</v>
      </c>
      <c r="M175" s="11">
        <f t="shared" si="19"/>
        <v>0</v>
      </c>
      <c r="N175" s="11">
        <f t="shared" si="20"/>
        <v>1</v>
      </c>
    </row>
    <row r="176" spans="1:14" x14ac:dyDescent="0.25">
      <c r="A176" s="9">
        <f>'Pit Inventory'!A176</f>
        <v>20</v>
      </c>
      <c r="B176" s="9">
        <f>'Pit Inventory'!B176</f>
        <v>552</v>
      </c>
      <c r="C176" s="91">
        <f t="shared" si="21"/>
        <v>1.8067560264900662</v>
      </c>
      <c r="D176" s="8">
        <f t="shared" si="15"/>
        <v>5.6625000000000002E-2</v>
      </c>
      <c r="E176" s="8">
        <f>'Pit Inventory'!D176</f>
        <v>5.5833000000000001E-2</v>
      </c>
      <c r="F176" s="8">
        <f>'Pit Inventory'!C176</f>
        <v>7.9199999999999995E-4</v>
      </c>
      <c r="G176" s="8">
        <f>'Pit Inventory'!E176</f>
        <v>57.68</v>
      </c>
      <c r="H176" s="8">
        <f>'Pit Inventory'!F176</f>
        <v>7.85</v>
      </c>
      <c r="I176" s="8">
        <f>'Pit Inventory'!G176</f>
        <v>2.75</v>
      </c>
      <c r="J176" s="8">
        <f t="shared" si="16"/>
        <v>42.32</v>
      </c>
      <c r="K176" s="11">
        <f t="shared" si="17"/>
        <v>0</v>
      </c>
      <c r="L176" s="11">
        <f t="shared" si="18"/>
        <v>1</v>
      </c>
      <c r="M176" s="11">
        <f t="shared" si="19"/>
        <v>0</v>
      </c>
      <c r="N176" s="11">
        <f t="shared" si="20"/>
        <v>1</v>
      </c>
    </row>
    <row r="177" spans="1:14" x14ac:dyDescent="0.25">
      <c r="A177" s="9">
        <f>'Pit Inventory'!A177</f>
        <v>20</v>
      </c>
      <c r="B177" s="9">
        <f>'Pit Inventory'!B177</f>
        <v>540</v>
      </c>
      <c r="C177" s="91">
        <f t="shared" si="21"/>
        <v>5.8219574153317035</v>
      </c>
      <c r="D177" s="8">
        <f t="shared" si="15"/>
        <v>0.94902699999999995</v>
      </c>
      <c r="E177" s="8">
        <f>'Pit Inventory'!D177</f>
        <v>0.86962099999999998</v>
      </c>
      <c r="F177" s="8">
        <f>'Pit Inventory'!C177</f>
        <v>7.9406000000000004E-2</v>
      </c>
      <c r="G177" s="8">
        <f>'Pit Inventory'!E177</f>
        <v>57.63</v>
      </c>
      <c r="H177" s="8">
        <f>'Pit Inventory'!F177</f>
        <v>5.77</v>
      </c>
      <c r="I177" s="8">
        <f>'Pit Inventory'!G177</f>
        <v>2.63</v>
      </c>
      <c r="J177" s="8">
        <f t="shared" si="16"/>
        <v>42.37</v>
      </c>
      <c r="K177" s="11">
        <f t="shared" si="17"/>
        <v>0</v>
      </c>
      <c r="L177" s="11">
        <f t="shared" si="18"/>
        <v>1</v>
      </c>
      <c r="M177" s="11">
        <f t="shared" si="19"/>
        <v>0</v>
      </c>
      <c r="N177" s="11">
        <f t="shared" si="20"/>
        <v>1</v>
      </c>
    </row>
    <row r="178" spans="1:14" x14ac:dyDescent="0.25">
      <c r="A178" s="9">
        <f>'Pit Inventory'!A178</f>
        <v>20</v>
      </c>
      <c r="B178" s="9">
        <f>'Pit Inventory'!B178</f>
        <v>528</v>
      </c>
      <c r="C178" s="91">
        <f t="shared" si="21"/>
        <v>5.8683602726723239</v>
      </c>
      <c r="D178" s="8">
        <f t="shared" si="15"/>
        <v>2.726496</v>
      </c>
      <c r="E178" s="8">
        <f>'Pit Inventory'!D178</f>
        <v>2.4975230000000002</v>
      </c>
      <c r="F178" s="8">
        <f>'Pit Inventory'!C178</f>
        <v>0.22897300000000001</v>
      </c>
      <c r="G178" s="8">
        <f>'Pit Inventory'!E178</f>
        <v>57.97</v>
      </c>
      <c r="H178" s="8">
        <f>'Pit Inventory'!F178</f>
        <v>5.91</v>
      </c>
      <c r="I178" s="8">
        <f>'Pit Inventory'!G178</f>
        <v>2.65</v>
      </c>
      <c r="J178" s="8">
        <f t="shared" si="16"/>
        <v>42.03</v>
      </c>
      <c r="K178" s="11">
        <f t="shared" si="17"/>
        <v>0</v>
      </c>
      <c r="L178" s="11">
        <f t="shared" si="18"/>
        <v>1</v>
      </c>
      <c r="M178" s="11">
        <f t="shared" si="19"/>
        <v>0</v>
      </c>
      <c r="N178" s="11">
        <f t="shared" si="20"/>
        <v>1</v>
      </c>
    </row>
    <row r="179" spans="1:14" x14ac:dyDescent="0.25">
      <c r="A179" s="9">
        <f>'Pit Inventory'!A179</f>
        <v>20</v>
      </c>
      <c r="B179" s="9">
        <f>'Pit Inventory'!B179</f>
        <v>516</v>
      </c>
      <c r="C179" s="91">
        <f t="shared" si="21"/>
        <v>6.2094029557291739</v>
      </c>
      <c r="D179" s="8">
        <f t="shared" si="15"/>
        <v>3.9010340000000001</v>
      </c>
      <c r="E179" s="8">
        <f>'Pit Inventory'!D179</f>
        <v>3.5535890000000001</v>
      </c>
      <c r="F179" s="8">
        <f>'Pit Inventory'!C179</f>
        <v>0.347445</v>
      </c>
      <c r="G179" s="8">
        <f>'Pit Inventory'!E179</f>
        <v>58.49</v>
      </c>
      <c r="H179" s="8">
        <f>'Pit Inventory'!F179</f>
        <v>5.61</v>
      </c>
      <c r="I179" s="8">
        <f>'Pit Inventory'!G179</f>
        <v>2.59</v>
      </c>
      <c r="J179" s="8">
        <f t="shared" si="16"/>
        <v>41.51</v>
      </c>
      <c r="K179" s="11">
        <f t="shared" si="17"/>
        <v>0</v>
      </c>
      <c r="L179" s="11">
        <f t="shared" si="18"/>
        <v>1</v>
      </c>
      <c r="M179" s="11">
        <f t="shared" si="19"/>
        <v>0</v>
      </c>
      <c r="N179" s="11">
        <f t="shared" si="20"/>
        <v>1</v>
      </c>
    </row>
    <row r="180" spans="1:14" x14ac:dyDescent="0.25">
      <c r="A180" s="9">
        <f>'Pit Inventory'!A180</f>
        <v>20</v>
      </c>
      <c r="B180" s="9">
        <f>'Pit Inventory'!B180</f>
        <v>504</v>
      </c>
      <c r="C180" s="91">
        <f t="shared" si="21"/>
        <v>7.9960068082924138</v>
      </c>
      <c r="D180" s="8">
        <f t="shared" si="15"/>
        <v>2.8547539999999998</v>
      </c>
      <c r="E180" s="8">
        <f>'Pit Inventory'!D180</f>
        <v>2.513296</v>
      </c>
      <c r="F180" s="8">
        <f>'Pit Inventory'!C180</f>
        <v>0.34145799999999998</v>
      </c>
      <c r="G180" s="8">
        <f>'Pit Inventory'!E180</f>
        <v>58.49</v>
      </c>
      <c r="H180" s="8">
        <f>'Pit Inventory'!F180</f>
        <v>5.74</v>
      </c>
      <c r="I180" s="8">
        <f>'Pit Inventory'!G180</f>
        <v>2.61</v>
      </c>
      <c r="J180" s="8">
        <f t="shared" si="16"/>
        <v>41.51</v>
      </c>
      <c r="K180" s="11">
        <f t="shared" si="17"/>
        <v>0</v>
      </c>
      <c r="L180" s="11">
        <f t="shared" si="18"/>
        <v>1</v>
      </c>
      <c r="M180" s="11">
        <f t="shared" si="19"/>
        <v>0</v>
      </c>
      <c r="N180" s="11">
        <f t="shared" si="20"/>
        <v>1</v>
      </c>
    </row>
    <row r="181" spans="1:14" x14ac:dyDescent="0.25">
      <c r="A181" s="9">
        <f>'Pit Inventory'!A181</f>
        <v>20</v>
      </c>
      <c r="B181" s="9">
        <f>'Pit Inventory'!B181</f>
        <v>492</v>
      </c>
      <c r="C181" s="91">
        <f t="shared" si="21"/>
        <v>10.073963026002932</v>
      </c>
      <c r="D181" s="8">
        <f t="shared" si="15"/>
        <v>2.0010820000000002</v>
      </c>
      <c r="E181" s="8">
        <f>'Pit Inventory'!D181</f>
        <v>1.6911700000000001</v>
      </c>
      <c r="F181" s="8">
        <f>'Pit Inventory'!C181</f>
        <v>0.30991200000000002</v>
      </c>
      <c r="G181" s="8">
        <f>'Pit Inventory'!E181</f>
        <v>58.59</v>
      </c>
      <c r="H181" s="8">
        <f>'Pit Inventory'!F181</f>
        <v>5.78</v>
      </c>
      <c r="I181" s="8">
        <f>'Pit Inventory'!G181</f>
        <v>2.4300000000000002</v>
      </c>
      <c r="J181" s="8">
        <f t="shared" si="16"/>
        <v>41.41</v>
      </c>
      <c r="K181" s="11">
        <f t="shared" si="17"/>
        <v>0</v>
      </c>
      <c r="L181" s="11">
        <f t="shared" si="18"/>
        <v>1</v>
      </c>
      <c r="M181" s="11">
        <f t="shared" si="19"/>
        <v>0</v>
      </c>
      <c r="N181" s="11">
        <f t="shared" si="20"/>
        <v>1</v>
      </c>
    </row>
    <row r="182" spans="1:14" x14ac:dyDescent="0.25">
      <c r="A182" s="9">
        <f>'Pit Inventory'!A182</f>
        <v>20</v>
      </c>
      <c r="B182" s="9">
        <f>'Pit Inventory'!B182</f>
        <v>480</v>
      </c>
      <c r="C182" s="91">
        <f t="shared" si="21"/>
        <v>13.575664877098012</v>
      </c>
      <c r="D182" s="8">
        <f t="shared" si="15"/>
        <v>1.2831770000000002</v>
      </c>
      <c r="E182" s="8">
        <f>'Pit Inventory'!D182</f>
        <v>1.0092540000000001</v>
      </c>
      <c r="F182" s="8">
        <f>'Pit Inventory'!C182</f>
        <v>0.27392300000000003</v>
      </c>
      <c r="G182" s="8">
        <f>'Pit Inventory'!E182</f>
        <v>58.91</v>
      </c>
      <c r="H182" s="8">
        <f>'Pit Inventory'!F182</f>
        <v>5.66</v>
      </c>
      <c r="I182" s="8">
        <f>'Pit Inventory'!G182</f>
        <v>2.2000000000000002</v>
      </c>
      <c r="J182" s="8">
        <f t="shared" si="16"/>
        <v>41.09</v>
      </c>
      <c r="K182" s="11">
        <f t="shared" si="17"/>
        <v>0</v>
      </c>
      <c r="L182" s="11">
        <f t="shared" si="18"/>
        <v>1</v>
      </c>
      <c r="M182" s="11">
        <f t="shared" si="19"/>
        <v>0</v>
      </c>
      <c r="N182" s="11">
        <f t="shared" si="20"/>
        <v>1</v>
      </c>
    </row>
    <row r="183" spans="1:14" x14ac:dyDescent="0.25">
      <c r="A183" s="9">
        <f>'Pit Inventory'!A183</f>
        <v>20</v>
      </c>
      <c r="B183" s="9">
        <f>'Pit Inventory'!B183</f>
        <v>468</v>
      </c>
      <c r="C183" s="91">
        <f t="shared" si="21"/>
        <v>21.752307330662546</v>
      </c>
      <c r="D183" s="8">
        <f t="shared" si="15"/>
        <v>0.599823</v>
      </c>
      <c r="E183" s="8">
        <f>'Pit Inventory'!D183</f>
        <v>0.38945099999999999</v>
      </c>
      <c r="F183" s="8">
        <f>'Pit Inventory'!C183</f>
        <v>0.210372</v>
      </c>
      <c r="G183" s="8">
        <f>'Pit Inventory'!E183</f>
        <v>59.17</v>
      </c>
      <c r="H183" s="8">
        <f>'Pit Inventory'!F183</f>
        <v>5.22</v>
      </c>
      <c r="I183" s="8">
        <f>'Pit Inventory'!G183</f>
        <v>2.1</v>
      </c>
      <c r="J183" s="8">
        <f t="shared" si="16"/>
        <v>40.83</v>
      </c>
      <c r="K183" s="11">
        <f t="shared" si="17"/>
        <v>0</v>
      </c>
      <c r="L183" s="11">
        <f t="shared" si="18"/>
        <v>1</v>
      </c>
      <c r="M183" s="11">
        <f t="shared" si="19"/>
        <v>0</v>
      </c>
      <c r="N183" s="11">
        <f t="shared" si="20"/>
        <v>1</v>
      </c>
    </row>
    <row r="184" spans="1:14" x14ac:dyDescent="0.25">
      <c r="A184" s="9">
        <f>'Pit Inventory'!A184</f>
        <v>20</v>
      </c>
      <c r="B184" s="9">
        <f>'Pit Inventory'!B184</f>
        <v>456</v>
      </c>
      <c r="C184" s="91">
        <f t="shared" si="21"/>
        <v>37.807695708973974</v>
      </c>
      <c r="D184" s="8">
        <f t="shared" si="15"/>
        <v>0.20897099999999999</v>
      </c>
      <c r="E184" s="8">
        <f>'Pit Inventory'!D184</f>
        <v>7.8756999999999994E-2</v>
      </c>
      <c r="F184" s="8">
        <f>'Pit Inventory'!C184</f>
        <v>0.130214</v>
      </c>
      <c r="G184" s="8">
        <f>'Pit Inventory'!E184</f>
        <v>59.07</v>
      </c>
      <c r="H184" s="8">
        <f>'Pit Inventory'!F184</f>
        <v>5.2</v>
      </c>
      <c r="I184" s="8">
        <f>'Pit Inventory'!G184</f>
        <v>2.23</v>
      </c>
      <c r="J184" s="8">
        <f t="shared" si="16"/>
        <v>40.93</v>
      </c>
      <c r="K184" s="11">
        <f t="shared" si="17"/>
        <v>0</v>
      </c>
      <c r="L184" s="11">
        <f t="shared" si="18"/>
        <v>1</v>
      </c>
      <c r="M184" s="11">
        <f t="shared" si="19"/>
        <v>0</v>
      </c>
      <c r="N184" s="11">
        <f t="shared" si="20"/>
        <v>1</v>
      </c>
    </row>
    <row r="185" spans="1:14" x14ac:dyDescent="0.25">
      <c r="A185" s="9">
        <f>'Pit Inventory'!A185</f>
        <v>20</v>
      </c>
      <c r="B185" s="9">
        <f>'Pit Inventory'!B185</f>
        <v>444</v>
      </c>
      <c r="C185" s="91">
        <f t="shared" si="21"/>
        <v>42.64635004207755</v>
      </c>
      <c r="D185" s="8">
        <f t="shared" si="15"/>
        <v>4.6342999999999995E-2</v>
      </c>
      <c r="E185" s="8">
        <f>'Pit Inventory'!D185</f>
        <v>1.3873E-2</v>
      </c>
      <c r="F185" s="8">
        <f>'Pit Inventory'!C185</f>
        <v>3.2469999999999999E-2</v>
      </c>
      <c r="G185" s="8">
        <f>'Pit Inventory'!E185</f>
        <v>59.44</v>
      </c>
      <c r="H185" s="8">
        <f>'Pit Inventory'!F185</f>
        <v>4.95</v>
      </c>
      <c r="I185" s="8">
        <f>'Pit Inventory'!G185</f>
        <v>2.2799999999999998</v>
      </c>
      <c r="J185" s="8">
        <f t="shared" si="16"/>
        <v>40.56</v>
      </c>
      <c r="K185" s="11">
        <f t="shared" si="17"/>
        <v>0</v>
      </c>
      <c r="L185" s="11">
        <f t="shared" si="18"/>
        <v>1</v>
      </c>
      <c r="M185" s="11">
        <f t="shared" si="19"/>
        <v>0</v>
      </c>
      <c r="N185" s="11">
        <f t="shared" si="20"/>
        <v>1</v>
      </c>
    </row>
    <row r="186" spans="1:14" x14ac:dyDescent="0.25">
      <c r="C186" s="12"/>
      <c r="E186" s="8"/>
      <c r="F186" s="8"/>
      <c r="G186" s="8"/>
      <c r="H186" s="8"/>
      <c r="I186" s="8"/>
      <c r="J186" s="8"/>
      <c r="K186" s="8"/>
      <c r="L186" s="8"/>
      <c r="M186" s="8"/>
      <c r="N186" s="8"/>
    </row>
    <row r="187" spans="1:14" x14ac:dyDescent="0.25">
      <c r="C187" s="12"/>
      <c r="D187" s="8">
        <f>SUM(D2:D185)</f>
        <v>463.69429700000029</v>
      </c>
      <c r="E187" s="8">
        <f t="shared" ref="E187:F187" si="22">SUM(E2:E185)</f>
        <v>394.26038500000004</v>
      </c>
      <c r="F187" s="8">
        <f t="shared" si="22"/>
        <v>69.433912000000021</v>
      </c>
      <c r="G187" s="8">
        <f>SUMPRODUCT($F$2:$F$185,G2:G185)/SUM($F$2:$F$185)</f>
        <v>60.003972375775085</v>
      </c>
      <c r="H187" s="8">
        <f>SUMPRODUCT($F$2:$F$185,H2:H185)/SUM($F$2:$F$185)</f>
        <v>4.537339339889126</v>
      </c>
      <c r="I187" s="8">
        <f>SUMPRODUCT($F$2:$F$185,I2:I185)/SUM($F$2:$F$185)</f>
        <v>2.0872947773704569</v>
      </c>
      <c r="J187" s="8">
        <f>SUMPRODUCT($F$2:$F$185,J2:J185)/SUM($F$2:$F$185)</f>
        <v>39.996027624224887</v>
      </c>
      <c r="K187" s="8"/>
      <c r="L187" s="8"/>
      <c r="M187" s="8"/>
      <c r="N187" s="8"/>
    </row>
    <row r="188" spans="1:14" x14ac:dyDescent="0.25">
      <c r="C188" s="12"/>
      <c r="E188" s="8"/>
      <c r="F188" s="8"/>
      <c r="G188" s="8"/>
      <c r="H188" s="8"/>
      <c r="I188" s="8"/>
      <c r="J188" s="8"/>
      <c r="K188" s="8"/>
      <c r="L188" s="8"/>
      <c r="M188" s="8"/>
      <c r="N188" s="8"/>
    </row>
    <row r="189" spans="1:14" x14ac:dyDescent="0.25">
      <c r="C189" s="12"/>
      <c r="E189" s="8"/>
      <c r="F189" s="8"/>
      <c r="G189" s="8"/>
      <c r="H189" s="8"/>
      <c r="I189" s="8"/>
      <c r="J189" s="8"/>
      <c r="K189" s="8"/>
      <c r="L189" s="8"/>
      <c r="M189" s="8"/>
      <c r="N189" s="8"/>
    </row>
    <row r="190" spans="1:14" x14ac:dyDescent="0.25">
      <c r="C190" s="12"/>
      <c r="E190" s="8"/>
      <c r="F190" s="8"/>
      <c r="G190" s="8"/>
      <c r="H190" s="8"/>
      <c r="I190" s="8"/>
      <c r="J190" s="8"/>
      <c r="K190" s="8"/>
      <c r="L190" s="8"/>
      <c r="M190" s="8"/>
      <c r="N190" s="8"/>
    </row>
    <row r="191" spans="1:14" x14ac:dyDescent="0.25">
      <c r="C191" s="12"/>
      <c r="E191" s="8"/>
      <c r="F191" s="8"/>
      <c r="G191" s="8"/>
      <c r="H191" s="8"/>
      <c r="I191" s="8"/>
      <c r="J191" s="8"/>
      <c r="K191" s="8"/>
      <c r="L191" s="8"/>
      <c r="M191" s="8"/>
      <c r="N191" s="8"/>
    </row>
    <row r="192" spans="1:14" x14ac:dyDescent="0.25">
      <c r="C192" s="12"/>
      <c r="E192" s="8"/>
      <c r="F192" s="8"/>
      <c r="G192" s="8"/>
      <c r="H192" s="8"/>
      <c r="I192" s="8"/>
      <c r="J192" s="8"/>
      <c r="K192" s="8"/>
      <c r="L192" s="8"/>
      <c r="M192" s="8"/>
      <c r="N192" s="8"/>
    </row>
    <row r="193" spans="3:14" x14ac:dyDescent="0.25">
      <c r="C193" s="12"/>
      <c r="E193" s="8"/>
      <c r="F193" s="8"/>
      <c r="G193" s="8"/>
      <c r="H193" s="8"/>
      <c r="I193" s="8"/>
      <c r="J193" s="8"/>
      <c r="K193" s="8"/>
      <c r="L193" s="8"/>
      <c r="M193" s="8"/>
      <c r="N193" s="8"/>
    </row>
    <row r="194" spans="3:14" x14ac:dyDescent="0.25">
      <c r="C194" s="12"/>
      <c r="E194" s="8"/>
      <c r="F194" s="8"/>
      <c r="G194" s="8"/>
      <c r="H194" s="8"/>
      <c r="I194" s="8"/>
      <c r="J194" s="8"/>
      <c r="K194" s="8"/>
      <c r="L194" s="8"/>
      <c r="M194" s="8"/>
      <c r="N194" s="8"/>
    </row>
    <row r="195" spans="3:14" x14ac:dyDescent="0.25">
      <c r="C195" s="12"/>
      <c r="E195" s="8"/>
      <c r="F195" s="8"/>
      <c r="G195" s="8"/>
      <c r="H195" s="8"/>
      <c r="I195" s="8"/>
      <c r="J195" s="8"/>
      <c r="K195" s="8"/>
      <c r="L195" s="8"/>
      <c r="M195" s="8"/>
      <c r="N195" s="8"/>
    </row>
    <row r="196" spans="3:14" x14ac:dyDescent="0.25">
      <c r="C196" s="12"/>
      <c r="E196" s="8"/>
      <c r="F196" s="8"/>
      <c r="G196" s="8"/>
      <c r="H196" s="8"/>
      <c r="I196" s="8"/>
      <c r="J196" s="8"/>
      <c r="K196" s="8"/>
      <c r="L196" s="8"/>
      <c r="M196" s="8"/>
      <c r="N196" s="8"/>
    </row>
    <row r="197" spans="3:14" x14ac:dyDescent="0.25">
      <c r="C197" s="12"/>
      <c r="E197" s="8"/>
      <c r="F197" s="8"/>
      <c r="G197" s="8"/>
      <c r="H197" s="8"/>
      <c r="I197" s="8"/>
      <c r="J197" s="8"/>
      <c r="K197" s="8"/>
      <c r="L197" s="8"/>
      <c r="M197" s="8"/>
      <c r="N197" s="8"/>
    </row>
    <row r="198" spans="3:14" x14ac:dyDescent="0.25">
      <c r="C198" s="12"/>
      <c r="E198" s="8"/>
      <c r="F198" s="8"/>
      <c r="G198" s="8"/>
      <c r="H198" s="8"/>
      <c r="I198" s="8"/>
      <c r="J198" s="8"/>
      <c r="K198" s="8"/>
      <c r="L198" s="8"/>
      <c r="M198" s="8"/>
      <c r="N198" s="8"/>
    </row>
    <row r="199" spans="3:14" x14ac:dyDescent="0.25">
      <c r="C199" s="12"/>
      <c r="E199" s="8"/>
      <c r="F199" s="8"/>
      <c r="G199" s="8"/>
      <c r="H199" s="8"/>
      <c r="I199" s="8"/>
      <c r="J199" s="8"/>
      <c r="K199" s="8"/>
      <c r="L199" s="8"/>
      <c r="M199" s="8"/>
      <c r="N199" s="8"/>
    </row>
    <row r="200" spans="3:14" x14ac:dyDescent="0.25">
      <c r="C200" s="12"/>
      <c r="E200" s="8"/>
      <c r="F200" s="8"/>
      <c r="G200" s="8"/>
      <c r="H200" s="8"/>
      <c r="I200" s="8"/>
      <c r="J200" s="8"/>
      <c r="K200" s="8"/>
      <c r="L200" s="8"/>
      <c r="M200" s="8"/>
      <c r="N200" s="8"/>
    </row>
    <row r="201" spans="3:14" x14ac:dyDescent="0.25">
      <c r="C201" s="12"/>
      <c r="E201" s="8"/>
      <c r="F201" s="8"/>
      <c r="G201" s="8"/>
      <c r="H201" s="8"/>
      <c r="I201" s="8"/>
      <c r="J201" s="8"/>
      <c r="K201" s="8"/>
      <c r="L201" s="8"/>
      <c r="M201" s="8"/>
      <c r="N201" s="8"/>
    </row>
    <row r="202" spans="3:14" x14ac:dyDescent="0.25">
      <c r="C202" s="12"/>
      <c r="E202" s="8"/>
      <c r="F202" s="8"/>
      <c r="G202" s="8"/>
      <c r="H202" s="8"/>
      <c r="I202" s="8"/>
      <c r="J202" s="8"/>
      <c r="K202" s="8"/>
      <c r="L202" s="8"/>
      <c r="M202" s="8"/>
      <c r="N202" s="8"/>
    </row>
    <row r="203" spans="3:14" x14ac:dyDescent="0.25">
      <c r="C203" s="12"/>
      <c r="E203" s="8"/>
      <c r="F203" s="8"/>
      <c r="G203" s="8"/>
      <c r="H203" s="8"/>
      <c r="I203" s="8"/>
      <c r="J203" s="8"/>
      <c r="K203" s="8"/>
      <c r="L203" s="8"/>
      <c r="M203" s="8"/>
      <c r="N203" s="8"/>
    </row>
    <row r="204" spans="3:14" x14ac:dyDescent="0.25">
      <c r="C204" s="12"/>
      <c r="E204" s="8"/>
      <c r="F204" s="8"/>
      <c r="G204" s="8"/>
      <c r="H204" s="8"/>
      <c r="I204" s="8"/>
      <c r="J204" s="8"/>
      <c r="K204" s="8"/>
      <c r="L204" s="8"/>
      <c r="M204" s="8"/>
      <c r="N204" s="8"/>
    </row>
    <row r="205" spans="3:14" x14ac:dyDescent="0.25">
      <c r="C205" s="12"/>
      <c r="E205" s="8"/>
      <c r="F205" s="8"/>
      <c r="G205" s="8"/>
      <c r="H205" s="8"/>
      <c r="I205" s="8"/>
      <c r="J205" s="8"/>
      <c r="K205" s="8"/>
      <c r="L205" s="8"/>
      <c r="M205" s="8"/>
      <c r="N205" s="8"/>
    </row>
    <row r="206" spans="3:14" x14ac:dyDescent="0.25">
      <c r="C206" s="12"/>
      <c r="E206" s="8"/>
      <c r="F206" s="8"/>
      <c r="G206" s="8"/>
      <c r="H206" s="8"/>
      <c r="I206" s="8"/>
      <c r="J206" s="8"/>
      <c r="K206" s="8"/>
      <c r="L206" s="8"/>
      <c r="M206" s="8"/>
      <c r="N206" s="8"/>
    </row>
    <row r="207" spans="3:14" x14ac:dyDescent="0.25">
      <c r="C207" s="12"/>
      <c r="E207" s="8"/>
      <c r="F207" s="8"/>
      <c r="G207" s="8"/>
      <c r="H207" s="8"/>
      <c r="I207" s="8"/>
      <c r="J207" s="8"/>
      <c r="K207" s="8"/>
      <c r="L207" s="8"/>
      <c r="M207" s="8"/>
      <c r="N207" s="8"/>
    </row>
    <row r="208" spans="3:14" x14ac:dyDescent="0.25">
      <c r="C208" s="12"/>
      <c r="E208" s="8"/>
      <c r="F208" s="8"/>
      <c r="G208" s="8"/>
      <c r="H208" s="8"/>
      <c r="I208" s="8"/>
      <c r="J208" s="8"/>
      <c r="K208" s="8"/>
      <c r="L208" s="8"/>
      <c r="M208" s="8"/>
      <c r="N208" s="8"/>
    </row>
    <row r="209" spans="3:14" x14ac:dyDescent="0.25">
      <c r="C209" s="12"/>
      <c r="E209" s="8"/>
      <c r="F209" s="8"/>
      <c r="G209" s="8"/>
      <c r="H209" s="8"/>
      <c r="I209" s="8"/>
      <c r="J209" s="8"/>
      <c r="K209" s="8"/>
      <c r="L209" s="8"/>
      <c r="M209" s="8"/>
      <c r="N209" s="8"/>
    </row>
    <row r="210" spans="3:14" x14ac:dyDescent="0.25">
      <c r="C210" s="12"/>
      <c r="E210" s="8"/>
      <c r="F210" s="8"/>
      <c r="G210" s="8"/>
      <c r="H210" s="8"/>
      <c r="I210" s="8"/>
      <c r="J210" s="8"/>
      <c r="K210" s="8"/>
      <c r="L210" s="8"/>
      <c r="M210" s="8"/>
      <c r="N210" s="8"/>
    </row>
    <row r="211" spans="3:14" x14ac:dyDescent="0.25">
      <c r="C211" s="12"/>
      <c r="E211" s="8"/>
      <c r="F211" s="8"/>
      <c r="G211" s="8"/>
      <c r="H211" s="8"/>
      <c r="I211" s="8"/>
      <c r="J211" s="8"/>
      <c r="K211" s="8"/>
      <c r="L211" s="8"/>
      <c r="M211" s="8"/>
      <c r="N211" s="8"/>
    </row>
    <row r="212" spans="3:14" x14ac:dyDescent="0.25">
      <c r="C212" s="12"/>
      <c r="E212" s="8"/>
      <c r="F212" s="8"/>
      <c r="G212" s="8"/>
      <c r="H212" s="8"/>
      <c r="I212" s="8"/>
      <c r="J212" s="8"/>
      <c r="K212" s="8"/>
      <c r="L212" s="8"/>
      <c r="M212" s="8"/>
      <c r="N212" s="8"/>
    </row>
    <row r="213" spans="3:14" x14ac:dyDescent="0.25">
      <c r="C213" s="12"/>
      <c r="E213" s="8"/>
      <c r="F213" s="8"/>
      <c r="G213" s="8"/>
      <c r="H213" s="8"/>
      <c r="I213" s="8"/>
      <c r="J213" s="8"/>
      <c r="K213" s="8"/>
      <c r="L213" s="8"/>
      <c r="M213" s="8"/>
      <c r="N213" s="8"/>
    </row>
    <row r="214" spans="3:14" x14ac:dyDescent="0.25">
      <c r="C214" s="12"/>
      <c r="E214" s="8"/>
      <c r="F214" s="8"/>
      <c r="G214" s="8"/>
      <c r="H214" s="8"/>
      <c r="I214" s="8"/>
      <c r="J214" s="8"/>
      <c r="K214" s="8"/>
      <c r="L214" s="8"/>
      <c r="M214" s="8"/>
      <c r="N214" s="8"/>
    </row>
    <row r="215" spans="3:14" x14ac:dyDescent="0.25">
      <c r="C215" s="12"/>
      <c r="E215" s="8"/>
      <c r="F215" s="8"/>
      <c r="G215" s="8"/>
      <c r="H215" s="8"/>
      <c r="I215" s="8"/>
      <c r="J215" s="8"/>
      <c r="K215" s="8"/>
      <c r="L215" s="8"/>
      <c r="M215" s="8"/>
      <c r="N215" s="8"/>
    </row>
    <row r="216" spans="3:14" x14ac:dyDescent="0.25">
      <c r="C216" s="12"/>
      <c r="E216" s="8"/>
      <c r="F216" s="8"/>
      <c r="G216" s="8"/>
      <c r="H216" s="8"/>
      <c r="I216" s="8"/>
      <c r="J216" s="8"/>
      <c r="K216" s="8"/>
      <c r="L216" s="8"/>
      <c r="M216" s="8"/>
      <c r="N216" s="8"/>
    </row>
    <row r="217" spans="3:14" x14ac:dyDescent="0.25">
      <c r="C217" s="12"/>
      <c r="E217" s="8"/>
      <c r="F217" s="8"/>
      <c r="G217" s="8"/>
      <c r="H217" s="8"/>
      <c r="I217" s="8"/>
      <c r="J217" s="8"/>
      <c r="K217" s="8"/>
      <c r="L217" s="8"/>
      <c r="M217" s="8"/>
      <c r="N217" s="8"/>
    </row>
    <row r="218" spans="3:14" x14ac:dyDescent="0.25">
      <c r="C218" s="12"/>
      <c r="E218" s="8"/>
      <c r="F218" s="8"/>
      <c r="G218" s="8"/>
      <c r="H218" s="8"/>
      <c r="I218" s="8"/>
      <c r="J218" s="8"/>
      <c r="K218" s="8"/>
      <c r="L218" s="8"/>
      <c r="M218" s="8"/>
      <c r="N218" s="8"/>
    </row>
    <row r="219" spans="3:14" x14ac:dyDescent="0.25">
      <c r="C219" s="12"/>
      <c r="E219" s="8"/>
      <c r="F219" s="8"/>
      <c r="G219" s="8"/>
      <c r="H219" s="8"/>
      <c r="I219" s="8"/>
      <c r="J219" s="8"/>
      <c r="K219" s="8"/>
      <c r="L219" s="8"/>
      <c r="M219" s="8"/>
      <c r="N219" s="8"/>
    </row>
    <row r="220" spans="3:14" x14ac:dyDescent="0.25">
      <c r="C220" s="12"/>
      <c r="E220" s="8"/>
      <c r="F220" s="8"/>
      <c r="G220" s="8"/>
      <c r="H220" s="8"/>
      <c r="I220" s="8"/>
      <c r="J220" s="8"/>
      <c r="K220" s="8"/>
      <c r="L220" s="8"/>
      <c r="M220" s="8"/>
      <c r="N220" s="8"/>
    </row>
    <row r="221" spans="3:14" x14ac:dyDescent="0.25">
      <c r="C221" s="12"/>
      <c r="E221" s="8"/>
      <c r="F221" s="8"/>
      <c r="G221" s="8"/>
      <c r="H221" s="8"/>
      <c r="I221" s="8"/>
      <c r="J221" s="8"/>
      <c r="K221" s="8"/>
      <c r="L221" s="8"/>
      <c r="M221" s="8"/>
      <c r="N221" s="8"/>
    </row>
    <row r="222" spans="3:14" x14ac:dyDescent="0.25">
      <c r="C222" s="12"/>
      <c r="E222" s="8"/>
      <c r="F222" s="8"/>
      <c r="G222" s="8"/>
      <c r="H222" s="8"/>
      <c r="I222" s="8"/>
      <c r="J222" s="8"/>
      <c r="K222" s="8"/>
      <c r="L222" s="8"/>
      <c r="M222" s="8"/>
      <c r="N222" s="8"/>
    </row>
    <row r="223" spans="3:14" x14ac:dyDescent="0.25">
      <c r="C223" s="12"/>
      <c r="E223" s="8"/>
      <c r="F223" s="8"/>
      <c r="G223" s="8"/>
      <c r="H223" s="8"/>
      <c r="I223" s="8"/>
      <c r="J223" s="8"/>
      <c r="K223" s="8"/>
      <c r="L223" s="8"/>
      <c r="M223" s="8"/>
      <c r="N223" s="8"/>
    </row>
    <row r="224" spans="3:14" x14ac:dyDescent="0.25">
      <c r="C224" s="12"/>
      <c r="E224" s="8"/>
      <c r="F224" s="8"/>
      <c r="G224" s="8"/>
      <c r="H224" s="8"/>
      <c r="I224" s="8"/>
      <c r="J224" s="8"/>
      <c r="K224" s="8"/>
      <c r="L224" s="8"/>
      <c r="M224" s="8"/>
      <c r="N224" s="8"/>
    </row>
    <row r="225" spans="3:14" x14ac:dyDescent="0.25">
      <c r="C225" s="12"/>
      <c r="E225" s="8"/>
      <c r="F225" s="8"/>
      <c r="G225" s="8"/>
      <c r="H225" s="8"/>
      <c r="I225" s="8"/>
      <c r="J225" s="8"/>
      <c r="K225" s="8"/>
      <c r="L225" s="8"/>
      <c r="M225" s="8"/>
      <c r="N225" s="8"/>
    </row>
    <row r="226" spans="3:14" x14ac:dyDescent="0.25">
      <c r="C226" s="12"/>
      <c r="E226" s="8"/>
      <c r="F226" s="8"/>
      <c r="G226" s="8"/>
      <c r="H226" s="8"/>
      <c r="I226" s="8"/>
      <c r="J226" s="8"/>
      <c r="K226" s="8"/>
      <c r="L226" s="8"/>
      <c r="M226" s="8"/>
      <c r="N226" s="8"/>
    </row>
    <row r="227" spans="3:14" x14ac:dyDescent="0.25">
      <c r="C227" s="12"/>
      <c r="E227" s="8"/>
      <c r="F227" s="8"/>
      <c r="G227" s="8"/>
      <c r="H227" s="8"/>
      <c r="I227" s="8"/>
      <c r="J227" s="8"/>
      <c r="K227" s="8"/>
      <c r="L227" s="8"/>
      <c r="M227" s="8"/>
      <c r="N227" s="8"/>
    </row>
    <row r="228" spans="3:14" x14ac:dyDescent="0.25">
      <c r="C228" s="12"/>
      <c r="E228" s="8"/>
      <c r="F228" s="8"/>
      <c r="G228" s="8"/>
      <c r="H228" s="8"/>
      <c r="I228" s="8"/>
      <c r="J228" s="8"/>
      <c r="K228" s="8"/>
      <c r="L228" s="8"/>
      <c r="M228" s="8"/>
      <c r="N228" s="8"/>
    </row>
    <row r="229" spans="3:14" x14ac:dyDescent="0.25">
      <c r="C229" s="12"/>
      <c r="E229" s="8"/>
      <c r="F229" s="8"/>
      <c r="G229" s="8"/>
      <c r="H229" s="8"/>
      <c r="I229" s="8"/>
      <c r="J229" s="8"/>
      <c r="K229" s="8"/>
      <c r="L229" s="8"/>
      <c r="M229" s="8"/>
      <c r="N229" s="8"/>
    </row>
    <row r="230" spans="3:14" x14ac:dyDescent="0.25">
      <c r="C230" s="12"/>
      <c r="E230" s="8"/>
      <c r="F230" s="8"/>
      <c r="G230" s="8"/>
      <c r="H230" s="8"/>
      <c r="I230" s="8"/>
      <c r="J230" s="8"/>
      <c r="K230" s="8"/>
      <c r="L230" s="8"/>
      <c r="M230" s="8"/>
      <c r="N230" s="8"/>
    </row>
    <row r="231" spans="3:14" x14ac:dyDescent="0.25">
      <c r="C231" s="12"/>
      <c r="E231" s="8"/>
      <c r="F231" s="8"/>
      <c r="G231" s="8"/>
      <c r="H231" s="8"/>
      <c r="I231" s="8"/>
      <c r="J231" s="8"/>
      <c r="K231" s="8"/>
      <c r="L231" s="8"/>
      <c r="M231" s="8"/>
      <c r="N231" s="8"/>
    </row>
    <row r="232" spans="3:14" x14ac:dyDescent="0.25">
      <c r="C232" s="12"/>
      <c r="E232" s="8"/>
      <c r="F232" s="8"/>
      <c r="G232" s="8"/>
      <c r="H232" s="8"/>
      <c r="I232" s="8"/>
      <c r="J232" s="8"/>
      <c r="K232" s="8"/>
      <c r="L232" s="8"/>
      <c r="M232" s="8"/>
      <c r="N232" s="8"/>
    </row>
    <row r="233" spans="3:14" x14ac:dyDescent="0.25">
      <c r="C233" s="12"/>
      <c r="E233" s="8"/>
      <c r="F233" s="8"/>
      <c r="G233" s="8"/>
      <c r="H233" s="8"/>
      <c r="I233" s="8"/>
      <c r="J233" s="8"/>
      <c r="K233" s="8"/>
      <c r="L233" s="8"/>
      <c r="M233" s="8"/>
      <c r="N233" s="8"/>
    </row>
    <row r="234" spans="3:14" x14ac:dyDescent="0.25">
      <c r="C234" s="12"/>
      <c r="E234" s="8"/>
      <c r="F234" s="8"/>
      <c r="G234" s="8"/>
      <c r="H234" s="8"/>
      <c r="I234" s="8"/>
      <c r="J234" s="8"/>
      <c r="K234" s="8"/>
      <c r="L234" s="8"/>
      <c r="M234" s="8"/>
      <c r="N234" s="8"/>
    </row>
    <row r="235" spans="3:14" x14ac:dyDescent="0.25">
      <c r="C235" s="12"/>
      <c r="E235" s="8"/>
      <c r="F235" s="8"/>
      <c r="G235" s="8"/>
      <c r="H235" s="8"/>
      <c r="I235" s="8"/>
      <c r="J235" s="8"/>
      <c r="K235" s="8"/>
      <c r="L235" s="8"/>
      <c r="M235" s="8"/>
      <c r="N235" s="8"/>
    </row>
    <row r="236" spans="3:14" x14ac:dyDescent="0.25">
      <c r="C236" s="12"/>
      <c r="E236" s="8"/>
      <c r="F236" s="8"/>
      <c r="G236" s="8"/>
      <c r="H236" s="8"/>
      <c r="I236" s="8"/>
      <c r="J236" s="8"/>
      <c r="K236" s="8"/>
      <c r="L236" s="8"/>
      <c r="M236" s="8"/>
      <c r="N236" s="8"/>
    </row>
    <row r="237" spans="3:14" x14ac:dyDescent="0.25">
      <c r="C237" s="12"/>
      <c r="E237" s="8"/>
      <c r="F237" s="8"/>
      <c r="G237" s="8"/>
      <c r="H237" s="8"/>
      <c r="I237" s="8"/>
      <c r="J237" s="8"/>
      <c r="K237" s="8"/>
      <c r="L237" s="8"/>
      <c r="M237" s="8"/>
      <c r="N237" s="8"/>
    </row>
    <row r="238" spans="3:14" x14ac:dyDescent="0.25">
      <c r="C238" s="12"/>
      <c r="E238" s="8"/>
      <c r="F238" s="8"/>
      <c r="G238" s="8"/>
      <c r="H238" s="8"/>
      <c r="I238" s="8"/>
      <c r="J238" s="8"/>
      <c r="K238" s="8"/>
      <c r="L238" s="8"/>
      <c r="M238" s="8"/>
      <c r="N238" s="8"/>
    </row>
    <row r="239" spans="3:14" x14ac:dyDescent="0.25">
      <c r="C239" s="12"/>
      <c r="E239" s="8"/>
      <c r="F239" s="8"/>
      <c r="G239" s="8"/>
      <c r="H239" s="8"/>
      <c r="I239" s="8"/>
      <c r="J239" s="8"/>
      <c r="K239" s="8"/>
      <c r="L239" s="8"/>
      <c r="M239" s="8"/>
      <c r="N239" s="8"/>
    </row>
    <row r="240" spans="3:14" x14ac:dyDescent="0.25">
      <c r="C240" s="12"/>
      <c r="E240" s="8"/>
      <c r="F240" s="8"/>
      <c r="G240" s="8"/>
      <c r="H240" s="8"/>
      <c r="I240" s="8"/>
      <c r="J240" s="8"/>
      <c r="K240" s="8"/>
      <c r="L240" s="8"/>
      <c r="M240" s="8"/>
      <c r="N240" s="8"/>
    </row>
    <row r="241" spans="3:14" x14ac:dyDescent="0.25">
      <c r="C241" s="12"/>
      <c r="E241" s="8"/>
      <c r="F241" s="8"/>
      <c r="G241" s="8"/>
      <c r="H241" s="8"/>
      <c r="I241" s="8"/>
      <c r="J241" s="8"/>
      <c r="K241" s="8"/>
      <c r="L241" s="8"/>
      <c r="M241" s="8"/>
      <c r="N241" s="8"/>
    </row>
    <row r="242" spans="3:14" x14ac:dyDescent="0.25">
      <c r="C242" s="12"/>
      <c r="E242" s="8"/>
      <c r="F242" s="8"/>
      <c r="G242" s="8"/>
      <c r="H242" s="8"/>
      <c r="I242" s="8"/>
      <c r="J242" s="8"/>
      <c r="K242" s="8"/>
      <c r="L242" s="8"/>
      <c r="M242" s="8"/>
      <c r="N242" s="8"/>
    </row>
    <row r="243" spans="3:14" x14ac:dyDescent="0.25">
      <c r="C243" s="12"/>
      <c r="E243" s="8"/>
      <c r="F243" s="8"/>
      <c r="G243" s="8"/>
      <c r="H243" s="8"/>
      <c r="I243" s="8"/>
      <c r="J243" s="8"/>
      <c r="K243" s="8"/>
      <c r="L243" s="8"/>
      <c r="M243" s="8"/>
      <c r="N243" s="8"/>
    </row>
    <row r="244" spans="3:14" x14ac:dyDescent="0.25">
      <c r="C244" s="12"/>
      <c r="E244" s="8"/>
      <c r="F244" s="8"/>
      <c r="G244" s="8"/>
      <c r="H244" s="8"/>
      <c r="I244" s="8"/>
      <c r="J244" s="8"/>
      <c r="K244" s="8"/>
      <c r="L244" s="8"/>
      <c r="M244" s="8"/>
      <c r="N244" s="8"/>
    </row>
    <row r="245" spans="3:14" x14ac:dyDescent="0.25">
      <c r="C245" s="12"/>
      <c r="E245" s="8"/>
      <c r="F245" s="8"/>
      <c r="G245" s="8"/>
      <c r="H245" s="8"/>
      <c r="I245" s="8"/>
      <c r="J245" s="8"/>
      <c r="K245" s="8"/>
      <c r="L245" s="8"/>
      <c r="M245" s="8"/>
      <c r="N245" s="8"/>
    </row>
    <row r="246" spans="3:14" x14ac:dyDescent="0.25">
      <c r="C246" s="12"/>
      <c r="E246" s="8"/>
      <c r="F246" s="8"/>
      <c r="G246" s="8"/>
      <c r="H246" s="8"/>
      <c r="I246" s="8"/>
      <c r="J246" s="8"/>
      <c r="K246" s="8"/>
      <c r="L246" s="8"/>
      <c r="M246" s="8"/>
      <c r="N246" s="8"/>
    </row>
    <row r="247" spans="3:14" x14ac:dyDescent="0.25">
      <c r="C247" s="12"/>
      <c r="E247" s="8"/>
      <c r="F247" s="8"/>
      <c r="G247" s="8"/>
      <c r="H247" s="8"/>
      <c r="I247" s="8"/>
      <c r="J247" s="8"/>
      <c r="K247" s="8"/>
      <c r="L247" s="8"/>
      <c r="M247" s="8"/>
      <c r="N247" s="8"/>
    </row>
    <row r="248" spans="3:14" x14ac:dyDescent="0.25">
      <c r="C248" s="12"/>
      <c r="E248" s="8"/>
      <c r="F248" s="8"/>
      <c r="G248" s="8"/>
      <c r="H248" s="8"/>
      <c r="I248" s="8"/>
      <c r="J248" s="8"/>
      <c r="K248" s="8"/>
      <c r="L248" s="8"/>
      <c r="M248" s="8"/>
      <c r="N248" s="8"/>
    </row>
    <row r="249" spans="3:14" x14ac:dyDescent="0.25">
      <c r="C249" s="12"/>
      <c r="E249" s="8"/>
      <c r="F249" s="8"/>
      <c r="G249" s="8"/>
      <c r="H249" s="8"/>
      <c r="I249" s="8"/>
      <c r="J249" s="8"/>
      <c r="K249" s="8"/>
      <c r="L249" s="8"/>
      <c r="M249" s="8"/>
      <c r="N249" s="8"/>
    </row>
    <row r="250" spans="3:14" x14ac:dyDescent="0.25">
      <c r="C250" s="12"/>
      <c r="E250" s="8"/>
      <c r="F250" s="8"/>
      <c r="G250" s="8"/>
      <c r="H250" s="8"/>
      <c r="I250" s="8"/>
      <c r="J250" s="8"/>
      <c r="K250" s="8"/>
      <c r="L250" s="8"/>
      <c r="M250" s="8"/>
      <c r="N250" s="8"/>
    </row>
    <row r="251" spans="3:14" x14ac:dyDescent="0.25">
      <c r="C251" s="12"/>
      <c r="E251" s="8"/>
      <c r="F251" s="8"/>
      <c r="G251" s="8"/>
      <c r="H251" s="8"/>
      <c r="I251" s="8"/>
      <c r="J251" s="8"/>
      <c r="K251" s="8"/>
      <c r="L251" s="8"/>
      <c r="M251" s="8"/>
      <c r="N251" s="8"/>
    </row>
    <row r="252" spans="3:14" x14ac:dyDescent="0.25">
      <c r="C252" s="12"/>
      <c r="E252" s="8"/>
      <c r="F252" s="8"/>
      <c r="G252" s="8"/>
      <c r="H252" s="8"/>
      <c r="I252" s="8"/>
      <c r="J252" s="8"/>
      <c r="K252" s="8"/>
      <c r="L252" s="8"/>
      <c r="M252" s="8"/>
      <c r="N252" s="8"/>
    </row>
    <row r="253" spans="3:14" x14ac:dyDescent="0.25">
      <c r="C253" s="12"/>
      <c r="E253" s="8"/>
      <c r="F253" s="8"/>
      <c r="G253" s="8"/>
      <c r="H253" s="8"/>
      <c r="I253" s="8"/>
      <c r="J253" s="8"/>
      <c r="K253" s="8"/>
      <c r="L253" s="8"/>
      <c r="M253" s="8"/>
      <c r="N253" s="8"/>
    </row>
    <row r="254" spans="3:14" x14ac:dyDescent="0.25">
      <c r="C254" s="12"/>
      <c r="E254" s="8"/>
      <c r="F254" s="8"/>
      <c r="G254" s="8"/>
      <c r="H254" s="8"/>
      <c r="I254" s="8"/>
      <c r="J254" s="8"/>
      <c r="K254" s="8"/>
      <c r="L254" s="8"/>
      <c r="M254" s="8"/>
      <c r="N254" s="8"/>
    </row>
    <row r="255" spans="3:14" x14ac:dyDescent="0.25">
      <c r="C255" s="12"/>
      <c r="E255" s="8"/>
      <c r="F255" s="8"/>
      <c r="G255" s="8"/>
      <c r="H255" s="8"/>
      <c r="I255" s="8"/>
      <c r="J255" s="8"/>
      <c r="K255" s="8"/>
      <c r="L255" s="8"/>
      <c r="M255" s="8"/>
      <c r="N255" s="8"/>
    </row>
    <row r="256" spans="3:14" x14ac:dyDescent="0.25">
      <c r="C256" s="12"/>
      <c r="E256" s="8"/>
      <c r="F256" s="8"/>
      <c r="G256" s="8"/>
      <c r="H256" s="8"/>
      <c r="I256" s="8"/>
      <c r="J256" s="8"/>
      <c r="K256" s="8"/>
      <c r="L256" s="8"/>
      <c r="M256" s="8"/>
      <c r="N256" s="8"/>
    </row>
    <row r="257" spans="3:14" x14ac:dyDescent="0.25">
      <c r="C257" s="12"/>
      <c r="E257" s="8"/>
      <c r="F257" s="8"/>
      <c r="G257" s="8"/>
      <c r="H257" s="8"/>
      <c r="I257" s="8"/>
      <c r="J257" s="8"/>
      <c r="K257" s="8"/>
      <c r="L257" s="8"/>
      <c r="M257" s="8"/>
      <c r="N257" s="8"/>
    </row>
    <row r="258" spans="3:14" x14ac:dyDescent="0.25">
      <c r="C258" s="12"/>
      <c r="E258" s="8"/>
      <c r="F258" s="8"/>
      <c r="G258" s="8"/>
      <c r="H258" s="8"/>
      <c r="I258" s="8"/>
      <c r="J258" s="8"/>
      <c r="K258" s="8"/>
      <c r="L258" s="8"/>
      <c r="M258" s="8"/>
      <c r="N258" s="8"/>
    </row>
    <row r="259" spans="3:14" x14ac:dyDescent="0.25">
      <c r="C259" s="12"/>
      <c r="E259" s="8"/>
      <c r="F259" s="8"/>
      <c r="G259" s="8"/>
      <c r="H259" s="8"/>
      <c r="I259" s="8"/>
      <c r="J259" s="8"/>
      <c r="K259" s="8"/>
      <c r="L259" s="8"/>
      <c r="M259" s="8"/>
      <c r="N259" s="8"/>
    </row>
    <row r="260" spans="3:14" x14ac:dyDescent="0.25">
      <c r="C260" s="12"/>
      <c r="E260" s="8"/>
      <c r="F260" s="8"/>
      <c r="G260" s="8"/>
      <c r="H260" s="8"/>
      <c r="I260" s="8"/>
      <c r="J260" s="8"/>
      <c r="K260" s="8"/>
      <c r="L260" s="8"/>
      <c r="M260" s="8"/>
      <c r="N260" s="8"/>
    </row>
    <row r="261" spans="3:14" x14ac:dyDescent="0.25">
      <c r="C261" s="12"/>
      <c r="E261" s="8"/>
      <c r="F261" s="8"/>
      <c r="G261" s="8"/>
      <c r="H261" s="8"/>
      <c r="I261" s="8"/>
      <c r="J261" s="8"/>
      <c r="K261" s="8"/>
      <c r="L261" s="8"/>
      <c r="M261" s="8"/>
      <c r="N261" s="8"/>
    </row>
    <row r="262" spans="3:14" x14ac:dyDescent="0.25">
      <c r="C262" s="12"/>
      <c r="E262" s="8"/>
      <c r="F262" s="8"/>
      <c r="G262" s="8"/>
      <c r="H262" s="8"/>
      <c r="I262" s="8"/>
      <c r="J262" s="8"/>
      <c r="K262" s="8"/>
      <c r="L262" s="8"/>
      <c r="M262" s="8"/>
      <c r="N262" s="8"/>
    </row>
    <row r="263" spans="3:14" x14ac:dyDescent="0.25">
      <c r="C263" s="12"/>
      <c r="E263" s="8"/>
      <c r="F263" s="8"/>
      <c r="G263" s="8"/>
      <c r="H263" s="8"/>
      <c r="I263" s="8"/>
      <c r="J263" s="8"/>
      <c r="K263" s="8"/>
      <c r="L263" s="8"/>
      <c r="M263" s="8"/>
      <c r="N263" s="8"/>
    </row>
    <row r="264" spans="3:14" x14ac:dyDescent="0.25">
      <c r="C264" s="12"/>
      <c r="E264" s="8"/>
      <c r="F264" s="8"/>
      <c r="G264" s="8"/>
      <c r="H264" s="8"/>
      <c r="I264" s="8"/>
      <c r="J264" s="8"/>
      <c r="K264" s="8"/>
      <c r="L264" s="8"/>
      <c r="M264" s="8"/>
      <c r="N264" s="8"/>
    </row>
    <row r="265" spans="3:14" x14ac:dyDescent="0.25">
      <c r="C265" s="12"/>
      <c r="E265" s="8"/>
      <c r="F265" s="8"/>
      <c r="G265" s="8"/>
      <c r="H265" s="8"/>
      <c r="I265" s="8"/>
      <c r="J265" s="8"/>
      <c r="K265" s="8"/>
      <c r="L265" s="8"/>
      <c r="M265" s="8"/>
      <c r="N265" s="8"/>
    </row>
    <row r="266" spans="3:14" x14ac:dyDescent="0.25">
      <c r="C266" s="12"/>
      <c r="E266" s="8"/>
      <c r="F266" s="8"/>
      <c r="G266" s="8"/>
      <c r="H266" s="8"/>
      <c r="I266" s="8"/>
      <c r="J266" s="8"/>
      <c r="K266" s="8"/>
      <c r="L266" s="8"/>
      <c r="M266" s="8"/>
      <c r="N266" s="8"/>
    </row>
    <row r="267" spans="3:14" x14ac:dyDescent="0.25">
      <c r="C267" s="12"/>
      <c r="E267" s="8"/>
      <c r="F267" s="8"/>
      <c r="G267" s="8"/>
      <c r="H267" s="8"/>
      <c r="I267" s="8"/>
      <c r="J267" s="8"/>
      <c r="K267" s="8"/>
      <c r="L267" s="8"/>
      <c r="M267" s="8"/>
      <c r="N267" s="8"/>
    </row>
    <row r="268" spans="3:14" x14ac:dyDescent="0.25">
      <c r="C268" s="12"/>
      <c r="E268" s="8"/>
      <c r="F268" s="8"/>
      <c r="G268" s="8"/>
      <c r="H268" s="8"/>
      <c r="I268" s="8"/>
      <c r="J268" s="8"/>
      <c r="K268" s="8"/>
      <c r="L268" s="8"/>
      <c r="M268" s="8"/>
      <c r="N268" s="8"/>
    </row>
    <row r="269" spans="3:14" x14ac:dyDescent="0.25">
      <c r="C269" s="12"/>
      <c r="E269" s="8"/>
      <c r="F269" s="8"/>
      <c r="G269" s="8"/>
      <c r="H269" s="8"/>
      <c r="I269" s="8"/>
      <c r="J269" s="8"/>
      <c r="K269" s="8"/>
      <c r="L269" s="8"/>
      <c r="M269" s="8"/>
      <c r="N269" s="8"/>
    </row>
    <row r="270" spans="3:14" x14ac:dyDescent="0.25">
      <c r="C270" s="12"/>
      <c r="E270" s="8"/>
      <c r="F270" s="8"/>
      <c r="G270" s="8"/>
      <c r="H270" s="8"/>
      <c r="I270" s="8"/>
      <c r="J270" s="8"/>
      <c r="K270" s="8"/>
      <c r="L270" s="8"/>
      <c r="M270" s="8"/>
      <c r="N270" s="8"/>
    </row>
    <row r="271" spans="3:14" x14ac:dyDescent="0.25">
      <c r="C271" s="12"/>
      <c r="E271" s="8"/>
      <c r="F271" s="8"/>
      <c r="G271" s="8"/>
      <c r="H271" s="8"/>
      <c r="I271" s="8"/>
      <c r="J271" s="8"/>
      <c r="K271" s="8"/>
      <c r="L271" s="8"/>
      <c r="M271" s="8"/>
      <c r="N271" s="8"/>
    </row>
    <row r="272" spans="3:14" x14ac:dyDescent="0.25">
      <c r="C272" s="12"/>
      <c r="E272" s="8"/>
      <c r="F272" s="8"/>
      <c r="G272" s="8"/>
      <c r="H272" s="8"/>
      <c r="I272" s="8"/>
      <c r="J272" s="8"/>
      <c r="K272" s="8"/>
      <c r="L272" s="8"/>
      <c r="M272" s="8"/>
      <c r="N272" s="8"/>
    </row>
    <row r="273" spans="3:14" x14ac:dyDescent="0.25">
      <c r="C273" s="12"/>
      <c r="E273" s="8"/>
      <c r="F273" s="8"/>
      <c r="G273" s="8"/>
      <c r="H273" s="8"/>
      <c r="I273" s="8"/>
      <c r="J273" s="8"/>
      <c r="K273" s="8"/>
      <c r="L273" s="8"/>
      <c r="M273" s="8"/>
      <c r="N273" s="8"/>
    </row>
    <row r="274" spans="3:14" x14ac:dyDescent="0.25">
      <c r="C274" s="12"/>
      <c r="E274" s="8"/>
      <c r="F274" s="8"/>
      <c r="G274" s="8"/>
      <c r="H274" s="8"/>
      <c r="I274" s="8"/>
      <c r="J274" s="8"/>
      <c r="K274" s="8"/>
      <c r="L274" s="8"/>
      <c r="M274" s="8"/>
      <c r="N274" s="8"/>
    </row>
    <row r="275" spans="3:14" x14ac:dyDescent="0.25">
      <c r="C275" s="12"/>
      <c r="E275" s="8"/>
      <c r="F275" s="8"/>
      <c r="G275" s="8"/>
      <c r="H275" s="8"/>
      <c r="I275" s="8"/>
      <c r="J275" s="8"/>
      <c r="K275" s="8"/>
      <c r="L275" s="8"/>
      <c r="M275" s="8"/>
      <c r="N275" s="8"/>
    </row>
    <row r="276" spans="3:14" x14ac:dyDescent="0.25">
      <c r="C276" s="12"/>
      <c r="E276" s="8"/>
      <c r="F276" s="8"/>
      <c r="G276" s="8"/>
      <c r="H276" s="8"/>
      <c r="I276" s="8"/>
      <c r="J276" s="8"/>
      <c r="K276" s="8"/>
      <c r="L276" s="8"/>
      <c r="M276" s="8"/>
      <c r="N276" s="8"/>
    </row>
    <row r="277" spans="3:14" x14ac:dyDescent="0.25">
      <c r="C277" s="12"/>
      <c r="E277" s="8"/>
      <c r="F277" s="8"/>
      <c r="G277" s="8"/>
      <c r="H277" s="8"/>
      <c r="I277" s="8"/>
      <c r="J277" s="8"/>
      <c r="K277" s="8"/>
      <c r="L277" s="8"/>
      <c r="M277" s="8"/>
      <c r="N277" s="8"/>
    </row>
    <row r="278" spans="3:14" x14ac:dyDescent="0.25">
      <c r="C278" s="12"/>
      <c r="E278" s="8"/>
      <c r="F278" s="8"/>
      <c r="G278" s="8"/>
      <c r="H278" s="8"/>
      <c r="I278" s="8"/>
      <c r="J278" s="8"/>
      <c r="K278" s="8"/>
      <c r="L278" s="8"/>
      <c r="M278" s="8"/>
      <c r="N278" s="8"/>
    </row>
    <row r="279" spans="3:14" x14ac:dyDescent="0.25">
      <c r="C279" s="12"/>
      <c r="E279" s="8"/>
      <c r="F279" s="8"/>
      <c r="G279" s="8"/>
      <c r="H279" s="8"/>
      <c r="I279" s="8"/>
      <c r="J279" s="8"/>
      <c r="K279" s="8"/>
      <c r="L279" s="8"/>
      <c r="M279" s="8"/>
      <c r="N279" s="8"/>
    </row>
    <row r="280" spans="3:14" x14ac:dyDescent="0.25">
      <c r="C280" s="12"/>
      <c r="E280" s="8"/>
      <c r="F280" s="8"/>
      <c r="G280" s="8"/>
      <c r="H280" s="8"/>
      <c r="I280" s="8"/>
      <c r="J280" s="8"/>
      <c r="K280" s="8"/>
      <c r="L280" s="8"/>
      <c r="M280" s="8"/>
      <c r="N280" s="8"/>
    </row>
    <row r="281" spans="3:14" x14ac:dyDescent="0.25">
      <c r="C281" s="12"/>
      <c r="E281" s="8"/>
      <c r="F281" s="8"/>
      <c r="G281" s="8"/>
      <c r="H281" s="8"/>
      <c r="I281" s="8"/>
      <c r="J281" s="8"/>
      <c r="K281" s="8"/>
      <c r="L281" s="8"/>
      <c r="M281" s="8"/>
      <c r="N281" s="8"/>
    </row>
    <row r="282" spans="3:14" x14ac:dyDescent="0.25">
      <c r="C282" s="12"/>
      <c r="E282" s="8"/>
      <c r="F282" s="8"/>
      <c r="G282" s="8"/>
      <c r="H282" s="8"/>
      <c r="I282" s="8"/>
      <c r="J282" s="8"/>
      <c r="K282" s="8"/>
      <c r="L282" s="8"/>
      <c r="M282" s="8"/>
      <c r="N282" s="8"/>
    </row>
    <row r="283" spans="3:14" x14ac:dyDescent="0.25">
      <c r="C283" s="12"/>
      <c r="E283" s="8"/>
      <c r="F283" s="8"/>
      <c r="G283" s="8"/>
      <c r="H283" s="8"/>
      <c r="I283" s="8"/>
      <c r="J283" s="8"/>
      <c r="K283" s="8"/>
      <c r="L283" s="8"/>
      <c r="M283" s="8"/>
      <c r="N283" s="8"/>
    </row>
    <row r="284" spans="3:14" x14ac:dyDescent="0.25">
      <c r="C284" s="12"/>
      <c r="E284" s="8"/>
      <c r="F284" s="8"/>
      <c r="G284" s="8"/>
      <c r="H284" s="8"/>
      <c r="I284" s="8"/>
      <c r="J284" s="8"/>
      <c r="K284" s="8"/>
      <c r="L284" s="8"/>
      <c r="M284" s="8"/>
      <c r="N284" s="8"/>
    </row>
    <row r="285" spans="3:14" x14ac:dyDescent="0.25">
      <c r="C285" s="12"/>
      <c r="E285" s="8"/>
      <c r="F285" s="8"/>
      <c r="G285" s="8"/>
      <c r="H285" s="8"/>
      <c r="I285" s="8"/>
      <c r="J285" s="8"/>
      <c r="K285" s="8"/>
      <c r="L285" s="8"/>
      <c r="M285" s="8"/>
      <c r="N285" s="8"/>
    </row>
    <row r="286" spans="3:14" x14ac:dyDescent="0.25">
      <c r="C286" s="12"/>
      <c r="E286" s="8"/>
      <c r="F286" s="8"/>
      <c r="G286" s="8"/>
      <c r="H286" s="8"/>
      <c r="I286" s="8"/>
      <c r="J286" s="8"/>
      <c r="K286" s="8"/>
      <c r="L286" s="8"/>
      <c r="M286" s="8"/>
      <c r="N286" s="8"/>
    </row>
    <row r="287" spans="3:14" x14ac:dyDescent="0.25">
      <c r="C287" s="12"/>
      <c r="E287" s="8"/>
      <c r="F287" s="8"/>
      <c r="G287" s="8"/>
      <c r="H287" s="8"/>
      <c r="I287" s="8"/>
      <c r="J287" s="8"/>
      <c r="K287" s="8"/>
      <c r="L287" s="8"/>
      <c r="M287" s="8"/>
      <c r="N287" s="8"/>
    </row>
    <row r="288" spans="3:14" x14ac:dyDescent="0.25">
      <c r="C288" s="12"/>
      <c r="E288" s="8"/>
      <c r="F288" s="8"/>
      <c r="G288" s="8"/>
      <c r="H288" s="8"/>
      <c r="I288" s="8"/>
      <c r="J288" s="8"/>
      <c r="K288" s="8"/>
      <c r="L288" s="8"/>
      <c r="M288" s="8"/>
      <c r="N288" s="8"/>
    </row>
    <row r="289" spans="3:14" x14ac:dyDescent="0.25">
      <c r="C289" s="12"/>
      <c r="E289" s="8"/>
      <c r="F289" s="8"/>
      <c r="G289" s="8"/>
      <c r="H289" s="8"/>
      <c r="I289" s="8"/>
      <c r="J289" s="8"/>
      <c r="K289" s="8"/>
      <c r="L289" s="8"/>
      <c r="M289" s="8"/>
      <c r="N289" s="8"/>
    </row>
    <row r="290" spans="3:14" x14ac:dyDescent="0.25">
      <c r="C290" s="12"/>
      <c r="E290" s="8"/>
      <c r="F290" s="8"/>
      <c r="G290" s="8"/>
      <c r="H290" s="8"/>
      <c r="I290" s="8"/>
      <c r="J290" s="8"/>
      <c r="K290" s="8"/>
      <c r="L290" s="8"/>
      <c r="M290" s="8"/>
      <c r="N290" s="8"/>
    </row>
    <row r="291" spans="3:14" x14ac:dyDescent="0.25">
      <c r="C291" s="12"/>
      <c r="E291" s="8"/>
      <c r="F291" s="8"/>
      <c r="G291" s="8"/>
      <c r="H291" s="8"/>
      <c r="I291" s="8"/>
      <c r="J291" s="8"/>
      <c r="K291" s="8"/>
      <c r="L291" s="8"/>
      <c r="M291" s="8"/>
      <c r="N291" s="8"/>
    </row>
    <row r="292" spans="3:14" x14ac:dyDescent="0.25">
      <c r="C292" s="12"/>
      <c r="E292" s="8"/>
      <c r="F292" s="8"/>
      <c r="G292" s="8"/>
      <c r="H292" s="8"/>
      <c r="I292" s="8"/>
      <c r="J292" s="8"/>
      <c r="K292" s="8"/>
      <c r="L292" s="8"/>
      <c r="M292" s="8"/>
      <c r="N292" s="8"/>
    </row>
    <row r="293" spans="3:14" x14ac:dyDescent="0.25">
      <c r="C293" s="12"/>
      <c r="E293" s="8"/>
      <c r="F293" s="8"/>
      <c r="G293" s="8"/>
      <c r="H293" s="8"/>
      <c r="I293" s="8"/>
      <c r="J293" s="8"/>
      <c r="K293" s="8"/>
      <c r="L293" s="8"/>
      <c r="M293" s="8"/>
      <c r="N293" s="8"/>
    </row>
    <row r="294" spans="3:14" x14ac:dyDescent="0.25">
      <c r="C294" s="12"/>
      <c r="E294" s="8"/>
      <c r="F294" s="8"/>
      <c r="G294" s="8"/>
      <c r="H294" s="8"/>
      <c r="I294" s="8"/>
      <c r="J294" s="8"/>
      <c r="K294" s="8"/>
      <c r="L294" s="8"/>
      <c r="M294" s="8"/>
      <c r="N294" s="8"/>
    </row>
    <row r="295" spans="3:14" x14ac:dyDescent="0.25">
      <c r="C295" s="12"/>
      <c r="E295" s="8"/>
      <c r="F295" s="8"/>
      <c r="G295" s="8"/>
      <c r="H295" s="8"/>
      <c r="I295" s="8"/>
      <c r="J295" s="8"/>
      <c r="K295" s="8"/>
      <c r="L295" s="8"/>
      <c r="M295" s="8"/>
      <c r="N295" s="8"/>
    </row>
    <row r="296" spans="3:14" x14ac:dyDescent="0.25">
      <c r="C296" s="12"/>
      <c r="E296" s="8"/>
      <c r="F296" s="8"/>
      <c r="G296" s="8"/>
      <c r="H296" s="8"/>
      <c r="I296" s="8"/>
      <c r="J296" s="8"/>
      <c r="K296" s="8"/>
      <c r="L296" s="8"/>
      <c r="M296" s="8"/>
      <c r="N296" s="8"/>
    </row>
    <row r="297" spans="3:14" x14ac:dyDescent="0.25">
      <c r="C297" s="12"/>
      <c r="E297" s="8"/>
      <c r="F297" s="8"/>
      <c r="G297" s="8"/>
      <c r="H297" s="8"/>
      <c r="I297" s="8"/>
      <c r="J297" s="8"/>
      <c r="K297" s="8"/>
      <c r="L297" s="8"/>
      <c r="M297" s="8"/>
      <c r="N297" s="8"/>
    </row>
    <row r="298" spans="3:14" x14ac:dyDescent="0.25">
      <c r="C298" s="12"/>
      <c r="E298" s="8"/>
      <c r="F298" s="8"/>
      <c r="G298" s="8"/>
      <c r="H298" s="8"/>
      <c r="I298" s="8"/>
      <c r="J298" s="8"/>
      <c r="K298" s="8"/>
      <c r="L298" s="8"/>
      <c r="M298" s="8"/>
      <c r="N298" s="8"/>
    </row>
    <row r="299" spans="3:14" x14ac:dyDescent="0.25">
      <c r="C299" s="12"/>
      <c r="E299" s="8"/>
      <c r="F299" s="8"/>
      <c r="G299" s="8"/>
      <c r="H299" s="8"/>
      <c r="I299" s="8"/>
      <c r="J299" s="8"/>
      <c r="K299" s="8"/>
      <c r="L299" s="8"/>
      <c r="M299" s="8"/>
      <c r="N299" s="8"/>
    </row>
    <row r="300" spans="3:14" x14ac:dyDescent="0.25">
      <c r="C300" s="12"/>
      <c r="E300" s="8"/>
      <c r="F300" s="8"/>
      <c r="G300" s="8"/>
      <c r="H300" s="8"/>
      <c r="I300" s="8"/>
      <c r="J300" s="8"/>
      <c r="K300" s="8"/>
      <c r="L300" s="8"/>
      <c r="M300" s="8"/>
      <c r="N300" s="8"/>
    </row>
    <row r="301" spans="3:14" x14ac:dyDescent="0.25">
      <c r="C301" s="12"/>
      <c r="E301" s="8"/>
      <c r="F301" s="8"/>
      <c r="G301" s="8"/>
      <c r="H301" s="8"/>
      <c r="I301" s="8"/>
      <c r="J301" s="8"/>
      <c r="K301" s="8"/>
      <c r="L301" s="8"/>
      <c r="M301" s="8"/>
      <c r="N301" s="8"/>
    </row>
    <row r="302" spans="3:14" x14ac:dyDescent="0.25">
      <c r="C302" s="12"/>
      <c r="E302" s="8"/>
      <c r="F302" s="8"/>
      <c r="G302" s="8"/>
      <c r="H302" s="8"/>
      <c r="I302" s="8"/>
      <c r="J302" s="8"/>
      <c r="K302" s="8"/>
      <c r="L302" s="8"/>
      <c r="M302" s="8"/>
      <c r="N302" s="8"/>
    </row>
    <row r="303" spans="3:14" x14ac:dyDescent="0.25">
      <c r="C303" s="12"/>
      <c r="E303" s="8"/>
      <c r="F303" s="8"/>
      <c r="G303" s="8"/>
      <c r="H303" s="8"/>
      <c r="I303" s="8"/>
      <c r="J303" s="8"/>
      <c r="K303" s="8"/>
      <c r="L303" s="8"/>
      <c r="M303" s="8"/>
      <c r="N303" s="8"/>
    </row>
    <row r="304" spans="3:14" x14ac:dyDescent="0.25">
      <c r="C304" s="12"/>
      <c r="E304" s="8"/>
      <c r="F304" s="8"/>
      <c r="G304" s="8"/>
      <c r="H304" s="8"/>
      <c r="I304" s="8"/>
      <c r="J304" s="8"/>
      <c r="K304" s="8"/>
      <c r="L304" s="8"/>
      <c r="M304" s="8"/>
      <c r="N304" s="8"/>
    </row>
    <row r="305" spans="3:14" x14ac:dyDescent="0.25">
      <c r="C305" s="12"/>
      <c r="E305" s="8"/>
      <c r="F305" s="8"/>
      <c r="G305" s="8"/>
      <c r="H305" s="8"/>
      <c r="I305" s="8"/>
      <c r="J305" s="8"/>
      <c r="K305" s="8"/>
      <c r="L305" s="8"/>
      <c r="M305" s="8"/>
      <c r="N305" s="8"/>
    </row>
    <row r="306" spans="3:14" x14ac:dyDescent="0.25">
      <c r="C306" s="12"/>
      <c r="E306" s="8"/>
      <c r="F306" s="8"/>
      <c r="G306" s="8"/>
      <c r="H306" s="8"/>
      <c r="I306" s="8"/>
      <c r="J306" s="8"/>
      <c r="K306" s="8"/>
      <c r="L306" s="8"/>
      <c r="M306" s="8"/>
      <c r="N306" s="8"/>
    </row>
    <row r="307" spans="3:14" x14ac:dyDescent="0.25">
      <c r="C307" s="12"/>
      <c r="E307" s="8"/>
      <c r="F307" s="8"/>
      <c r="G307" s="8"/>
      <c r="H307" s="8"/>
      <c r="I307" s="8"/>
      <c r="J307" s="8"/>
      <c r="K307" s="8"/>
      <c r="L307" s="8"/>
      <c r="M307" s="8"/>
      <c r="N307" s="8"/>
    </row>
    <row r="308" spans="3:14" x14ac:dyDescent="0.25">
      <c r="C308" s="12"/>
      <c r="E308" s="8"/>
      <c r="F308" s="8"/>
      <c r="G308" s="8"/>
      <c r="H308" s="8"/>
      <c r="I308" s="8"/>
      <c r="J308" s="8"/>
      <c r="K308" s="8"/>
      <c r="L308" s="8"/>
      <c r="M308" s="8"/>
      <c r="N308" s="8"/>
    </row>
    <row r="309" spans="3:14" x14ac:dyDescent="0.25">
      <c r="C309" s="12"/>
      <c r="E309" s="8"/>
      <c r="F309" s="8"/>
      <c r="G309" s="8"/>
      <c r="H309" s="8"/>
      <c r="I309" s="8"/>
      <c r="J309" s="8"/>
      <c r="K309" s="8"/>
      <c r="L309" s="8"/>
      <c r="M309" s="8"/>
      <c r="N309" s="8"/>
    </row>
    <row r="310" spans="3:14" x14ac:dyDescent="0.25">
      <c r="C310" s="12"/>
      <c r="E310" s="8"/>
      <c r="F310" s="8"/>
      <c r="G310" s="8"/>
      <c r="H310" s="8"/>
      <c r="I310" s="8"/>
      <c r="J310" s="8"/>
      <c r="K310" s="8"/>
      <c r="L310" s="8"/>
      <c r="M310" s="8"/>
      <c r="N310" s="8"/>
    </row>
    <row r="311" spans="3:14" x14ac:dyDescent="0.25">
      <c r="C311" s="12"/>
      <c r="E311" s="8"/>
      <c r="F311" s="8"/>
      <c r="G311" s="8"/>
      <c r="H311" s="8"/>
      <c r="I311" s="8"/>
      <c r="J311" s="8"/>
      <c r="K311" s="8"/>
      <c r="L311" s="8"/>
      <c r="M311" s="8"/>
      <c r="N311" s="8"/>
    </row>
    <row r="312" spans="3:14" x14ac:dyDescent="0.25">
      <c r="C312" s="12"/>
      <c r="E312" s="8"/>
      <c r="F312" s="8"/>
      <c r="G312" s="8"/>
      <c r="H312" s="8"/>
      <c r="I312" s="8"/>
      <c r="J312" s="8"/>
      <c r="K312" s="8"/>
      <c r="L312" s="8"/>
      <c r="M312" s="8"/>
      <c r="N312" s="8"/>
    </row>
    <row r="313" spans="3:14" x14ac:dyDescent="0.25">
      <c r="C313" s="12"/>
      <c r="E313" s="8"/>
      <c r="F313" s="8"/>
      <c r="G313" s="8"/>
      <c r="H313" s="8"/>
      <c r="I313" s="8"/>
      <c r="J313" s="8"/>
      <c r="K313" s="8"/>
      <c r="L313" s="8"/>
      <c r="M313" s="8"/>
      <c r="N313" s="8"/>
    </row>
    <row r="314" spans="3:14" x14ac:dyDescent="0.25">
      <c r="C314" s="12"/>
      <c r="E314" s="8"/>
      <c r="F314" s="8"/>
      <c r="G314" s="8"/>
      <c r="H314" s="8"/>
      <c r="I314" s="8"/>
      <c r="J314" s="8"/>
      <c r="K314" s="8"/>
      <c r="L314" s="8"/>
      <c r="M314" s="8"/>
      <c r="N314" s="8"/>
    </row>
    <row r="315" spans="3:14" x14ac:dyDescent="0.25">
      <c r="C315" s="12"/>
      <c r="E315" s="8"/>
      <c r="F315" s="8"/>
      <c r="G315" s="8"/>
      <c r="H315" s="8"/>
      <c r="I315" s="8"/>
      <c r="J315" s="8"/>
      <c r="K315" s="8"/>
      <c r="L315" s="8"/>
      <c r="M315" s="8"/>
      <c r="N315" s="8"/>
    </row>
    <row r="316" spans="3:14" x14ac:dyDescent="0.25">
      <c r="C316" s="12"/>
      <c r="E316" s="8"/>
      <c r="F316" s="8"/>
      <c r="G316" s="8"/>
      <c r="H316" s="8"/>
      <c r="I316" s="8"/>
      <c r="J316" s="8"/>
      <c r="K316" s="8"/>
      <c r="L316" s="8"/>
      <c r="M316" s="8"/>
      <c r="N316" s="8"/>
    </row>
    <row r="317" spans="3:14" x14ac:dyDescent="0.25">
      <c r="C317" s="12"/>
      <c r="E317" s="8"/>
      <c r="F317" s="8"/>
      <c r="G317" s="8"/>
      <c r="H317" s="8"/>
      <c r="I317" s="8"/>
      <c r="J317" s="8"/>
      <c r="K317" s="8"/>
      <c r="L317" s="8"/>
      <c r="M317" s="8"/>
      <c r="N317" s="8"/>
    </row>
    <row r="318" spans="3:14" x14ac:dyDescent="0.25">
      <c r="C318" s="12"/>
      <c r="E318" s="8"/>
      <c r="F318" s="8"/>
      <c r="G318" s="8"/>
      <c r="H318" s="8"/>
      <c r="I318" s="8"/>
      <c r="J318" s="8"/>
      <c r="K318" s="8"/>
      <c r="L318" s="8"/>
      <c r="M318" s="8"/>
      <c r="N318" s="8"/>
    </row>
    <row r="319" spans="3:14" x14ac:dyDescent="0.25">
      <c r="C319" s="12"/>
      <c r="E319" s="8"/>
      <c r="F319" s="8"/>
      <c r="G319" s="8"/>
      <c r="H319" s="8"/>
      <c r="I319" s="8"/>
      <c r="J319" s="8"/>
      <c r="K319" s="8"/>
      <c r="L319" s="8"/>
      <c r="M319" s="8"/>
      <c r="N319" s="8"/>
    </row>
    <row r="320" spans="3:14" x14ac:dyDescent="0.25">
      <c r="C320" s="12"/>
      <c r="E320" s="8"/>
      <c r="F320" s="8"/>
      <c r="G320" s="8"/>
      <c r="H320" s="8"/>
      <c r="I320" s="8"/>
      <c r="J320" s="8"/>
      <c r="K320" s="8"/>
      <c r="L320" s="8"/>
      <c r="M320" s="8"/>
      <c r="N320" s="8"/>
    </row>
    <row r="321" spans="3:14" x14ac:dyDescent="0.25">
      <c r="C321" s="12"/>
      <c r="E321" s="8"/>
      <c r="F321" s="8"/>
      <c r="G321" s="8"/>
      <c r="H321" s="8"/>
      <c r="I321" s="8"/>
      <c r="J321" s="8"/>
      <c r="K321" s="8"/>
      <c r="L321" s="8"/>
      <c r="M321" s="8"/>
      <c r="N321" s="8"/>
    </row>
    <row r="322" spans="3:14" x14ac:dyDescent="0.25">
      <c r="C322" s="12"/>
      <c r="E322" s="8"/>
      <c r="F322" s="8"/>
      <c r="G322" s="8"/>
      <c r="H322" s="8"/>
      <c r="I322" s="8"/>
      <c r="J322" s="8"/>
      <c r="K322" s="8"/>
      <c r="L322" s="8"/>
      <c r="M322" s="8"/>
      <c r="N322" s="8"/>
    </row>
    <row r="323" spans="3:14" x14ac:dyDescent="0.25">
      <c r="C323" s="12"/>
      <c r="E323" s="8"/>
      <c r="F323" s="8"/>
      <c r="G323" s="8"/>
      <c r="H323" s="8"/>
      <c r="I323" s="8"/>
      <c r="J323" s="8"/>
      <c r="K323" s="8"/>
      <c r="L323" s="8"/>
      <c r="M323" s="8"/>
      <c r="N323" s="8"/>
    </row>
    <row r="324" spans="3:14" x14ac:dyDescent="0.25">
      <c r="C324" s="8"/>
      <c r="E324" s="8"/>
      <c r="F324" s="8"/>
      <c r="G324" s="8"/>
      <c r="H324" s="8"/>
      <c r="I324" s="8"/>
      <c r="J324" s="8"/>
    </row>
    <row r="325" spans="3:14" x14ac:dyDescent="0.25">
      <c r="E325" s="8"/>
      <c r="F325" s="8"/>
      <c r="G325" s="8"/>
      <c r="H325" s="8"/>
      <c r="I325" s="8"/>
      <c r="J325" s="8"/>
    </row>
    <row r="326" spans="3:14" x14ac:dyDescent="0.25">
      <c r="E326" s="8"/>
      <c r="F326" s="8"/>
      <c r="G326" s="8"/>
      <c r="H326" s="8"/>
      <c r="I326" s="8"/>
      <c r="J326" s="8"/>
    </row>
    <row r="327" spans="3:14" x14ac:dyDescent="0.25">
      <c r="E327" s="8"/>
      <c r="F327" s="8"/>
      <c r="G327" s="8"/>
      <c r="H327" s="8"/>
      <c r="I327" s="8"/>
      <c r="J327" s="8"/>
    </row>
    <row r="328" spans="3:14" x14ac:dyDescent="0.25">
      <c r="E328" s="8"/>
      <c r="F328" s="8"/>
      <c r="G328" s="8"/>
      <c r="H328" s="8"/>
      <c r="I328" s="8"/>
      <c r="J328" s="8"/>
    </row>
    <row r="329" spans="3:14" x14ac:dyDescent="0.25">
      <c r="E329" s="8"/>
      <c r="F329" s="8"/>
      <c r="G329" s="8"/>
      <c r="H329" s="8"/>
      <c r="I329" s="8"/>
      <c r="J329" s="8"/>
    </row>
    <row r="330" spans="3:14" x14ac:dyDescent="0.25">
      <c r="E330" s="8"/>
      <c r="F330" s="8"/>
      <c r="G330" s="8"/>
      <c r="H330" s="8"/>
      <c r="I330" s="8"/>
      <c r="J330" s="8"/>
    </row>
    <row r="331" spans="3:14" x14ac:dyDescent="0.25">
      <c r="E331" s="8"/>
      <c r="F331" s="8"/>
      <c r="G331" s="8"/>
      <c r="H331" s="8"/>
      <c r="I331" s="8"/>
      <c r="J331" s="8"/>
    </row>
    <row r="332" spans="3:14" x14ac:dyDescent="0.25">
      <c r="E332" s="8"/>
      <c r="F332" s="8"/>
      <c r="G332" s="8"/>
      <c r="H332" s="8"/>
      <c r="I332" s="8"/>
      <c r="J332" s="8"/>
    </row>
    <row r="333" spans="3:14" x14ac:dyDescent="0.25">
      <c r="E333" s="8"/>
      <c r="F333" s="8"/>
      <c r="G333" s="8"/>
      <c r="H333" s="8"/>
      <c r="I333" s="8"/>
      <c r="J333" s="8"/>
    </row>
    <row r="334" spans="3:14" x14ac:dyDescent="0.25">
      <c r="E334" s="8"/>
      <c r="F334" s="8"/>
      <c r="G334" s="8"/>
      <c r="H334" s="8"/>
      <c r="I334" s="8"/>
      <c r="J334" s="8"/>
    </row>
    <row r="335" spans="3:14" x14ac:dyDescent="0.25">
      <c r="E335" s="8"/>
      <c r="F335" s="8"/>
      <c r="G335" s="8"/>
      <c r="H335" s="8"/>
      <c r="I335" s="8"/>
      <c r="J335" s="8"/>
    </row>
    <row r="336" spans="3:14" x14ac:dyDescent="0.25">
      <c r="E336" s="8"/>
      <c r="F336" s="8"/>
      <c r="G336" s="8"/>
      <c r="H336" s="8"/>
      <c r="I336" s="8"/>
      <c r="J336" s="8"/>
    </row>
    <row r="337" spans="5:10" x14ac:dyDescent="0.25">
      <c r="E337" s="8"/>
      <c r="F337" s="8"/>
      <c r="G337" s="8"/>
      <c r="H337" s="8"/>
      <c r="I337" s="8"/>
      <c r="J337" s="8"/>
    </row>
    <row r="338" spans="5:10" x14ac:dyDescent="0.25">
      <c r="E338" s="8"/>
      <c r="F338" s="8"/>
      <c r="G338" s="8"/>
      <c r="H338" s="8"/>
      <c r="I338" s="8"/>
      <c r="J338" s="8"/>
    </row>
    <row r="339" spans="5:10" x14ac:dyDescent="0.25">
      <c r="E339" s="8"/>
      <c r="F339" s="8"/>
      <c r="G339" s="8"/>
      <c r="H339" s="8"/>
      <c r="I339" s="8"/>
      <c r="J339" s="8"/>
    </row>
    <row r="340" spans="5:10" x14ac:dyDescent="0.25">
      <c r="E340" s="8"/>
      <c r="F340" s="8"/>
      <c r="G340" s="8"/>
      <c r="H340" s="8"/>
      <c r="I340" s="8"/>
      <c r="J340" s="8"/>
    </row>
    <row r="341" spans="5:10" x14ac:dyDescent="0.25">
      <c r="E341" s="8"/>
      <c r="F341" s="8"/>
      <c r="G341" s="8"/>
      <c r="H341" s="8"/>
      <c r="I341" s="8"/>
      <c r="J341" s="8"/>
    </row>
    <row r="342" spans="5:10" x14ac:dyDescent="0.25">
      <c r="E342" s="8"/>
      <c r="F342" s="8"/>
      <c r="G342" s="8"/>
      <c r="H342" s="8"/>
      <c r="I342" s="8"/>
      <c r="J342" s="8"/>
    </row>
    <row r="343" spans="5:10" x14ac:dyDescent="0.25">
      <c r="E343" s="8"/>
      <c r="F343" s="8"/>
      <c r="G343" s="8"/>
      <c r="H343" s="8"/>
      <c r="I343" s="8"/>
      <c r="J343" s="8"/>
    </row>
    <row r="344" spans="5:10" x14ac:dyDescent="0.25">
      <c r="E344" s="8"/>
      <c r="F344" s="8"/>
      <c r="G344" s="8"/>
      <c r="H344" s="8"/>
      <c r="I344" s="8"/>
      <c r="J344" s="8"/>
    </row>
    <row r="345" spans="5:10" x14ac:dyDescent="0.25">
      <c r="E345" s="8"/>
      <c r="F345" s="8"/>
      <c r="G345" s="8"/>
      <c r="H345" s="8"/>
      <c r="I345" s="8"/>
      <c r="J345" s="8"/>
    </row>
    <row r="346" spans="5:10" x14ac:dyDescent="0.25">
      <c r="E346" s="8"/>
      <c r="F346" s="8"/>
      <c r="G346" s="8"/>
      <c r="H346" s="8"/>
      <c r="I346" s="8"/>
      <c r="J346" s="8"/>
    </row>
    <row r="347" spans="5:10" x14ac:dyDescent="0.25">
      <c r="E347" s="8"/>
      <c r="F347" s="8"/>
      <c r="G347" s="8"/>
      <c r="H347" s="8"/>
      <c r="I347" s="8"/>
      <c r="J347" s="8"/>
    </row>
    <row r="348" spans="5:10" x14ac:dyDescent="0.25">
      <c r="E348" s="8"/>
      <c r="F348" s="8"/>
      <c r="G348" s="8"/>
      <c r="H348" s="8"/>
      <c r="I348" s="8"/>
      <c r="J348" s="8"/>
    </row>
    <row r="349" spans="5:10" x14ac:dyDescent="0.25">
      <c r="E349" s="8"/>
      <c r="F349" s="8"/>
      <c r="G349" s="8"/>
      <c r="H349" s="8"/>
      <c r="I349" s="8"/>
      <c r="J349" s="8"/>
    </row>
    <row r="350" spans="5:10" x14ac:dyDescent="0.25">
      <c r="E350" s="8"/>
      <c r="F350" s="8"/>
      <c r="G350" s="8"/>
      <c r="H350" s="8"/>
      <c r="I350" s="8"/>
      <c r="J350" s="8"/>
    </row>
    <row r="351" spans="5:10" x14ac:dyDescent="0.25">
      <c r="E351" s="8"/>
      <c r="F351" s="8"/>
      <c r="G351" s="8"/>
      <c r="H351" s="8"/>
      <c r="I351" s="8"/>
      <c r="J351" s="8"/>
    </row>
    <row r="352" spans="5:10" x14ac:dyDescent="0.25">
      <c r="E352" s="8"/>
      <c r="F352" s="8"/>
      <c r="G352" s="8"/>
      <c r="H352" s="8"/>
      <c r="I352" s="8"/>
      <c r="J352" s="8"/>
    </row>
    <row r="353" spans="5:10" x14ac:dyDescent="0.25">
      <c r="E353" s="8"/>
      <c r="F353" s="8"/>
      <c r="G353" s="8"/>
      <c r="H353" s="8"/>
      <c r="I353" s="8"/>
      <c r="J353" s="8"/>
    </row>
    <row r="354" spans="5:10" x14ac:dyDescent="0.25">
      <c r="E354" s="8"/>
      <c r="F354" s="8"/>
      <c r="G354" s="8"/>
      <c r="H354" s="8"/>
      <c r="I354" s="8"/>
      <c r="J354" s="8"/>
    </row>
    <row r="355" spans="5:10" x14ac:dyDescent="0.25">
      <c r="E355" s="8"/>
      <c r="F355" s="8"/>
      <c r="G355" s="8"/>
      <c r="H355" s="8"/>
      <c r="I355" s="8"/>
      <c r="J355" s="8"/>
    </row>
    <row r="356" spans="5:10" x14ac:dyDescent="0.25">
      <c r="E356" s="8"/>
      <c r="F356" s="8"/>
      <c r="G356" s="8"/>
      <c r="H356" s="8"/>
      <c r="I356" s="8"/>
      <c r="J356" s="8"/>
    </row>
    <row r="357" spans="5:10" x14ac:dyDescent="0.25">
      <c r="E357" s="8"/>
      <c r="F357" s="8"/>
      <c r="G357" s="8"/>
      <c r="H357" s="8"/>
      <c r="I357" s="8"/>
      <c r="J357" s="8"/>
    </row>
    <row r="358" spans="5:10" x14ac:dyDescent="0.25">
      <c r="E358" s="8"/>
      <c r="F358" s="8"/>
      <c r="G358" s="8"/>
      <c r="H358" s="8"/>
      <c r="I358" s="8"/>
      <c r="J358" s="8"/>
    </row>
    <row r="359" spans="5:10" x14ac:dyDescent="0.25">
      <c r="E359" s="8"/>
      <c r="F359" s="8"/>
      <c r="G359" s="8"/>
      <c r="H359" s="8"/>
      <c r="I359" s="8"/>
      <c r="J359" s="8"/>
    </row>
    <row r="360" spans="5:10" x14ac:dyDescent="0.25">
      <c r="E360" s="8"/>
      <c r="F360" s="8"/>
      <c r="G360" s="8"/>
      <c r="H360" s="8"/>
      <c r="I360" s="8"/>
      <c r="J360" s="8"/>
    </row>
    <row r="361" spans="5:10" x14ac:dyDescent="0.25">
      <c r="E361" s="8"/>
      <c r="F361" s="8"/>
      <c r="G361" s="8"/>
      <c r="H361" s="8"/>
      <c r="I361" s="8"/>
      <c r="J361" s="8"/>
    </row>
    <row r="362" spans="5:10" x14ac:dyDescent="0.25">
      <c r="E362" s="8"/>
      <c r="F362" s="8"/>
      <c r="G362" s="8"/>
      <c r="H362" s="8"/>
      <c r="I362" s="8"/>
      <c r="J362" s="8"/>
    </row>
    <row r="363" spans="5:10" x14ac:dyDescent="0.25">
      <c r="E363" s="8"/>
      <c r="F363" s="8"/>
      <c r="G363" s="8"/>
      <c r="H363" s="8"/>
      <c r="I363" s="8"/>
      <c r="J363" s="8"/>
    </row>
    <row r="364" spans="5:10" x14ac:dyDescent="0.25">
      <c r="E364" s="8"/>
      <c r="F364" s="8"/>
      <c r="G364" s="8"/>
      <c r="H364" s="8"/>
      <c r="I364" s="8"/>
      <c r="J364" s="8"/>
    </row>
    <row r="365" spans="5:10" x14ac:dyDescent="0.25">
      <c r="E365" s="8"/>
      <c r="F365" s="8"/>
      <c r="G365" s="8"/>
      <c r="H365" s="8"/>
      <c r="I365" s="8"/>
      <c r="J365" s="8"/>
    </row>
    <row r="366" spans="5:10" x14ac:dyDescent="0.25">
      <c r="E366" s="8"/>
      <c r="F366" s="8"/>
      <c r="G366" s="8"/>
      <c r="H366" s="8"/>
      <c r="I366" s="8"/>
      <c r="J366" s="8"/>
    </row>
    <row r="367" spans="5:10" x14ac:dyDescent="0.25">
      <c r="E367" s="8"/>
      <c r="F367" s="8"/>
      <c r="G367" s="8"/>
      <c r="H367" s="8"/>
      <c r="I367" s="8"/>
      <c r="J367" s="8"/>
    </row>
    <row r="368" spans="5:10" x14ac:dyDescent="0.25">
      <c r="E368" s="8"/>
      <c r="F368" s="8"/>
      <c r="G368" s="8"/>
      <c r="H368" s="8"/>
      <c r="I368" s="8"/>
      <c r="J368" s="8"/>
    </row>
    <row r="369" spans="5:10" x14ac:dyDescent="0.25">
      <c r="E369" s="8"/>
      <c r="F369" s="8"/>
      <c r="G369" s="8"/>
      <c r="H369" s="8"/>
      <c r="I369" s="8"/>
      <c r="J369" s="8"/>
    </row>
    <row r="370" spans="5:10" x14ac:dyDescent="0.25">
      <c r="E370" s="8"/>
      <c r="F370" s="8"/>
      <c r="G370" s="8"/>
      <c r="H370" s="8"/>
      <c r="I370" s="8"/>
      <c r="J370" s="8"/>
    </row>
    <row r="371" spans="5:10" x14ac:dyDescent="0.25">
      <c r="E371" s="8"/>
      <c r="F371" s="8"/>
      <c r="G371" s="8"/>
      <c r="H371" s="8"/>
      <c r="I371" s="8"/>
      <c r="J371" s="8"/>
    </row>
    <row r="372" spans="5:10" x14ac:dyDescent="0.25">
      <c r="E372" s="8"/>
      <c r="F372" s="8"/>
      <c r="G372" s="8"/>
      <c r="H372" s="8"/>
      <c r="I372" s="8"/>
      <c r="J372" s="8"/>
    </row>
    <row r="373" spans="5:10" x14ac:dyDescent="0.25">
      <c r="E373" s="8"/>
      <c r="F373" s="8"/>
      <c r="G373" s="8"/>
      <c r="H373" s="8"/>
      <c r="I373" s="8"/>
      <c r="J373" s="8"/>
    </row>
    <row r="374" spans="5:10" x14ac:dyDescent="0.25">
      <c r="E374" s="8"/>
      <c r="F374" s="8"/>
      <c r="G374" s="8"/>
      <c r="H374" s="8"/>
      <c r="I374" s="8"/>
      <c r="J374" s="8"/>
    </row>
    <row r="375" spans="5:10" x14ac:dyDescent="0.25">
      <c r="E375" s="8"/>
      <c r="F375" s="8"/>
      <c r="G375" s="8"/>
      <c r="H375" s="8"/>
      <c r="I375" s="8"/>
      <c r="J375" s="8"/>
    </row>
    <row r="376" spans="5:10" x14ac:dyDescent="0.25">
      <c r="E376" s="8"/>
      <c r="F376" s="8"/>
      <c r="G376" s="8"/>
      <c r="H376" s="8"/>
      <c r="I376" s="8"/>
      <c r="J376" s="8"/>
    </row>
    <row r="377" spans="5:10" x14ac:dyDescent="0.25">
      <c r="E377" s="8"/>
      <c r="F377" s="8"/>
      <c r="G377" s="8"/>
      <c r="H377" s="8"/>
      <c r="I377" s="8"/>
      <c r="J377" s="8"/>
    </row>
    <row r="378" spans="5:10" x14ac:dyDescent="0.25">
      <c r="E378" s="8"/>
      <c r="F378" s="8"/>
      <c r="G378" s="8"/>
      <c r="H378" s="8"/>
      <c r="I378" s="8"/>
      <c r="J378" s="8"/>
    </row>
    <row r="379" spans="5:10" x14ac:dyDescent="0.25">
      <c r="E379" s="8"/>
      <c r="F379" s="8"/>
      <c r="G379" s="8"/>
      <c r="H379" s="8"/>
      <c r="I379" s="8"/>
      <c r="J379" s="8"/>
    </row>
    <row r="380" spans="5:10" x14ac:dyDescent="0.25">
      <c r="E380" s="8"/>
      <c r="F380" s="8"/>
      <c r="G380" s="8"/>
      <c r="H380" s="8"/>
      <c r="I380" s="8"/>
      <c r="J380" s="8"/>
    </row>
    <row r="381" spans="5:10" x14ac:dyDescent="0.25">
      <c r="E381" s="8"/>
      <c r="F381" s="8"/>
      <c r="G381" s="8"/>
      <c r="H381" s="8"/>
      <c r="I381" s="8"/>
      <c r="J381" s="8"/>
    </row>
    <row r="382" spans="5:10" x14ac:dyDescent="0.25">
      <c r="E382" s="8"/>
      <c r="F382" s="8"/>
      <c r="G382" s="8"/>
      <c r="H382" s="8"/>
      <c r="I382" s="8"/>
      <c r="J382" s="8"/>
    </row>
    <row r="383" spans="5:10" x14ac:dyDescent="0.25">
      <c r="E383" s="8"/>
      <c r="F383" s="8"/>
      <c r="G383" s="8"/>
      <c r="H383" s="8"/>
      <c r="I383" s="8"/>
      <c r="J383" s="8"/>
    </row>
    <row r="384" spans="5:10" x14ac:dyDescent="0.25">
      <c r="E384" s="8"/>
      <c r="F384" s="8"/>
      <c r="G384" s="8"/>
      <c r="H384" s="8"/>
      <c r="I384" s="8"/>
      <c r="J384" s="8"/>
    </row>
    <row r="385" spans="5:10" x14ac:dyDescent="0.25">
      <c r="E385" s="8"/>
      <c r="F385" s="8"/>
      <c r="G385" s="8"/>
      <c r="H385" s="8"/>
      <c r="I385" s="8"/>
      <c r="J385" s="8"/>
    </row>
    <row r="386" spans="5:10" x14ac:dyDescent="0.25">
      <c r="E386" s="8"/>
      <c r="F386" s="8"/>
      <c r="G386" s="8"/>
      <c r="H386" s="8"/>
      <c r="I386" s="8"/>
      <c r="J386" s="8"/>
    </row>
    <row r="387" spans="5:10" x14ac:dyDescent="0.25">
      <c r="E387" s="8"/>
      <c r="F387" s="8"/>
      <c r="G387" s="8"/>
      <c r="H387" s="8"/>
      <c r="I387" s="8"/>
      <c r="J387" s="8"/>
    </row>
    <row r="388" spans="5:10" x14ac:dyDescent="0.25">
      <c r="E388" s="8"/>
      <c r="F388" s="8"/>
      <c r="G388" s="8"/>
      <c r="H388" s="8"/>
      <c r="I388" s="8"/>
      <c r="J388" s="8"/>
    </row>
    <row r="389" spans="5:10" x14ac:dyDescent="0.25">
      <c r="E389" s="8"/>
      <c r="F389" s="8"/>
      <c r="G389" s="8"/>
      <c r="H389" s="8"/>
      <c r="I389" s="8"/>
      <c r="J389" s="8"/>
    </row>
    <row r="390" spans="5:10" x14ac:dyDescent="0.25">
      <c r="E390" s="8"/>
      <c r="F390" s="8"/>
      <c r="G390" s="8"/>
      <c r="H390" s="8"/>
      <c r="I390" s="8"/>
      <c r="J390" s="8"/>
    </row>
    <row r="391" spans="5:10" x14ac:dyDescent="0.25">
      <c r="E391" s="8"/>
      <c r="F391" s="8"/>
      <c r="G391" s="8"/>
      <c r="H391" s="8"/>
      <c r="I391" s="8"/>
      <c r="J391" s="8"/>
    </row>
    <row r="392" spans="5:10" x14ac:dyDescent="0.25">
      <c r="E392" s="8"/>
      <c r="F392" s="8"/>
      <c r="G392" s="8"/>
      <c r="H392" s="8"/>
      <c r="I392" s="8"/>
      <c r="J392" s="8"/>
    </row>
    <row r="393" spans="5:10" x14ac:dyDescent="0.25">
      <c r="E393" s="8"/>
      <c r="F393" s="8"/>
      <c r="G393" s="8"/>
      <c r="H393" s="8"/>
      <c r="I393" s="8"/>
      <c r="J393" s="8"/>
    </row>
    <row r="394" spans="5:10" x14ac:dyDescent="0.25">
      <c r="E394" s="8"/>
      <c r="F394" s="8"/>
      <c r="G394" s="8"/>
      <c r="H394" s="8"/>
      <c r="I394" s="8"/>
      <c r="J394" s="8"/>
    </row>
    <row r="395" spans="5:10" x14ac:dyDescent="0.25">
      <c r="E395" s="8"/>
      <c r="F395" s="8"/>
      <c r="G395" s="8"/>
      <c r="H395" s="8"/>
      <c r="I395" s="8"/>
      <c r="J395" s="8"/>
    </row>
    <row r="396" spans="5:10" x14ac:dyDescent="0.25">
      <c r="E396" s="8"/>
      <c r="F396" s="8"/>
      <c r="G396" s="8"/>
      <c r="H396" s="8"/>
      <c r="I396" s="8"/>
      <c r="J396" s="8"/>
    </row>
    <row r="397" spans="5:10" x14ac:dyDescent="0.25">
      <c r="E397" s="8"/>
      <c r="F397" s="8"/>
      <c r="G397" s="8"/>
      <c r="H397" s="8"/>
      <c r="I397" s="8"/>
      <c r="J397" s="8"/>
    </row>
    <row r="398" spans="5:10" x14ac:dyDescent="0.25">
      <c r="E398" s="8"/>
      <c r="F398" s="8"/>
      <c r="G398" s="8"/>
      <c r="H398" s="8"/>
      <c r="I398" s="8"/>
      <c r="J398" s="8"/>
    </row>
    <row r="399" spans="5:10" x14ac:dyDescent="0.25">
      <c r="E399" s="8"/>
      <c r="F399" s="8"/>
      <c r="G399" s="8"/>
      <c r="H399" s="8"/>
      <c r="I399" s="8"/>
      <c r="J399" s="8"/>
    </row>
    <row r="400" spans="5:10" x14ac:dyDescent="0.25">
      <c r="E400" s="8"/>
      <c r="F400" s="8"/>
      <c r="G400" s="8"/>
      <c r="H400" s="8"/>
      <c r="I400" s="8"/>
      <c r="J400" s="8"/>
    </row>
    <row r="401" spans="5:10" x14ac:dyDescent="0.25">
      <c r="E401" s="8"/>
      <c r="F401" s="8"/>
      <c r="G401" s="8"/>
      <c r="H401" s="8"/>
      <c r="I401" s="8"/>
      <c r="J401" s="8"/>
    </row>
    <row r="402" spans="5:10" x14ac:dyDescent="0.25">
      <c r="E402" s="8"/>
      <c r="F402" s="8"/>
      <c r="G402" s="8"/>
      <c r="H402" s="8"/>
      <c r="I402" s="8"/>
      <c r="J402" s="8"/>
    </row>
    <row r="403" spans="5:10" x14ac:dyDescent="0.25">
      <c r="E403" s="8"/>
      <c r="F403" s="8"/>
      <c r="G403" s="8"/>
      <c r="H403" s="8"/>
      <c r="I403" s="8"/>
      <c r="J403" s="8"/>
    </row>
    <row r="404" spans="5:10" x14ac:dyDescent="0.25">
      <c r="E404" s="8"/>
      <c r="F404" s="8"/>
      <c r="G404" s="8"/>
      <c r="H404" s="8"/>
      <c r="I404" s="8"/>
      <c r="J404" s="8"/>
    </row>
    <row r="405" spans="5:10" x14ac:dyDescent="0.25">
      <c r="E405" s="8"/>
      <c r="F405" s="8"/>
      <c r="G405" s="8"/>
      <c r="H405" s="8"/>
      <c r="I405" s="8"/>
      <c r="J405" s="8"/>
    </row>
    <row r="406" spans="5:10" x14ac:dyDescent="0.25">
      <c r="E406" s="8"/>
      <c r="F406" s="8"/>
      <c r="G406" s="8"/>
      <c r="H406" s="8"/>
      <c r="I406" s="8"/>
      <c r="J406" s="8"/>
    </row>
    <row r="407" spans="5:10" x14ac:dyDescent="0.25">
      <c r="E407" s="8"/>
      <c r="F407" s="8"/>
      <c r="G407" s="8"/>
      <c r="H407" s="8"/>
      <c r="I407" s="8"/>
      <c r="J407" s="8"/>
    </row>
    <row r="408" spans="5:10" x14ac:dyDescent="0.25">
      <c r="E408" s="8"/>
      <c r="F408" s="8"/>
      <c r="G408" s="8"/>
      <c r="H408" s="8"/>
      <c r="I408" s="8"/>
      <c r="J408" s="8"/>
    </row>
    <row r="409" spans="5:10" x14ac:dyDescent="0.25">
      <c r="E409" s="8"/>
      <c r="F409" s="8"/>
      <c r="G409" s="8"/>
      <c r="H409" s="8"/>
      <c r="I409" s="8"/>
      <c r="J409" s="8"/>
    </row>
    <row r="410" spans="5:10" x14ac:dyDescent="0.25">
      <c r="E410" s="8"/>
      <c r="F410" s="8"/>
      <c r="G410" s="8"/>
      <c r="H410" s="8"/>
      <c r="I410" s="8"/>
      <c r="J410" s="8"/>
    </row>
    <row r="411" spans="5:10" x14ac:dyDescent="0.25">
      <c r="E411" s="8"/>
      <c r="F411" s="8"/>
      <c r="G411" s="8"/>
      <c r="H411" s="8"/>
      <c r="I411" s="8"/>
      <c r="J411" s="8"/>
    </row>
    <row r="412" spans="5:10" x14ac:dyDescent="0.25">
      <c r="E412" s="8"/>
      <c r="F412" s="8"/>
      <c r="G412" s="8"/>
      <c r="H412" s="8"/>
      <c r="I412" s="8"/>
      <c r="J412" s="8"/>
    </row>
    <row r="413" spans="5:10" x14ac:dyDescent="0.25">
      <c r="E413" s="8"/>
      <c r="F413" s="8"/>
      <c r="G413" s="8"/>
      <c r="H413" s="8"/>
      <c r="I413" s="8"/>
      <c r="J413" s="8"/>
    </row>
    <row r="414" spans="5:10" x14ac:dyDescent="0.25">
      <c r="E414" s="8"/>
      <c r="F414" s="8"/>
      <c r="G414" s="8"/>
      <c r="H414" s="8"/>
      <c r="I414" s="8"/>
      <c r="J414" s="8"/>
    </row>
    <row r="415" spans="5:10" x14ac:dyDescent="0.25">
      <c r="E415" s="8"/>
      <c r="F415" s="8"/>
      <c r="G415" s="8"/>
      <c r="H415" s="8"/>
      <c r="I415" s="8"/>
      <c r="J415" s="8"/>
    </row>
    <row r="416" spans="5:10" x14ac:dyDescent="0.25">
      <c r="E416" s="8"/>
      <c r="F416" s="8"/>
      <c r="G416" s="8"/>
      <c r="H416" s="8"/>
      <c r="I416" s="8"/>
      <c r="J416" s="8"/>
    </row>
    <row r="417" spans="5:10" x14ac:dyDescent="0.25">
      <c r="E417" s="8"/>
      <c r="F417" s="8"/>
      <c r="G417" s="8"/>
      <c r="H417" s="8"/>
      <c r="I417" s="8"/>
      <c r="J417" s="8"/>
    </row>
    <row r="418" spans="5:10" x14ac:dyDescent="0.25">
      <c r="E418" s="8"/>
      <c r="F418" s="8"/>
      <c r="G418" s="8"/>
      <c r="H418" s="8"/>
      <c r="I418" s="8"/>
      <c r="J418" s="8"/>
    </row>
    <row r="419" spans="5:10" x14ac:dyDescent="0.25">
      <c r="E419" s="8"/>
      <c r="F419" s="8"/>
      <c r="G419" s="8"/>
      <c r="H419" s="8"/>
      <c r="I419" s="8"/>
      <c r="J419" s="8"/>
    </row>
    <row r="420" spans="5:10" x14ac:dyDescent="0.25">
      <c r="E420" s="8"/>
      <c r="F420" s="8"/>
      <c r="G420" s="8"/>
      <c r="H420" s="8"/>
      <c r="I420" s="8"/>
      <c r="J420" s="8"/>
    </row>
    <row r="421" spans="5:10" x14ac:dyDescent="0.25">
      <c r="E421" s="8"/>
      <c r="F421" s="8"/>
      <c r="G421" s="8"/>
      <c r="H421" s="8"/>
      <c r="I421" s="8"/>
      <c r="J421" s="8"/>
    </row>
    <row r="422" spans="5:10" x14ac:dyDescent="0.25">
      <c r="E422" s="8"/>
      <c r="F422" s="8"/>
      <c r="G422" s="8"/>
      <c r="H422" s="8"/>
      <c r="I422" s="8"/>
      <c r="J422" s="8"/>
    </row>
    <row r="423" spans="5:10" x14ac:dyDescent="0.25">
      <c r="E423" s="8"/>
      <c r="F423" s="8"/>
      <c r="G423" s="8"/>
      <c r="H423" s="8"/>
      <c r="I423" s="8"/>
      <c r="J423" s="8"/>
    </row>
    <row r="424" spans="5:10" x14ac:dyDescent="0.25">
      <c r="E424" s="8"/>
      <c r="F424" s="8"/>
      <c r="G424" s="8"/>
      <c r="H424" s="8"/>
      <c r="I424" s="8"/>
      <c r="J424" s="8"/>
    </row>
    <row r="425" spans="5:10" x14ac:dyDescent="0.25">
      <c r="E425" s="8"/>
      <c r="F425" s="8"/>
      <c r="G425" s="8"/>
      <c r="H425" s="8"/>
      <c r="I425" s="8"/>
      <c r="J425" s="8"/>
    </row>
    <row r="426" spans="5:10" x14ac:dyDescent="0.25">
      <c r="E426" s="8"/>
      <c r="F426" s="8"/>
      <c r="G426" s="8"/>
      <c r="H426" s="8"/>
      <c r="I426" s="8"/>
      <c r="J426" s="8"/>
    </row>
    <row r="427" spans="5:10" x14ac:dyDescent="0.25">
      <c r="E427" s="8"/>
      <c r="F427" s="8"/>
      <c r="G427" s="8"/>
      <c r="H427" s="8"/>
      <c r="I427" s="8"/>
      <c r="J427" s="8"/>
    </row>
    <row r="428" spans="5:10" x14ac:dyDescent="0.25">
      <c r="E428" s="8"/>
      <c r="F428" s="8"/>
      <c r="G428" s="8"/>
      <c r="H428" s="8"/>
      <c r="I428" s="8"/>
      <c r="J428" s="8"/>
    </row>
    <row r="429" spans="5:10" x14ac:dyDescent="0.25">
      <c r="E429" s="8"/>
      <c r="F429" s="8"/>
      <c r="G429" s="8"/>
      <c r="H429" s="8"/>
      <c r="I429" s="8"/>
      <c r="J429" s="8"/>
    </row>
    <row r="430" spans="5:10" x14ac:dyDescent="0.25">
      <c r="E430" s="8"/>
      <c r="F430" s="8"/>
      <c r="G430" s="8"/>
      <c r="H430" s="8"/>
      <c r="I430" s="8"/>
      <c r="J430" s="8"/>
    </row>
    <row r="431" spans="5:10" x14ac:dyDescent="0.25">
      <c r="E431" s="8"/>
      <c r="F431" s="8"/>
      <c r="G431" s="8"/>
      <c r="H431" s="8"/>
      <c r="I431" s="8"/>
      <c r="J431" s="8"/>
    </row>
    <row r="432" spans="5:10" x14ac:dyDescent="0.25">
      <c r="E432" s="8"/>
      <c r="F432" s="8"/>
      <c r="G432" s="8"/>
      <c r="H432" s="8"/>
      <c r="I432" s="8"/>
      <c r="J432" s="8"/>
    </row>
    <row r="433" spans="5:10" x14ac:dyDescent="0.25">
      <c r="E433" s="8"/>
      <c r="F433" s="8"/>
      <c r="G433" s="8"/>
      <c r="H433" s="8"/>
      <c r="I433" s="8"/>
      <c r="J433" s="8"/>
    </row>
    <row r="434" spans="5:10" x14ac:dyDescent="0.25">
      <c r="E434" s="8"/>
      <c r="F434" s="8"/>
      <c r="G434" s="8"/>
      <c r="H434" s="8"/>
      <c r="I434" s="8"/>
      <c r="J434" s="8"/>
    </row>
    <row r="435" spans="5:10" x14ac:dyDescent="0.25">
      <c r="E435" s="8"/>
      <c r="F435" s="8"/>
      <c r="G435" s="8"/>
      <c r="H435" s="8"/>
      <c r="I435" s="8"/>
      <c r="J435" s="8"/>
    </row>
    <row r="436" spans="5:10" x14ac:dyDescent="0.25">
      <c r="E436" s="8"/>
      <c r="F436" s="8"/>
      <c r="G436" s="8"/>
      <c r="H436" s="8"/>
      <c r="I436" s="8"/>
      <c r="J436" s="8"/>
    </row>
    <row r="437" spans="5:10" x14ac:dyDescent="0.25">
      <c r="E437" s="8"/>
      <c r="F437" s="8"/>
      <c r="G437" s="8"/>
      <c r="H437" s="8"/>
      <c r="I437" s="8"/>
      <c r="J437" s="8"/>
    </row>
    <row r="438" spans="5:10" x14ac:dyDescent="0.25">
      <c r="E438" s="8"/>
      <c r="F438" s="8"/>
      <c r="G438" s="8"/>
      <c r="H438" s="8"/>
      <c r="I438" s="8"/>
      <c r="J438" s="8"/>
    </row>
    <row r="439" spans="5:10" x14ac:dyDescent="0.25">
      <c r="E439" s="8"/>
      <c r="F439" s="8"/>
      <c r="G439" s="8"/>
      <c r="H439" s="8"/>
      <c r="I439" s="8"/>
      <c r="J439" s="8"/>
    </row>
    <row r="440" spans="5:10" x14ac:dyDescent="0.25">
      <c r="E440" s="8"/>
      <c r="F440" s="8"/>
      <c r="G440" s="8"/>
      <c r="H440" s="8"/>
      <c r="I440" s="8"/>
      <c r="J440" s="8"/>
    </row>
    <row r="441" spans="5:10" x14ac:dyDescent="0.25">
      <c r="E441" s="8"/>
      <c r="F441" s="8"/>
      <c r="G441" s="8"/>
      <c r="H441" s="8"/>
      <c r="I441" s="8"/>
      <c r="J441" s="8"/>
    </row>
    <row r="442" spans="5:10" x14ac:dyDescent="0.25">
      <c r="E442" s="8"/>
      <c r="F442" s="8"/>
      <c r="G442" s="8"/>
      <c r="H442" s="8"/>
      <c r="I442" s="8"/>
      <c r="J442" s="8"/>
    </row>
    <row r="443" spans="5:10" x14ac:dyDescent="0.25">
      <c r="E443" s="8"/>
      <c r="F443" s="8"/>
      <c r="G443" s="8"/>
      <c r="H443" s="8"/>
      <c r="I443" s="8"/>
      <c r="J443" s="8"/>
    </row>
    <row r="444" spans="5:10" x14ac:dyDescent="0.25">
      <c r="E444" s="8"/>
      <c r="F444" s="8"/>
      <c r="G444" s="8"/>
      <c r="H444" s="8"/>
      <c r="I444" s="8"/>
      <c r="J444" s="8"/>
    </row>
    <row r="445" spans="5:10" x14ac:dyDescent="0.25">
      <c r="E445" s="8"/>
      <c r="F445" s="8"/>
      <c r="G445" s="8"/>
      <c r="H445" s="8"/>
      <c r="I445" s="8"/>
      <c r="J445" s="8"/>
    </row>
    <row r="446" spans="5:10" x14ac:dyDescent="0.25">
      <c r="E446" s="8"/>
      <c r="F446" s="8"/>
      <c r="G446" s="8"/>
      <c r="H446" s="8"/>
      <c r="I446" s="8"/>
      <c r="J446" s="8"/>
    </row>
    <row r="447" spans="5:10" x14ac:dyDescent="0.25">
      <c r="E447" s="8"/>
      <c r="F447" s="8"/>
      <c r="G447" s="8"/>
      <c r="H447" s="8"/>
      <c r="I447" s="8"/>
      <c r="J447" s="8"/>
    </row>
    <row r="448" spans="5:10" x14ac:dyDescent="0.25">
      <c r="E448" s="8"/>
      <c r="F448" s="8"/>
      <c r="G448" s="8"/>
      <c r="H448" s="8"/>
      <c r="I448" s="8"/>
      <c r="J448" s="8"/>
    </row>
    <row r="449" spans="5:10" x14ac:dyDescent="0.25">
      <c r="E449" s="8"/>
      <c r="F449" s="8"/>
      <c r="G449" s="8"/>
      <c r="H449" s="8"/>
      <c r="I449" s="8"/>
      <c r="J449" s="8"/>
    </row>
    <row r="450" spans="5:10" x14ac:dyDescent="0.25">
      <c r="E450" s="8"/>
      <c r="F450" s="8"/>
      <c r="G450" s="8"/>
      <c r="H450" s="8"/>
      <c r="I450" s="8"/>
      <c r="J450" s="8"/>
    </row>
    <row r="451" spans="5:10" x14ac:dyDescent="0.25">
      <c r="E451" s="8"/>
      <c r="F451" s="8"/>
      <c r="G451" s="8"/>
      <c r="H451" s="8"/>
      <c r="I451" s="8"/>
      <c r="J451" s="8"/>
    </row>
    <row r="452" spans="5:10" x14ac:dyDescent="0.25">
      <c r="E452" s="8"/>
      <c r="F452" s="8"/>
      <c r="G452" s="8"/>
      <c r="H452" s="8"/>
      <c r="I452" s="8"/>
      <c r="J452" s="8"/>
    </row>
    <row r="453" spans="5:10" x14ac:dyDescent="0.25">
      <c r="E453" s="8"/>
      <c r="F453" s="8"/>
      <c r="G453" s="8"/>
      <c r="H453" s="8"/>
      <c r="I453" s="8"/>
      <c r="J453" s="8"/>
    </row>
    <row r="454" spans="5:10" x14ac:dyDescent="0.25">
      <c r="E454" s="8"/>
      <c r="F454" s="8"/>
      <c r="G454" s="8"/>
      <c r="H454" s="8"/>
      <c r="I454" s="8"/>
      <c r="J454" s="8"/>
    </row>
    <row r="455" spans="5:10" x14ac:dyDescent="0.25">
      <c r="E455" s="8"/>
      <c r="F455" s="8"/>
      <c r="G455" s="8"/>
      <c r="H455" s="8"/>
      <c r="I455" s="8"/>
      <c r="J455" s="8"/>
    </row>
    <row r="456" spans="5:10" x14ac:dyDescent="0.25">
      <c r="E456" s="8"/>
      <c r="F456" s="8"/>
      <c r="G456" s="8"/>
      <c r="H456" s="8"/>
      <c r="I456" s="8"/>
      <c r="J456" s="8"/>
    </row>
    <row r="457" spans="5:10" x14ac:dyDescent="0.25">
      <c r="E457" s="8"/>
      <c r="F457" s="8"/>
      <c r="G457" s="8"/>
      <c r="H457" s="8"/>
      <c r="I457" s="8"/>
      <c r="J457" s="8"/>
    </row>
    <row r="458" spans="5:10" x14ac:dyDescent="0.25">
      <c r="E458" s="8"/>
      <c r="F458" s="8"/>
      <c r="G458" s="8"/>
      <c r="H458" s="8"/>
      <c r="I458" s="8"/>
      <c r="J458" s="8"/>
    </row>
    <row r="459" spans="5:10" x14ac:dyDescent="0.25">
      <c r="E459" s="8"/>
      <c r="F459" s="8"/>
      <c r="G459" s="8"/>
      <c r="H459" s="8"/>
      <c r="I459" s="8"/>
      <c r="J459" s="8"/>
    </row>
    <row r="460" spans="5:10" x14ac:dyDescent="0.25">
      <c r="E460" s="8"/>
      <c r="F460" s="8"/>
      <c r="G460" s="8"/>
      <c r="H460" s="8"/>
      <c r="I460" s="8"/>
      <c r="J460" s="8"/>
    </row>
    <row r="461" spans="5:10" x14ac:dyDescent="0.25">
      <c r="E461" s="8"/>
      <c r="F461" s="8"/>
      <c r="G461" s="8"/>
      <c r="H461" s="8"/>
      <c r="I461" s="8"/>
      <c r="J461" s="8"/>
    </row>
    <row r="462" spans="5:10" x14ac:dyDescent="0.25">
      <c r="E462" s="8"/>
      <c r="F462" s="8"/>
      <c r="G462" s="8"/>
      <c r="H462" s="8"/>
      <c r="I462" s="8"/>
      <c r="J462" s="8"/>
    </row>
    <row r="463" spans="5:10" x14ac:dyDescent="0.25">
      <c r="E463" s="8"/>
      <c r="F463" s="8"/>
      <c r="G463" s="8"/>
      <c r="H463" s="8"/>
      <c r="I463" s="8"/>
      <c r="J463" s="8"/>
    </row>
    <row r="464" spans="5:10" x14ac:dyDescent="0.25">
      <c r="E464" s="8"/>
      <c r="F464" s="8"/>
      <c r="G464" s="8"/>
      <c r="H464" s="8"/>
      <c r="I464" s="8"/>
      <c r="J464" s="8"/>
    </row>
    <row r="465" spans="5:10" x14ac:dyDescent="0.25">
      <c r="E465" s="8"/>
      <c r="F465" s="8"/>
      <c r="G465" s="8"/>
      <c r="H465" s="8"/>
      <c r="I465" s="8"/>
      <c r="J465" s="8"/>
    </row>
    <row r="466" spans="5:10" x14ac:dyDescent="0.25">
      <c r="E466" s="8"/>
      <c r="F466" s="8"/>
      <c r="G466" s="8"/>
      <c r="H466" s="8"/>
      <c r="I466" s="8"/>
      <c r="J466" s="8"/>
    </row>
    <row r="467" spans="5:10" x14ac:dyDescent="0.25">
      <c r="E467" s="8"/>
      <c r="F467" s="8"/>
      <c r="G467" s="8"/>
      <c r="H467" s="8"/>
      <c r="I467" s="8"/>
      <c r="J467" s="8"/>
    </row>
    <row r="468" spans="5:10" x14ac:dyDescent="0.25">
      <c r="E468" s="8"/>
      <c r="F468" s="8"/>
      <c r="G468" s="8"/>
      <c r="H468" s="8"/>
      <c r="I468" s="8"/>
      <c r="J468" s="8"/>
    </row>
    <row r="469" spans="5:10" x14ac:dyDescent="0.25">
      <c r="E469" s="8"/>
      <c r="F469" s="8"/>
      <c r="G469" s="8"/>
      <c r="H469" s="8"/>
      <c r="I469" s="8"/>
      <c r="J469" s="8"/>
    </row>
    <row r="470" spans="5:10" x14ac:dyDescent="0.25">
      <c r="E470" s="8"/>
      <c r="F470" s="8"/>
      <c r="G470" s="8"/>
      <c r="H470" s="8"/>
      <c r="I470" s="8"/>
      <c r="J470" s="8"/>
    </row>
    <row r="471" spans="5:10" x14ac:dyDescent="0.25">
      <c r="E471" s="8"/>
      <c r="F471" s="8"/>
      <c r="G471" s="8"/>
      <c r="H471" s="8"/>
      <c r="I471" s="8"/>
      <c r="J471" s="8"/>
    </row>
    <row r="472" spans="5:10" x14ac:dyDescent="0.25">
      <c r="E472" s="8"/>
      <c r="F472" s="8"/>
      <c r="G472" s="8"/>
      <c r="H472" s="8"/>
      <c r="I472" s="8"/>
      <c r="J472" s="8"/>
    </row>
    <row r="473" spans="5:10" x14ac:dyDescent="0.25">
      <c r="E473" s="8"/>
      <c r="F473" s="8"/>
      <c r="G473" s="8"/>
      <c r="H473" s="8"/>
      <c r="I473" s="8"/>
      <c r="J473" s="8"/>
    </row>
    <row r="474" spans="5:10" x14ac:dyDescent="0.25">
      <c r="E474" s="8"/>
      <c r="F474" s="8"/>
      <c r="G474" s="8"/>
      <c r="H474" s="8"/>
      <c r="I474" s="8"/>
      <c r="J474" s="8"/>
    </row>
    <row r="475" spans="5:10" x14ac:dyDescent="0.25">
      <c r="E475" s="8"/>
      <c r="F475" s="8"/>
      <c r="G475" s="8"/>
      <c r="H475" s="8"/>
      <c r="I475" s="8"/>
      <c r="J475" s="8"/>
    </row>
    <row r="476" spans="5:10" x14ac:dyDescent="0.25">
      <c r="E476" s="8"/>
      <c r="F476" s="8"/>
      <c r="G476" s="8"/>
      <c r="H476" s="8"/>
      <c r="I476" s="8"/>
      <c r="J476" s="8"/>
    </row>
    <row r="477" spans="5:10" x14ac:dyDescent="0.25">
      <c r="E477" s="8"/>
      <c r="F477" s="8"/>
      <c r="G477" s="8"/>
      <c r="H477" s="8"/>
      <c r="I477" s="8"/>
      <c r="J477" s="8"/>
    </row>
    <row r="478" spans="5:10" x14ac:dyDescent="0.25">
      <c r="E478" s="8"/>
      <c r="F478" s="8"/>
      <c r="G478" s="8"/>
      <c r="H478" s="8"/>
      <c r="I478" s="8"/>
      <c r="J478" s="8"/>
    </row>
    <row r="479" spans="5:10" x14ac:dyDescent="0.25">
      <c r="E479" s="8"/>
      <c r="F479" s="8"/>
      <c r="G479" s="8"/>
      <c r="H479" s="8"/>
      <c r="I479" s="8"/>
      <c r="J479" s="8"/>
    </row>
    <row r="480" spans="5:10" x14ac:dyDescent="0.25">
      <c r="E480" s="8"/>
      <c r="F480" s="8"/>
      <c r="G480" s="8"/>
      <c r="H480" s="8"/>
      <c r="I480" s="8"/>
      <c r="J480" s="8"/>
    </row>
    <row r="481" spans="5:10" x14ac:dyDescent="0.25">
      <c r="E481" s="8"/>
      <c r="F481" s="8"/>
      <c r="G481" s="8"/>
      <c r="H481" s="8"/>
      <c r="I481" s="8"/>
      <c r="J481" s="8"/>
    </row>
    <row r="482" spans="5:10" x14ac:dyDescent="0.25">
      <c r="E482" s="8"/>
      <c r="F482" s="8"/>
      <c r="G482" s="8"/>
      <c r="H482" s="8"/>
      <c r="I482" s="8"/>
      <c r="J482" s="8"/>
    </row>
    <row r="483" spans="5:10" x14ac:dyDescent="0.25">
      <c r="E483" s="8"/>
      <c r="F483" s="8"/>
      <c r="G483" s="8"/>
      <c r="H483" s="8"/>
      <c r="I483" s="8"/>
      <c r="J483" s="8"/>
    </row>
    <row r="484" spans="5:10" x14ac:dyDescent="0.25">
      <c r="E484" s="8"/>
      <c r="F484" s="8"/>
      <c r="G484" s="8"/>
      <c r="H484" s="8"/>
      <c r="I484" s="8"/>
      <c r="J484" s="8"/>
    </row>
    <row r="485" spans="5:10" x14ac:dyDescent="0.25">
      <c r="E485" s="8"/>
      <c r="F485" s="8"/>
      <c r="G485" s="8"/>
      <c r="H485" s="8"/>
      <c r="I485" s="8"/>
      <c r="J485" s="8"/>
    </row>
    <row r="486" spans="5:10" x14ac:dyDescent="0.25">
      <c r="E486" s="8"/>
      <c r="F486" s="8"/>
      <c r="G486" s="8"/>
      <c r="H486" s="8"/>
      <c r="I486" s="8"/>
      <c r="J486" s="8"/>
    </row>
    <row r="487" spans="5:10" x14ac:dyDescent="0.25">
      <c r="E487" s="8"/>
      <c r="F487" s="8"/>
      <c r="G487" s="8"/>
      <c r="H487" s="8"/>
      <c r="I487" s="8"/>
      <c r="J487" s="8"/>
    </row>
    <row r="488" spans="5:10" x14ac:dyDescent="0.25">
      <c r="E488" s="8"/>
      <c r="F488" s="8"/>
      <c r="G488" s="8"/>
      <c r="H488" s="8"/>
      <c r="I488" s="8"/>
      <c r="J488" s="8"/>
    </row>
    <row r="489" spans="5:10" x14ac:dyDescent="0.25">
      <c r="E489" s="8"/>
      <c r="F489" s="8"/>
      <c r="G489" s="8"/>
      <c r="H489" s="8"/>
      <c r="I489" s="8"/>
      <c r="J489" s="8"/>
    </row>
    <row r="490" spans="5:10" x14ac:dyDescent="0.25">
      <c r="E490" s="8"/>
      <c r="F490" s="8"/>
      <c r="G490" s="8"/>
      <c r="H490" s="8"/>
      <c r="I490" s="8"/>
      <c r="J490" s="8"/>
    </row>
    <row r="491" spans="5:10" x14ac:dyDescent="0.25">
      <c r="E491" s="8"/>
      <c r="F491" s="8"/>
      <c r="G491" s="8"/>
      <c r="H491" s="8"/>
      <c r="I491" s="8"/>
      <c r="J491" s="8"/>
    </row>
    <row r="492" spans="5:10" x14ac:dyDescent="0.25">
      <c r="E492" s="8"/>
      <c r="F492" s="8"/>
      <c r="G492" s="8"/>
      <c r="H492" s="8"/>
      <c r="I492" s="8"/>
      <c r="J492" s="8"/>
    </row>
    <row r="493" spans="5:10" x14ac:dyDescent="0.25">
      <c r="E493" s="8"/>
      <c r="F493" s="8"/>
      <c r="G493" s="8"/>
      <c r="H493" s="8"/>
      <c r="I493" s="8"/>
      <c r="J493" s="8"/>
    </row>
    <row r="494" spans="5:10" x14ac:dyDescent="0.25">
      <c r="E494" s="8"/>
      <c r="F494" s="8"/>
      <c r="G494" s="8"/>
      <c r="H494" s="8"/>
      <c r="I494" s="8"/>
      <c r="J494" s="8"/>
    </row>
    <row r="495" spans="5:10" x14ac:dyDescent="0.25">
      <c r="E495" s="8"/>
      <c r="F495" s="8"/>
      <c r="G495" s="8"/>
      <c r="H495" s="8"/>
      <c r="I495" s="8"/>
      <c r="J495" s="8"/>
    </row>
    <row r="496" spans="5:10" x14ac:dyDescent="0.25">
      <c r="E496" s="8"/>
      <c r="F496" s="8"/>
      <c r="G496" s="8"/>
      <c r="H496" s="8"/>
      <c r="I496" s="8"/>
      <c r="J496" s="8"/>
    </row>
    <row r="497" spans="5:10" x14ac:dyDescent="0.25">
      <c r="E497" s="8"/>
      <c r="F497" s="8"/>
      <c r="G497" s="8"/>
      <c r="H497" s="8"/>
      <c r="I497" s="8"/>
      <c r="J497" s="8"/>
    </row>
    <row r="498" spans="5:10" x14ac:dyDescent="0.25">
      <c r="E498" s="8"/>
      <c r="F498" s="8"/>
      <c r="G498" s="8"/>
      <c r="H498" s="8"/>
      <c r="I498" s="8"/>
      <c r="J498" s="8"/>
    </row>
    <row r="499" spans="5:10" x14ac:dyDescent="0.25">
      <c r="E499" s="8"/>
      <c r="F499" s="8"/>
      <c r="G499" s="8"/>
      <c r="H499" s="8"/>
      <c r="I499" s="8"/>
      <c r="J499" s="8"/>
    </row>
    <row r="500" spans="5:10" x14ac:dyDescent="0.25">
      <c r="E500" s="8"/>
      <c r="F500" s="8"/>
      <c r="G500" s="8"/>
      <c r="H500" s="8"/>
      <c r="I500" s="8"/>
      <c r="J500" s="8"/>
    </row>
    <row r="501" spans="5:10" x14ac:dyDescent="0.25">
      <c r="E501" s="8"/>
      <c r="F501" s="8"/>
      <c r="G501" s="8"/>
      <c r="H501" s="8"/>
      <c r="I501" s="8"/>
      <c r="J501" s="8"/>
    </row>
    <row r="502" spans="5:10" x14ac:dyDescent="0.25">
      <c r="E502" s="8"/>
      <c r="F502" s="8"/>
      <c r="G502" s="8"/>
      <c r="H502" s="8"/>
      <c r="I502" s="8"/>
      <c r="J502" s="8"/>
    </row>
    <row r="503" spans="5:10" x14ac:dyDescent="0.25">
      <c r="E503" s="8"/>
      <c r="F503" s="8"/>
      <c r="G503" s="8"/>
      <c r="H503" s="8"/>
      <c r="I503" s="8"/>
      <c r="J503" s="8"/>
    </row>
    <row r="504" spans="5:10" x14ac:dyDescent="0.25">
      <c r="E504" s="8"/>
      <c r="F504" s="8"/>
      <c r="G504" s="8"/>
      <c r="H504" s="8"/>
      <c r="I504" s="8"/>
      <c r="J504" s="8"/>
    </row>
    <row r="505" spans="5:10" x14ac:dyDescent="0.25">
      <c r="E505" s="8"/>
      <c r="F505" s="8"/>
      <c r="G505" s="8"/>
      <c r="H505" s="8"/>
      <c r="I505" s="8"/>
      <c r="J505" s="8"/>
    </row>
    <row r="506" spans="5:10" x14ac:dyDescent="0.25">
      <c r="E506" s="8"/>
      <c r="F506" s="8"/>
      <c r="G506" s="8"/>
      <c r="H506" s="8"/>
      <c r="I506" s="8"/>
      <c r="J506" s="8"/>
    </row>
    <row r="507" spans="5:10" x14ac:dyDescent="0.25">
      <c r="E507" s="8"/>
      <c r="F507" s="8"/>
      <c r="G507" s="8"/>
      <c r="H507" s="8"/>
      <c r="I507" s="8"/>
      <c r="J507" s="8"/>
    </row>
    <row r="508" spans="5:10" x14ac:dyDescent="0.25">
      <c r="E508" s="8"/>
      <c r="F508" s="8"/>
      <c r="G508" s="8"/>
      <c r="H508" s="8"/>
      <c r="I508" s="8"/>
      <c r="J508" s="8"/>
    </row>
    <row r="509" spans="5:10" x14ac:dyDescent="0.25">
      <c r="E509" s="8"/>
      <c r="F509" s="8"/>
      <c r="G509" s="8"/>
      <c r="H509" s="8"/>
      <c r="I509" s="8"/>
      <c r="J509" s="8"/>
    </row>
    <row r="510" spans="5:10" x14ac:dyDescent="0.25">
      <c r="E510" s="8"/>
      <c r="F510" s="8"/>
      <c r="G510" s="8"/>
      <c r="H510" s="8"/>
      <c r="I510" s="8"/>
      <c r="J510" s="8"/>
    </row>
    <row r="511" spans="5:10" x14ac:dyDescent="0.25">
      <c r="E511" s="8"/>
      <c r="F511" s="8"/>
      <c r="G511" s="8"/>
      <c r="H511" s="8"/>
      <c r="I511" s="8"/>
      <c r="J511" s="8"/>
    </row>
    <row r="512" spans="5:10" x14ac:dyDescent="0.25">
      <c r="E512" s="8"/>
      <c r="F512" s="8"/>
      <c r="G512" s="8"/>
      <c r="H512" s="8"/>
      <c r="I512" s="8"/>
      <c r="J512" s="8"/>
    </row>
    <row r="513" spans="5:10" x14ac:dyDescent="0.25">
      <c r="E513" s="8"/>
      <c r="F513" s="8"/>
      <c r="G513" s="8"/>
      <c r="H513" s="8"/>
      <c r="I513" s="8"/>
      <c r="J513" s="8"/>
    </row>
    <row r="514" spans="5:10" x14ac:dyDescent="0.25">
      <c r="E514" s="8"/>
      <c r="F514" s="8"/>
      <c r="G514" s="8"/>
      <c r="H514" s="8"/>
      <c r="I514" s="8"/>
      <c r="J514" s="8"/>
    </row>
    <row r="515" spans="5:10" x14ac:dyDescent="0.25">
      <c r="E515" s="8"/>
      <c r="F515" s="8"/>
      <c r="G515" s="8"/>
      <c r="H515" s="8"/>
      <c r="I515" s="8"/>
      <c r="J515" s="8"/>
    </row>
    <row r="516" spans="5:10" x14ac:dyDescent="0.25">
      <c r="E516" s="8"/>
      <c r="F516" s="8"/>
      <c r="G516" s="8"/>
      <c r="H516" s="8"/>
      <c r="I516" s="8"/>
      <c r="J516" s="8"/>
    </row>
    <row r="517" spans="5:10" x14ac:dyDescent="0.25">
      <c r="E517" s="8"/>
      <c r="F517" s="8"/>
      <c r="G517" s="8"/>
      <c r="H517" s="8"/>
      <c r="I517" s="8"/>
      <c r="J517" s="8"/>
    </row>
    <row r="518" spans="5:10" x14ac:dyDescent="0.25">
      <c r="E518" s="8"/>
      <c r="F518" s="8"/>
      <c r="G518" s="8"/>
      <c r="H518" s="8"/>
      <c r="I518" s="8"/>
      <c r="J518" s="8"/>
    </row>
    <row r="519" spans="5:10" x14ac:dyDescent="0.25">
      <c r="E519" s="8"/>
      <c r="F519" s="8"/>
      <c r="G519" s="8"/>
      <c r="H519" s="8"/>
      <c r="I519" s="8"/>
      <c r="J519" s="8"/>
    </row>
    <row r="520" spans="5:10" x14ac:dyDescent="0.25">
      <c r="E520" s="8"/>
      <c r="F520" s="8"/>
      <c r="G520" s="8"/>
      <c r="H520" s="8"/>
      <c r="I520" s="8"/>
      <c r="J520" s="8"/>
    </row>
    <row r="521" spans="5:10" x14ac:dyDescent="0.25">
      <c r="E521" s="8"/>
      <c r="F521" s="8"/>
      <c r="G521" s="8"/>
      <c r="H521" s="8"/>
      <c r="I521" s="8"/>
      <c r="J521" s="8"/>
    </row>
    <row r="522" spans="5:10" x14ac:dyDescent="0.25">
      <c r="E522" s="8"/>
      <c r="F522" s="8"/>
      <c r="G522" s="8"/>
      <c r="H522" s="8"/>
      <c r="I522" s="8"/>
      <c r="J522" s="8"/>
    </row>
    <row r="523" spans="5:10" x14ac:dyDescent="0.25">
      <c r="E523" s="8"/>
      <c r="F523" s="8"/>
      <c r="G523" s="8"/>
      <c r="H523" s="8"/>
      <c r="I523" s="8"/>
      <c r="J523" s="8"/>
    </row>
    <row r="524" spans="5:10" x14ac:dyDescent="0.25">
      <c r="E524" s="8"/>
      <c r="F524" s="8"/>
      <c r="G524" s="8"/>
      <c r="H524" s="8"/>
      <c r="I524" s="8"/>
      <c r="J524" s="8"/>
    </row>
    <row r="525" spans="5:10" x14ac:dyDescent="0.25">
      <c r="E525" s="8"/>
      <c r="F525" s="8"/>
      <c r="G525" s="8"/>
      <c r="H525" s="8"/>
      <c r="I525" s="8"/>
      <c r="J525" s="8"/>
    </row>
    <row r="526" spans="5:10" x14ac:dyDescent="0.25">
      <c r="E526" s="8"/>
      <c r="F526" s="8"/>
      <c r="G526" s="8"/>
      <c r="H526" s="8"/>
      <c r="I526" s="8"/>
      <c r="J526" s="8"/>
    </row>
    <row r="527" spans="5:10" x14ac:dyDescent="0.25">
      <c r="E527" s="8"/>
      <c r="F527" s="8"/>
      <c r="G527" s="8"/>
      <c r="H527" s="8"/>
      <c r="I527" s="8"/>
      <c r="J527" s="8"/>
    </row>
    <row r="528" spans="5:10" x14ac:dyDescent="0.25">
      <c r="E528" s="8"/>
      <c r="F528" s="8"/>
      <c r="G528" s="8"/>
      <c r="H528" s="8"/>
      <c r="I528" s="8"/>
      <c r="J528" s="8"/>
    </row>
    <row r="529" spans="5:10" x14ac:dyDescent="0.25">
      <c r="E529" s="8"/>
      <c r="F529" s="8"/>
      <c r="G529" s="8"/>
      <c r="H529" s="8"/>
      <c r="I529" s="8"/>
      <c r="J529" s="8"/>
    </row>
    <row r="530" spans="5:10" x14ac:dyDescent="0.25">
      <c r="E530" s="8"/>
      <c r="F530" s="8"/>
      <c r="G530" s="8"/>
      <c r="H530" s="8"/>
      <c r="I530" s="8"/>
      <c r="J530" s="8"/>
    </row>
    <row r="531" spans="5:10" x14ac:dyDescent="0.25">
      <c r="E531" s="8"/>
      <c r="F531" s="8"/>
      <c r="G531" s="8"/>
      <c r="H531" s="8"/>
      <c r="I531" s="8"/>
      <c r="J531" s="8"/>
    </row>
    <row r="532" spans="5:10" x14ac:dyDescent="0.25">
      <c r="E532" s="8"/>
      <c r="F532" s="8"/>
      <c r="G532" s="8"/>
      <c r="H532" s="8"/>
      <c r="I532" s="8"/>
      <c r="J532" s="8"/>
    </row>
    <row r="533" spans="5:10" x14ac:dyDescent="0.25">
      <c r="E533" s="8"/>
      <c r="F533" s="8"/>
      <c r="G533" s="8"/>
      <c r="H533" s="8"/>
      <c r="I533" s="8"/>
      <c r="J533" s="8"/>
    </row>
    <row r="534" spans="5:10" x14ac:dyDescent="0.25">
      <c r="E534" s="8"/>
      <c r="F534" s="8"/>
      <c r="G534" s="8"/>
      <c r="H534" s="8"/>
      <c r="I534" s="8"/>
      <c r="J534" s="8"/>
    </row>
    <row r="535" spans="5:10" x14ac:dyDescent="0.25">
      <c r="E535" s="8"/>
      <c r="F535" s="8"/>
      <c r="G535" s="8"/>
      <c r="H535" s="8"/>
      <c r="I535" s="8"/>
      <c r="J535" s="8"/>
    </row>
    <row r="536" spans="5:10" x14ac:dyDescent="0.25">
      <c r="E536" s="8"/>
      <c r="F536" s="8"/>
      <c r="G536" s="8"/>
      <c r="H536" s="8"/>
      <c r="I536" s="8"/>
      <c r="J536" s="8"/>
    </row>
    <row r="537" spans="5:10" x14ac:dyDescent="0.25">
      <c r="E537" s="8"/>
      <c r="F537" s="8"/>
      <c r="G537" s="8"/>
      <c r="H537" s="8"/>
      <c r="I537" s="8"/>
      <c r="J537" s="8"/>
    </row>
    <row r="538" spans="5:10" x14ac:dyDescent="0.25">
      <c r="E538" s="8"/>
      <c r="F538" s="8"/>
      <c r="G538" s="8"/>
      <c r="H538" s="8"/>
      <c r="I538" s="8"/>
      <c r="J538" s="8"/>
    </row>
    <row r="539" spans="5:10" x14ac:dyDescent="0.25">
      <c r="E539" s="8"/>
      <c r="F539" s="8"/>
      <c r="G539" s="8"/>
      <c r="H539" s="8"/>
      <c r="I539" s="8"/>
      <c r="J539" s="8"/>
    </row>
    <row r="540" spans="5:10" x14ac:dyDescent="0.25">
      <c r="E540" s="8"/>
      <c r="F540" s="8"/>
      <c r="G540" s="8"/>
      <c r="H540" s="8"/>
      <c r="I540" s="8"/>
      <c r="J540" s="8"/>
    </row>
    <row r="541" spans="5:10" x14ac:dyDescent="0.25">
      <c r="E541" s="8"/>
      <c r="F541" s="8"/>
      <c r="G541" s="8"/>
      <c r="H541" s="8"/>
      <c r="I541" s="8"/>
      <c r="J541" s="8"/>
    </row>
    <row r="542" spans="5:10" x14ac:dyDescent="0.25">
      <c r="E542" s="8"/>
      <c r="F542" s="8"/>
      <c r="G542" s="8"/>
      <c r="H542" s="8"/>
      <c r="I542" s="8"/>
      <c r="J542" s="8"/>
    </row>
    <row r="543" spans="5:10" x14ac:dyDescent="0.25">
      <c r="E543" s="8"/>
      <c r="F543" s="8"/>
      <c r="G543" s="8"/>
      <c r="H543" s="8"/>
      <c r="I543" s="8"/>
      <c r="J543" s="8"/>
    </row>
    <row r="544" spans="5:10" x14ac:dyDescent="0.25">
      <c r="E544" s="8"/>
      <c r="F544" s="8"/>
      <c r="G544" s="8"/>
      <c r="H544" s="8"/>
      <c r="I544" s="8"/>
      <c r="J544" s="8"/>
    </row>
    <row r="545" spans="5:10" x14ac:dyDescent="0.25">
      <c r="E545" s="8"/>
      <c r="F545" s="8"/>
      <c r="G545" s="8"/>
      <c r="H545" s="8"/>
      <c r="I545" s="8"/>
      <c r="J545" s="8"/>
    </row>
    <row r="546" spans="5:10" x14ac:dyDescent="0.25">
      <c r="E546" s="8"/>
      <c r="F546" s="8"/>
      <c r="G546" s="8"/>
      <c r="H546" s="8"/>
      <c r="I546" s="8"/>
      <c r="J546" s="8"/>
    </row>
    <row r="547" spans="5:10" x14ac:dyDescent="0.25">
      <c r="E547" s="8"/>
      <c r="F547" s="8"/>
      <c r="G547" s="8"/>
      <c r="H547" s="8"/>
      <c r="I547" s="8"/>
      <c r="J547" s="8"/>
    </row>
    <row r="548" spans="5:10" x14ac:dyDescent="0.25">
      <c r="E548" s="8"/>
      <c r="F548" s="8"/>
      <c r="G548" s="8"/>
      <c r="H548" s="8"/>
      <c r="I548" s="8"/>
      <c r="J548" s="8"/>
    </row>
    <row r="549" spans="5:10" x14ac:dyDescent="0.25">
      <c r="E549" s="8"/>
      <c r="F549" s="8"/>
      <c r="G549" s="8"/>
      <c r="H549" s="8"/>
      <c r="I549" s="8"/>
      <c r="J549" s="8"/>
    </row>
    <row r="550" spans="5:10" x14ac:dyDescent="0.25">
      <c r="E550" s="8"/>
      <c r="F550" s="8"/>
      <c r="G550" s="8"/>
      <c r="H550" s="8"/>
      <c r="I550" s="8"/>
      <c r="J550" s="8"/>
    </row>
    <row r="551" spans="5:10" x14ac:dyDescent="0.25">
      <c r="E551" s="8"/>
      <c r="F551" s="8"/>
      <c r="G551" s="8"/>
      <c r="H551" s="8"/>
      <c r="I551" s="8"/>
      <c r="J551" s="8"/>
    </row>
    <row r="552" spans="5:10" x14ac:dyDescent="0.25">
      <c r="E552" s="8"/>
      <c r="F552" s="8"/>
      <c r="G552" s="8"/>
      <c r="H552" s="8"/>
      <c r="I552" s="8"/>
      <c r="J552" s="8"/>
    </row>
    <row r="553" spans="5:10" x14ac:dyDescent="0.25">
      <c r="E553" s="8"/>
      <c r="F553" s="8"/>
      <c r="G553" s="8"/>
      <c r="H553" s="8"/>
      <c r="I553" s="8"/>
      <c r="J553" s="8"/>
    </row>
    <row r="554" spans="5:10" x14ac:dyDescent="0.25">
      <c r="E554" s="8"/>
      <c r="F554" s="8"/>
      <c r="G554" s="8"/>
      <c r="H554" s="8"/>
      <c r="I554" s="8"/>
      <c r="J554" s="8"/>
    </row>
    <row r="555" spans="5:10" x14ac:dyDescent="0.25">
      <c r="E555" s="8"/>
      <c r="F555" s="8"/>
      <c r="G555" s="8"/>
      <c r="H555" s="8"/>
      <c r="I555" s="8"/>
      <c r="J555" s="8"/>
    </row>
    <row r="556" spans="5:10" x14ac:dyDescent="0.25">
      <c r="E556" s="8"/>
      <c r="F556" s="8"/>
      <c r="G556" s="8"/>
      <c r="H556" s="8"/>
      <c r="I556" s="8"/>
      <c r="J556" s="8"/>
    </row>
    <row r="557" spans="5:10" x14ac:dyDescent="0.25">
      <c r="E557" s="8"/>
      <c r="F557" s="8"/>
      <c r="G557" s="8"/>
      <c r="H557" s="8"/>
      <c r="I557" s="8"/>
      <c r="J557" s="8"/>
    </row>
    <row r="558" spans="5:10" x14ac:dyDescent="0.25">
      <c r="E558" s="8"/>
      <c r="F558" s="8"/>
      <c r="G558" s="8"/>
      <c r="H558" s="8"/>
      <c r="I558" s="8"/>
      <c r="J558" s="8"/>
    </row>
    <row r="559" spans="5:10" x14ac:dyDescent="0.25">
      <c r="E559" s="8"/>
      <c r="F559" s="8"/>
      <c r="G559" s="8"/>
      <c r="H559" s="8"/>
      <c r="I559" s="8"/>
      <c r="J559" s="8"/>
    </row>
    <row r="560" spans="5:10" x14ac:dyDescent="0.25">
      <c r="E560" s="8"/>
      <c r="F560" s="8"/>
      <c r="G560" s="8"/>
      <c r="H560" s="8"/>
      <c r="I560" s="8"/>
      <c r="J560" s="8"/>
    </row>
    <row r="561" spans="5:10" x14ac:dyDescent="0.25">
      <c r="E561" s="8"/>
      <c r="F561" s="8"/>
      <c r="G561" s="8"/>
      <c r="H561" s="8"/>
      <c r="I561" s="8"/>
      <c r="J561" s="8"/>
    </row>
    <row r="562" spans="5:10" x14ac:dyDescent="0.25">
      <c r="E562" s="8"/>
      <c r="F562" s="8"/>
      <c r="G562" s="8"/>
      <c r="H562" s="8"/>
      <c r="I562" s="8"/>
      <c r="J562" s="8"/>
    </row>
    <row r="563" spans="5:10" x14ac:dyDescent="0.25">
      <c r="E563" s="8"/>
      <c r="F563" s="8"/>
      <c r="G563" s="8"/>
      <c r="H563" s="8"/>
      <c r="I563" s="8"/>
      <c r="J563" s="8"/>
    </row>
    <row r="564" spans="5:10" x14ac:dyDescent="0.25">
      <c r="E564" s="8"/>
      <c r="F564" s="8"/>
      <c r="G564" s="8"/>
      <c r="H564" s="8"/>
      <c r="I564" s="8"/>
      <c r="J564" s="8"/>
    </row>
    <row r="565" spans="5:10" x14ac:dyDescent="0.25">
      <c r="E565" s="8"/>
      <c r="F565" s="8"/>
      <c r="G565" s="8"/>
      <c r="H565" s="8"/>
      <c r="I565" s="8"/>
      <c r="J565" s="8"/>
    </row>
    <row r="566" spans="5:10" x14ac:dyDescent="0.25">
      <c r="E566" s="8"/>
      <c r="F566" s="8"/>
      <c r="G566" s="8"/>
      <c r="H566" s="8"/>
      <c r="I566" s="8"/>
      <c r="J566" s="8"/>
    </row>
    <row r="567" spans="5:10" x14ac:dyDescent="0.25">
      <c r="E567" s="8"/>
      <c r="F567" s="8"/>
      <c r="G567" s="8"/>
      <c r="H567" s="8"/>
      <c r="I567" s="8"/>
      <c r="J567" s="8"/>
    </row>
    <row r="568" spans="5:10" x14ac:dyDescent="0.25">
      <c r="E568" s="8"/>
      <c r="F568" s="8"/>
      <c r="G568" s="8"/>
      <c r="H568" s="8"/>
      <c r="I568" s="8"/>
      <c r="J568" s="8"/>
    </row>
    <row r="569" spans="5:10" x14ac:dyDescent="0.25">
      <c r="E569" s="8"/>
      <c r="F569" s="8"/>
      <c r="G569" s="8"/>
      <c r="H569" s="8"/>
      <c r="I569" s="8"/>
      <c r="J569" s="8"/>
    </row>
    <row r="570" spans="5:10" x14ac:dyDescent="0.25">
      <c r="E570" s="8"/>
      <c r="F570" s="8"/>
      <c r="G570" s="8"/>
      <c r="H570" s="8"/>
      <c r="I570" s="8"/>
      <c r="J570" s="8"/>
    </row>
    <row r="571" spans="5:10" x14ac:dyDescent="0.25">
      <c r="E571" s="8"/>
      <c r="F571" s="8"/>
      <c r="G571" s="8"/>
      <c r="H571" s="8"/>
      <c r="I571" s="8"/>
      <c r="J571" s="8"/>
    </row>
    <row r="572" spans="5:10" x14ac:dyDescent="0.25">
      <c r="E572" s="8"/>
      <c r="F572" s="8"/>
      <c r="G572" s="8"/>
      <c r="H572" s="8"/>
      <c r="I572" s="8"/>
      <c r="J572" s="8"/>
    </row>
    <row r="573" spans="5:10" x14ac:dyDescent="0.25">
      <c r="E573" s="8"/>
      <c r="F573" s="8"/>
      <c r="G573" s="8"/>
      <c r="H573" s="8"/>
      <c r="I573" s="8"/>
      <c r="J573" s="8"/>
    </row>
    <row r="574" spans="5:10" x14ac:dyDescent="0.25">
      <c r="E574" s="8"/>
      <c r="F574" s="8"/>
      <c r="G574" s="8"/>
      <c r="H574" s="8"/>
      <c r="I574" s="8"/>
      <c r="J574" s="8"/>
    </row>
    <row r="575" spans="5:10" x14ac:dyDescent="0.25">
      <c r="E575" s="8"/>
      <c r="F575" s="8"/>
      <c r="G575" s="8"/>
      <c r="H575" s="8"/>
      <c r="I575" s="8"/>
      <c r="J575" s="8"/>
    </row>
    <row r="576" spans="5:10" x14ac:dyDescent="0.25">
      <c r="E576" s="8"/>
      <c r="F576" s="8"/>
      <c r="G576" s="8"/>
      <c r="H576" s="8"/>
      <c r="I576" s="8"/>
      <c r="J576" s="8"/>
    </row>
    <row r="577" spans="5:10" x14ac:dyDescent="0.25">
      <c r="E577" s="8"/>
      <c r="F577" s="8"/>
      <c r="G577" s="8"/>
      <c r="H577" s="8"/>
      <c r="I577" s="8"/>
      <c r="J577" s="8"/>
    </row>
    <row r="578" spans="5:10" x14ac:dyDescent="0.25">
      <c r="E578" s="8"/>
      <c r="F578" s="8"/>
      <c r="G578" s="8"/>
      <c r="H578" s="8"/>
      <c r="I578" s="8"/>
      <c r="J578" s="8"/>
    </row>
    <row r="579" spans="5:10" x14ac:dyDescent="0.25">
      <c r="E579" s="8"/>
      <c r="F579" s="8"/>
      <c r="G579" s="8"/>
      <c r="H579" s="8"/>
      <c r="I579" s="8"/>
      <c r="J579" s="8"/>
    </row>
    <row r="580" spans="5:10" x14ac:dyDescent="0.25">
      <c r="E580" s="8"/>
      <c r="F580" s="8"/>
      <c r="G580" s="8"/>
      <c r="H580" s="8"/>
      <c r="I580" s="8"/>
      <c r="J580" s="8"/>
    </row>
    <row r="581" spans="5:10" x14ac:dyDescent="0.25">
      <c r="E581" s="8"/>
      <c r="F581" s="8"/>
      <c r="G581" s="8"/>
      <c r="H581" s="8"/>
      <c r="I581" s="8"/>
      <c r="J581" s="8"/>
    </row>
    <row r="582" spans="5:10" x14ac:dyDescent="0.25">
      <c r="E582" s="8"/>
      <c r="F582" s="8"/>
      <c r="G582" s="8"/>
      <c r="H582" s="8"/>
      <c r="I582" s="8"/>
      <c r="J582" s="8"/>
    </row>
    <row r="583" spans="5:10" x14ac:dyDescent="0.25">
      <c r="E583" s="8"/>
      <c r="F583" s="8"/>
      <c r="G583" s="8"/>
      <c r="H583" s="8"/>
      <c r="I583" s="8"/>
      <c r="J583" s="8"/>
    </row>
    <row r="584" spans="5:10" x14ac:dyDescent="0.25">
      <c r="E584" s="8"/>
      <c r="F584" s="8"/>
      <c r="G584" s="8"/>
      <c r="H584" s="8"/>
      <c r="I584" s="8"/>
      <c r="J584" s="8"/>
    </row>
    <row r="585" spans="5:10" x14ac:dyDescent="0.25">
      <c r="E585" s="8"/>
      <c r="F585" s="8"/>
      <c r="G585" s="8"/>
      <c r="H585" s="8"/>
      <c r="I585" s="8"/>
      <c r="J585" s="8"/>
    </row>
    <row r="586" spans="5:10" x14ac:dyDescent="0.25">
      <c r="E586" s="8"/>
      <c r="F586" s="8"/>
      <c r="G586" s="8"/>
      <c r="H586" s="8"/>
      <c r="I586" s="8"/>
      <c r="J586" s="8"/>
    </row>
    <row r="587" spans="5:10" x14ac:dyDescent="0.25">
      <c r="E587" s="8"/>
      <c r="F587" s="8"/>
      <c r="G587" s="8"/>
      <c r="H587" s="8"/>
      <c r="I587" s="8"/>
      <c r="J587" s="8"/>
    </row>
    <row r="588" spans="5:10" x14ac:dyDescent="0.25">
      <c r="E588" s="8"/>
      <c r="F588" s="8"/>
      <c r="G588" s="8"/>
      <c r="H588" s="8"/>
      <c r="I588" s="8"/>
      <c r="J588" s="8"/>
    </row>
    <row r="589" spans="5:10" x14ac:dyDescent="0.25">
      <c r="E589" s="8"/>
      <c r="F589" s="8"/>
      <c r="G589" s="8"/>
      <c r="H589" s="8"/>
      <c r="I589" s="8"/>
      <c r="J589" s="8"/>
    </row>
    <row r="590" spans="5:10" x14ac:dyDescent="0.25">
      <c r="E590" s="8"/>
      <c r="F590" s="8"/>
      <c r="G590" s="8"/>
      <c r="H590" s="8"/>
      <c r="I590" s="8"/>
      <c r="J590" s="8"/>
    </row>
    <row r="591" spans="5:10" x14ac:dyDescent="0.25">
      <c r="E591" s="8"/>
      <c r="F591" s="8"/>
      <c r="G591" s="8"/>
      <c r="H591" s="8"/>
      <c r="I591" s="8"/>
      <c r="J591" s="8"/>
    </row>
    <row r="592" spans="5:10" x14ac:dyDescent="0.25">
      <c r="E592" s="8"/>
      <c r="F592" s="8"/>
      <c r="G592" s="8"/>
      <c r="H592" s="8"/>
      <c r="I592" s="8"/>
      <c r="J592" s="8"/>
    </row>
    <row r="593" spans="5:10" x14ac:dyDescent="0.25">
      <c r="E593" s="8"/>
      <c r="F593" s="8"/>
      <c r="G593" s="8"/>
      <c r="H593" s="8"/>
      <c r="I593" s="8"/>
      <c r="J593" s="8"/>
    </row>
    <row r="594" spans="5:10" x14ac:dyDescent="0.25">
      <c r="E594" s="8"/>
      <c r="F594" s="8"/>
      <c r="G594" s="8"/>
      <c r="H594" s="8"/>
      <c r="I594" s="8"/>
      <c r="J594" s="8"/>
    </row>
    <row r="595" spans="5:10" x14ac:dyDescent="0.25">
      <c r="E595" s="8"/>
      <c r="F595" s="8"/>
      <c r="G595" s="8"/>
      <c r="H595" s="8"/>
      <c r="I595" s="8"/>
      <c r="J595" s="8"/>
    </row>
    <row r="596" spans="5:10" x14ac:dyDescent="0.25">
      <c r="E596" s="8"/>
      <c r="F596" s="8"/>
      <c r="G596" s="8"/>
      <c r="H596" s="8"/>
      <c r="I596" s="8"/>
      <c r="J596" s="8"/>
    </row>
    <row r="597" spans="5:10" x14ac:dyDescent="0.25">
      <c r="E597" s="8"/>
      <c r="F597" s="8"/>
      <c r="G597" s="8"/>
      <c r="H597" s="8"/>
      <c r="I597" s="8"/>
      <c r="J597" s="8"/>
    </row>
    <row r="598" spans="5:10" x14ac:dyDescent="0.25">
      <c r="E598" s="8"/>
      <c r="F598" s="8"/>
      <c r="G598" s="8"/>
      <c r="H598" s="8"/>
      <c r="I598" s="8"/>
      <c r="J598" s="8"/>
    </row>
    <row r="599" spans="5:10" x14ac:dyDescent="0.25">
      <c r="E599" s="8"/>
      <c r="F599" s="8"/>
      <c r="G599" s="8"/>
      <c r="H599" s="8"/>
      <c r="I599" s="8"/>
      <c r="J599" s="8"/>
    </row>
    <row r="600" spans="5:10" x14ac:dyDescent="0.25">
      <c r="E600" s="8"/>
      <c r="F600" s="8"/>
      <c r="G600" s="8"/>
      <c r="H600" s="8"/>
      <c r="I600" s="8"/>
      <c r="J600" s="8"/>
    </row>
    <row r="601" spans="5:10" x14ac:dyDescent="0.25">
      <c r="E601" s="8"/>
      <c r="F601" s="8"/>
      <c r="G601" s="8"/>
      <c r="H601" s="8"/>
      <c r="I601" s="8"/>
      <c r="J601" s="8"/>
    </row>
    <row r="602" spans="5:10" x14ac:dyDescent="0.25">
      <c r="E602" s="8"/>
      <c r="F602" s="8"/>
      <c r="G602" s="8"/>
      <c r="H602" s="8"/>
      <c r="I602" s="8"/>
      <c r="J602" s="8"/>
    </row>
    <row r="603" spans="5:10" x14ac:dyDescent="0.25">
      <c r="E603" s="8"/>
      <c r="F603" s="8"/>
      <c r="G603" s="8"/>
      <c r="H603" s="8"/>
      <c r="I603" s="8"/>
      <c r="J603" s="8"/>
    </row>
    <row r="604" spans="5:10" x14ac:dyDescent="0.25">
      <c r="E604" s="8"/>
      <c r="F604" s="8"/>
      <c r="G604" s="8"/>
      <c r="H604" s="8"/>
      <c r="I604" s="8"/>
      <c r="J604" s="8"/>
    </row>
    <row r="605" spans="5:10" x14ac:dyDescent="0.25">
      <c r="E605" s="8"/>
      <c r="F605" s="8"/>
      <c r="G605" s="8"/>
      <c r="H605" s="8"/>
      <c r="I605" s="8"/>
      <c r="J605" s="8"/>
    </row>
    <row r="606" spans="5:10" x14ac:dyDescent="0.25">
      <c r="E606" s="8"/>
      <c r="F606" s="8"/>
      <c r="G606" s="8"/>
      <c r="H606" s="8"/>
      <c r="I606" s="8"/>
      <c r="J606" s="8"/>
    </row>
    <row r="607" spans="5:10" x14ac:dyDescent="0.25">
      <c r="E607" s="8"/>
      <c r="F607" s="8"/>
      <c r="G607" s="8"/>
      <c r="H607" s="8"/>
      <c r="I607" s="8"/>
      <c r="J607" s="8"/>
    </row>
    <row r="608" spans="5:10" x14ac:dyDescent="0.25">
      <c r="E608" s="8"/>
      <c r="F608" s="8"/>
      <c r="G608" s="8"/>
      <c r="H608" s="8"/>
      <c r="I608" s="8"/>
      <c r="J608" s="8"/>
    </row>
    <row r="609" spans="5:10" x14ac:dyDescent="0.25">
      <c r="E609" s="8"/>
      <c r="F609" s="8"/>
      <c r="G609" s="8"/>
      <c r="H609" s="8"/>
      <c r="I609" s="8"/>
      <c r="J609" s="8"/>
    </row>
    <row r="610" spans="5:10" x14ac:dyDescent="0.25">
      <c r="E610" s="8"/>
      <c r="F610" s="8"/>
      <c r="G610" s="8"/>
      <c r="H610" s="8"/>
      <c r="I610" s="8"/>
      <c r="J610" s="8"/>
    </row>
    <row r="611" spans="5:10" x14ac:dyDescent="0.25">
      <c r="E611" s="8"/>
      <c r="F611" s="8"/>
      <c r="G611" s="8"/>
      <c r="H611" s="8"/>
      <c r="I611" s="8"/>
      <c r="J611" s="8"/>
    </row>
    <row r="612" spans="5:10" x14ac:dyDescent="0.25">
      <c r="E612" s="8"/>
      <c r="F612" s="8"/>
      <c r="G612" s="8"/>
      <c r="H612" s="8"/>
      <c r="I612" s="8"/>
      <c r="J612" s="8"/>
    </row>
    <row r="613" spans="5:10" x14ac:dyDescent="0.25">
      <c r="E613" s="8"/>
      <c r="F613" s="8"/>
      <c r="G613" s="8"/>
      <c r="H613" s="8"/>
      <c r="I613" s="8"/>
      <c r="J613" s="8"/>
    </row>
    <row r="614" spans="5:10" x14ac:dyDescent="0.25">
      <c r="E614" s="8"/>
      <c r="F614" s="8"/>
      <c r="G614" s="8"/>
      <c r="H614" s="8"/>
      <c r="I614" s="8"/>
      <c r="J614" s="8"/>
    </row>
    <row r="615" spans="5:10" x14ac:dyDescent="0.25">
      <c r="E615" s="8"/>
      <c r="F615" s="8"/>
      <c r="G615" s="8"/>
      <c r="H615" s="8"/>
      <c r="I615" s="8"/>
      <c r="J615" s="8"/>
    </row>
    <row r="616" spans="5:10" x14ac:dyDescent="0.25">
      <c r="E616" s="8"/>
      <c r="F616" s="8"/>
      <c r="G616" s="8"/>
      <c r="H616" s="8"/>
      <c r="I616" s="8"/>
      <c r="J616" s="8"/>
    </row>
    <row r="617" spans="5:10" x14ac:dyDescent="0.25">
      <c r="E617" s="8"/>
      <c r="F617" s="8"/>
      <c r="G617" s="8"/>
      <c r="H617" s="8"/>
      <c r="I617" s="8"/>
      <c r="J617" s="8"/>
    </row>
    <row r="618" spans="5:10" x14ac:dyDescent="0.25">
      <c r="E618" s="8"/>
      <c r="F618" s="8"/>
      <c r="G618" s="8"/>
      <c r="H618" s="8"/>
      <c r="I618" s="8"/>
      <c r="J618" s="8"/>
    </row>
    <row r="619" spans="5:10" x14ac:dyDescent="0.25">
      <c r="E619" s="8"/>
      <c r="F619" s="8"/>
      <c r="G619" s="8"/>
      <c r="H619" s="8"/>
      <c r="I619" s="8"/>
      <c r="J619" s="8"/>
    </row>
    <row r="620" spans="5:10" x14ac:dyDescent="0.25">
      <c r="E620" s="8"/>
      <c r="F620" s="8"/>
      <c r="G620" s="8"/>
      <c r="H620" s="8"/>
      <c r="I620" s="8"/>
      <c r="J620" s="8"/>
    </row>
    <row r="621" spans="5:10" x14ac:dyDescent="0.25">
      <c r="E621" s="8"/>
      <c r="F621" s="8"/>
      <c r="G621" s="8"/>
      <c r="H621" s="8"/>
      <c r="I621" s="8"/>
      <c r="J621" s="8"/>
    </row>
    <row r="622" spans="5:10" x14ac:dyDescent="0.25">
      <c r="E622" s="8"/>
      <c r="F622" s="8"/>
      <c r="G622" s="8"/>
      <c r="H622" s="8"/>
      <c r="I622" s="8"/>
      <c r="J622" s="8"/>
    </row>
    <row r="623" spans="5:10" x14ac:dyDescent="0.25">
      <c r="E623" s="8"/>
      <c r="F623" s="8"/>
      <c r="G623" s="8"/>
      <c r="H623" s="8"/>
      <c r="I623" s="8"/>
      <c r="J623" s="8"/>
    </row>
    <row r="624" spans="5:10" x14ac:dyDescent="0.25">
      <c r="E624" s="8"/>
      <c r="F624" s="8"/>
      <c r="G624" s="8"/>
      <c r="H624" s="8"/>
      <c r="I624" s="8"/>
      <c r="J624" s="8"/>
    </row>
    <row r="625" spans="5:10" x14ac:dyDescent="0.25">
      <c r="E625" s="8"/>
      <c r="F625" s="8"/>
      <c r="G625" s="8"/>
      <c r="H625" s="8"/>
      <c r="I625" s="8"/>
      <c r="J625" s="8"/>
    </row>
    <row r="626" spans="5:10" x14ac:dyDescent="0.25">
      <c r="E626" s="8"/>
      <c r="F626" s="8"/>
      <c r="G626" s="8"/>
      <c r="H626" s="8"/>
      <c r="I626" s="8"/>
      <c r="J626" s="8"/>
    </row>
    <row r="627" spans="5:10" x14ac:dyDescent="0.25">
      <c r="E627" s="8"/>
      <c r="F627" s="8"/>
      <c r="G627" s="8"/>
      <c r="H627" s="8"/>
      <c r="I627" s="8"/>
      <c r="J627" s="8"/>
    </row>
    <row r="628" spans="5:10" x14ac:dyDescent="0.25">
      <c r="E628" s="8"/>
      <c r="F628" s="8"/>
      <c r="G628" s="8"/>
      <c r="H628" s="8"/>
      <c r="I628" s="8"/>
      <c r="J628" s="8"/>
    </row>
    <row r="629" spans="5:10" x14ac:dyDescent="0.25">
      <c r="E629" s="8"/>
      <c r="F629" s="8"/>
      <c r="G629" s="8"/>
      <c r="H629" s="8"/>
      <c r="I629" s="8"/>
      <c r="J629" s="8"/>
    </row>
    <row r="630" spans="5:10" x14ac:dyDescent="0.25">
      <c r="E630" s="8"/>
      <c r="F630" s="8"/>
      <c r="G630" s="8"/>
      <c r="H630" s="8"/>
      <c r="I630" s="8"/>
      <c r="J630" s="8"/>
    </row>
    <row r="631" spans="5:10" x14ac:dyDescent="0.25">
      <c r="E631" s="8"/>
      <c r="F631" s="8"/>
      <c r="G631" s="8"/>
      <c r="H631" s="8"/>
      <c r="I631" s="8"/>
      <c r="J631" s="8"/>
    </row>
    <row r="632" spans="5:10" x14ac:dyDescent="0.25">
      <c r="E632" s="8"/>
      <c r="F632" s="8"/>
      <c r="G632" s="8"/>
      <c r="H632" s="8"/>
      <c r="I632" s="8"/>
      <c r="J632" s="8"/>
    </row>
    <row r="633" spans="5:10" x14ac:dyDescent="0.25">
      <c r="E633" s="8"/>
      <c r="F633" s="8"/>
      <c r="G633" s="8"/>
      <c r="H633" s="8"/>
      <c r="I633" s="8"/>
      <c r="J633" s="8"/>
    </row>
    <row r="634" spans="5:10" x14ac:dyDescent="0.25">
      <c r="E634" s="8"/>
      <c r="F634" s="8"/>
      <c r="G634" s="8"/>
      <c r="H634" s="8"/>
      <c r="I634" s="8"/>
      <c r="J634" s="8"/>
    </row>
    <row r="635" spans="5:10" x14ac:dyDescent="0.25">
      <c r="E635" s="8"/>
      <c r="F635" s="8"/>
      <c r="G635" s="8"/>
      <c r="H635" s="8"/>
      <c r="I635" s="8"/>
      <c r="J635" s="8"/>
    </row>
    <row r="636" spans="5:10" x14ac:dyDescent="0.25">
      <c r="E636" s="8"/>
      <c r="F636" s="8"/>
      <c r="G636" s="8"/>
      <c r="H636" s="8"/>
      <c r="I636" s="8"/>
      <c r="J636" s="8"/>
    </row>
    <row r="637" spans="5:10" x14ac:dyDescent="0.25">
      <c r="E637" s="8"/>
      <c r="F637" s="8"/>
      <c r="G637" s="8"/>
      <c r="H637" s="8"/>
      <c r="I637" s="8"/>
      <c r="J637" s="8"/>
    </row>
    <row r="638" spans="5:10" x14ac:dyDescent="0.25">
      <c r="E638" s="8"/>
      <c r="F638" s="8"/>
      <c r="G638" s="8"/>
      <c r="H638" s="8"/>
      <c r="I638" s="8"/>
      <c r="J638" s="8"/>
    </row>
    <row r="639" spans="5:10" x14ac:dyDescent="0.25">
      <c r="E639" s="8"/>
      <c r="F639" s="8"/>
      <c r="G639" s="8"/>
      <c r="H639" s="8"/>
      <c r="I639" s="8"/>
      <c r="J639" s="8"/>
    </row>
    <row r="640" spans="5:10" x14ac:dyDescent="0.25">
      <c r="E640" s="8"/>
      <c r="F640" s="8"/>
      <c r="G640" s="8"/>
      <c r="H640" s="8"/>
      <c r="I640" s="8"/>
      <c r="J640" s="8"/>
    </row>
    <row r="641" spans="5:10" x14ac:dyDescent="0.25">
      <c r="E641" s="8"/>
      <c r="F641" s="8"/>
      <c r="G641" s="8"/>
      <c r="H641" s="8"/>
      <c r="I641" s="8"/>
      <c r="J641" s="8"/>
    </row>
    <row r="642" spans="5:10" x14ac:dyDescent="0.25">
      <c r="E642" s="8"/>
      <c r="F642" s="8"/>
      <c r="G642" s="8"/>
      <c r="H642" s="8"/>
      <c r="I642" s="8"/>
      <c r="J642" s="8"/>
    </row>
    <row r="643" spans="5:10" x14ac:dyDescent="0.25">
      <c r="E643" s="8"/>
      <c r="F643" s="8"/>
      <c r="G643" s="8"/>
      <c r="H643" s="8"/>
      <c r="I643" s="8"/>
      <c r="J643" s="8"/>
    </row>
    <row r="644" spans="5:10" x14ac:dyDescent="0.25">
      <c r="E644" s="8"/>
      <c r="F644" s="8"/>
      <c r="G644" s="8"/>
      <c r="H644" s="8"/>
      <c r="I644" s="8"/>
      <c r="J644" s="8"/>
    </row>
    <row r="645" spans="5:10" x14ac:dyDescent="0.25">
      <c r="E645" s="8"/>
      <c r="F645" s="8"/>
      <c r="G645" s="8"/>
      <c r="H645" s="8"/>
      <c r="I645" s="8"/>
      <c r="J645" s="8"/>
    </row>
    <row r="646" spans="5:10" x14ac:dyDescent="0.25">
      <c r="E646" s="8"/>
      <c r="F646" s="8"/>
      <c r="G646" s="8"/>
      <c r="H646" s="8"/>
      <c r="I646" s="8"/>
      <c r="J646" s="8"/>
    </row>
    <row r="647" spans="5:10" x14ac:dyDescent="0.25">
      <c r="E647" s="8"/>
      <c r="F647" s="8"/>
      <c r="G647" s="8"/>
      <c r="H647" s="8"/>
      <c r="I647" s="8"/>
      <c r="J647" s="8"/>
    </row>
    <row r="648" spans="5:10" x14ac:dyDescent="0.25">
      <c r="E648" s="8"/>
      <c r="F648" s="8"/>
      <c r="G648" s="8"/>
      <c r="H648" s="8"/>
      <c r="I648" s="8"/>
      <c r="J648" s="8"/>
    </row>
    <row r="649" spans="5:10" x14ac:dyDescent="0.25">
      <c r="E649" s="8"/>
      <c r="F649" s="8"/>
      <c r="G649" s="8"/>
      <c r="H649" s="8"/>
      <c r="I649" s="8"/>
      <c r="J649" s="8"/>
    </row>
    <row r="650" spans="5:10" x14ac:dyDescent="0.25">
      <c r="E650" s="8"/>
      <c r="F650" s="8"/>
      <c r="G650" s="8"/>
      <c r="H650" s="8"/>
      <c r="I650" s="8"/>
      <c r="J650" s="8"/>
    </row>
    <row r="651" spans="5:10" x14ac:dyDescent="0.25">
      <c r="E651" s="8"/>
      <c r="F651" s="8"/>
      <c r="G651" s="8"/>
      <c r="H651" s="8"/>
      <c r="I651" s="8"/>
      <c r="J651" s="8"/>
    </row>
    <row r="652" spans="5:10" x14ac:dyDescent="0.25">
      <c r="E652" s="8"/>
      <c r="F652" s="8"/>
      <c r="G652" s="8"/>
      <c r="H652" s="8"/>
      <c r="I652" s="8"/>
      <c r="J652" s="8"/>
    </row>
    <row r="653" spans="5:10" x14ac:dyDescent="0.25">
      <c r="E653" s="8"/>
      <c r="F653" s="8"/>
      <c r="G653" s="8"/>
      <c r="H653" s="8"/>
      <c r="I653" s="8"/>
      <c r="J653" s="8"/>
    </row>
    <row r="654" spans="5:10" x14ac:dyDescent="0.25">
      <c r="E654" s="8"/>
      <c r="F654" s="8"/>
      <c r="G654" s="8"/>
      <c r="H654" s="8"/>
      <c r="I654" s="8"/>
      <c r="J654" s="8"/>
    </row>
    <row r="655" spans="5:10" x14ac:dyDescent="0.25">
      <c r="E655" s="8"/>
      <c r="F655" s="8"/>
      <c r="G655" s="8"/>
      <c r="H655" s="8"/>
      <c r="I655" s="8"/>
      <c r="J655" s="8"/>
    </row>
    <row r="656" spans="5:10" x14ac:dyDescent="0.25">
      <c r="E656" s="8"/>
      <c r="F656" s="8"/>
      <c r="G656" s="8"/>
      <c r="H656" s="8"/>
      <c r="I656" s="8"/>
      <c r="J656" s="8"/>
    </row>
    <row r="657" spans="5:10" x14ac:dyDescent="0.25">
      <c r="E657" s="8"/>
      <c r="F657" s="8"/>
      <c r="G657" s="8"/>
      <c r="H657" s="8"/>
      <c r="I657" s="8"/>
      <c r="J657" s="8"/>
    </row>
    <row r="658" spans="5:10" x14ac:dyDescent="0.25">
      <c r="E658" s="8"/>
      <c r="F658" s="8"/>
      <c r="G658" s="8"/>
      <c r="H658" s="8"/>
      <c r="I658" s="8"/>
      <c r="J658" s="8"/>
    </row>
    <row r="659" spans="5:10" x14ac:dyDescent="0.25">
      <c r="E659" s="8"/>
      <c r="F659" s="8"/>
      <c r="G659" s="8"/>
      <c r="H659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B21"/>
  <sheetViews>
    <sheetView workbookViewId="0">
      <selection activeCell="B9" sqref="B9"/>
    </sheetView>
  </sheetViews>
  <sheetFormatPr defaultRowHeight="15" x14ac:dyDescent="0.25"/>
  <cols>
    <col min="2" max="2" width="11.42578125" bestFit="1" customWidth="1"/>
  </cols>
  <sheetData>
    <row r="1" spans="1:2" x14ac:dyDescent="0.25">
      <c r="A1" t="s">
        <v>51</v>
      </c>
      <c r="B1" t="s">
        <v>52</v>
      </c>
    </row>
    <row r="2" spans="1:2" x14ac:dyDescent="0.25">
      <c r="A2" s="79">
        <v>1</v>
      </c>
      <c r="B2" s="79" t="b">
        <v>0</v>
      </c>
    </row>
    <row r="3" spans="1:2" x14ac:dyDescent="0.25">
      <c r="A3" s="79">
        <v>2</v>
      </c>
      <c r="B3" s="79" t="b">
        <v>1</v>
      </c>
    </row>
    <row r="4" spans="1:2" x14ac:dyDescent="0.25">
      <c r="A4">
        <v>3</v>
      </c>
      <c r="B4" s="92" t="b">
        <v>0</v>
      </c>
    </row>
    <row r="5" spans="1:2" x14ac:dyDescent="0.25">
      <c r="A5">
        <v>4</v>
      </c>
      <c r="B5" t="b">
        <v>1</v>
      </c>
    </row>
    <row r="6" spans="1:2" x14ac:dyDescent="0.25">
      <c r="A6" s="79">
        <v>5</v>
      </c>
      <c r="B6" s="79" t="b">
        <v>0</v>
      </c>
    </row>
    <row r="7" spans="1:2" x14ac:dyDescent="0.25">
      <c r="A7" s="79">
        <v>6</v>
      </c>
      <c r="B7" s="79" t="b">
        <v>1</v>
      </c>
    </row>
    <row r="8" spans="1:2" x14ac:dyDescent="0.25">
      <c r="A8">
        <v>7</v>
      </c>
      <c r="B8" t="b">
        <v>0</v>
      </c>
    </row>
    <row r="9" spans="1:2" x14ac:dyDescent="0.25">
      <c r="A9">
        <v>8</v>
      </c>
      <c r="B9" t="b">
        <v>1</v>
      </c>
    </row>
    <row r="10" spans="1:2" x14ac:dyDescent="0.25">
      <c r="A10" s="79">
        <v>9</v>
      </c>
      <c r="B10" s="79" t="b">
        <v>0</v>
      </c>
    </row>
    <row r="11" spans="1:2" x14ac:dyDescent="0.25">
      <c r="A11" s="79">
        <v>10</v>
      </c>
      <c r="B11" s="79" t="b">
        <v>1</v>
      </c>
    </row>
    <row r="12" spans="1:2" x14ac:dyDescent="0.25">
      <c r="A12">
        <v>11</v>
      </c>
      <c r="B12" t="b">
        <v>0</v>
      </c>
    </row>
    <row r="13" spans="1:2" x14ac:dyDescent="0.25">
      <c r="A13">
        <v>12</v>
      </c>
      <c r="B13" t="b">
        <v>1</v>
      </c>
    </row>
    <row r="14" spans="1:2" x14ac:dyDescent="0.25">
      <c r="A14" s="79">
        <v>13</v>
      </c>
      <c r="B14" s="79" t="b">
        <v>0</v>
      </c>
    </row>
    <row r="15" spans="1:2" x14ac:dyDescent="0.25">
      <c r="A15" s="79">
        <v>14</v>
      </c>
      <c r="B15" s="79" t="b">
        <v>1</v>
      </c>
    </row>
    <row r="16" spans="1:2" x14ac:dyDescent="0.25">
      <c r="A16">
        <v>15</v>
      </c>
      <c r="B16" t="b">
        <v>0</v>
      </c>
    </row>
    <row r="17" spans="1:2" x14ac:dyDescent="0.25">
      <c r="A17">
        <v>16</v>
      </c>
      <c r="B17" t="b">
        <v>1</v>
      </c>
    </row>
    <row r="18" spans="1:2" x14ac:dyDescent="0.25">
      <c r="A18" s="79">
        <v>17</v>
      </c>
      <c r="B18" s="79" t="b">
        <v>0</v>
      </c>
    </row>
    <row r="19" spans="1:2" x14ac:dyDescent="0.25">
      <c r="A19" s="79">
        <v>18</v>
      </c>
      <c r="B19" s="79" t="b">
        <v>1</v>
      </c>
    </row>
    <row r="20" spans="1:2" x14ac:dyDescent="0.25">
      <c r="A20">
        <v>19</v>
      </c>
      <c r="B20" t="b">
        <v>0</v>
      </c>
    </row>
    <row r="21" spans="1:2" x14ac:dyDescent="0.25">
      <c r="A21">
        <v>20</v>
      </c>
      <c r="B21" t="b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pageSetUpPr fitToPage="1"/>
  </sheetPr>
  <dimension ref="A1:GY173"/>
  <sheetViews>
    <sheetView tabSelected="1" topLeftCell="A85" zoomScale="85" zoomScaleNormal="85" workbookViewId="0">
      <selection activeCell="GV111" sqref="GV111"/>
    </sheetView>
  </sheetViews>
  <sheetFormatPr defaultColWidth="9.140625" defaultRowHeight="13.5" customHeight="1" x14ac:dyDescent="0.2"/>
  <cols>
    <col min="1" max="1" width="19.42578125" style="42" bestFit="1" customWidth="1"/>
    <col min="2" max="2" width="11.7109375" style="22" customWidth="1"/>
    <col min="3" max="8" width="8.140625" style="22" customWidth="1"/>
    <col min="9" max="9" width="8.140625" style="28" customWidth="1"/>
    <col min="10" max="11" width="8.140625" style="22" customWidth="1"/>
    <col min="12" max="27" width="8.140625" style="22" hidden="1" customWidth="1"/>
    <col min="28" max="37" width="8.140625" style="7" hidden="1" customWidth="1"/>
    <col min="38" max="40" width="7.85546875" style="7" hidden="1" customWidth="1"/>
    <col min="41" max="44" width="6.5703125" style="7" hidden="1" customWidth="1"/>
    <col min="45" max="45" width="5.7109375" style="7" hidden="1" customWidth="1"/>
    <col min="46" max="202" width="4.85546875" style="7" hidden="1" customWidth="1"/>
    <col min="203" max="203" width="5.7109375" style="37" bestFit="1" customWidth="1"/>
    <col min="204" max="16384" width="9.140625" style="37"/>
  </cols>
  <sheetData>
    <row r="1" spans="1:203" ht="13.5" customHeight="1" x14ac:dyDescent="0.2">
      <c r="A1" s="39" t="s">
        <v>4</v>
      </c>
      <c r="B1" s="95"/>
      <c r="C1" s="95"/>
      <c r="D1" s="95"/>
      <c r="E1" s="95"/>
      <c r="F1" s="95"/>
      <c r="G1" s="27"/>
      <c r="H1" s="27"/>
      <c r="K1" s="33"/>
      <c r="L1" s="33"/>
      <c r="M1" s="33"/>
      <c r="N1" s="33"/>
      <c r="O1" s="33"/>
      <c r="GU1" s="7"/>
    </row>
    <row r="2" spans="1:203" ht="13.5" customHeight="1" x14ac:dyDescent="0.2">
      <c r="A2" s="40">
        <v>7</v>
      </c>
      <c r="B2" s="96" t="s">
        <v>6</v>
      </c>
      <c r="C2" s="96"/>
      <c r="D2" s="96"/>
      <c r="E2" s="96"/>
      <c r="F2" s="96"/>
      <c r="G2" s="29"/>
      <c r="H2" s="29"/>
      <c r="K2" s="33"/>
      <c r="L2" s="33"/>
      <c r="M2" s="33"/>
      <c r="N2" s="33"/>
      <c r="O2" s="33"/>
      <c r="GU2" s="7"/>
    </row>
    <row r="3" spans="1:203" ht="13.5" customHeight="1" x14ac:dyDescent="0.2">
      <c r="A3" s="40">
        <v>10</v>
      </c>
      <c r="B3" s="94" t="s">
        <v>60</v>
      </c>
      <c r="C3" s="94"/>
      <c r="D3" s="94"/>
      <c r="E3" s="94"/>
      <c r="F3" s="94"/>
      <c r="G3" s="29"/>
      <c r="H3" s="29"/>
      <c r="K3" s="33"/>
      <c r="L3" s="33"/>
      <c r="M3" s="33"/>
      <c r="N3" s="33"/>
      <c r="O3" s="33"/>
      <c r="GU3" s="7"/>
    </row>
    <row r="4" spans="1:203" ht="13.5" customHeight="1" x14ac:dyDescent="0.2">
      <c r="A4" s="40">
        <v>0.1</v>
      </c>
      <c r="B4" s="94" t="s">
        <v>5</v>
      </c>
      <c r="C4" s="94"/>
      <c r="D4" s="94"/>
      <c r="E4" s="94"/>
      <c r="F4" s="94"/>
      <c r="G4" s="30"/>
      <c r="H4" s="30"/>
      <c r="K4" s="33"/>
      <c r="L4" s="33"/>
      <c r="M4" s="33"/>
      <c r="N4" s="33"/>
      <c r="O4" s="33"/>
      <c r="GU4" s="7"/>
    </row>
    <row r="5" spans="1:203" ht="13.5" customHeight="1" x14ac:dyDescent="0.2">
      <c r="A5" s="41">
        <v>0.01</v>
      </c>
      <c r="B5" s="94" t="s">
        <v>48</v>
      </c>
      <c r="C5" s="94"/>
      <c r="D5" s="94"/>
      <c r="E5" s="94"/>
      <c r="F5" s="94"/>
      <c r="G5" s="30"/>
      <c r="H5" s="30"/>
      <c r="K5" s="33"/>
      <c r="L5" s="33"/>
      <c r="M5" s="33"/>
      <c r="N5" s="33"/>
      <c r="O5" s="33"/>
      <c r="GU5" s="7"/>
    </row>
    <row r="6" spans="1:203" ht="13.5" customHeight="1" x14ac:dyDescent="0.2">
      <c r="A6" s="77">
        <v>0</v>
      </c>
      <c r="B6" s="94" t="s">
        <v>46</v>
      </c>
      <c r="C6" s="94"/>
      <c r="D6" s="94"/>
      <c r="E6" s="94"/>
      <c r="F6" s="94"/>
      <c r="G6" s="30"/>
      <c r="H6" s="30"/>
      <c r="K6" s="33"/>
      <c r="L6" s="33"/>
      <c r="M6" s="33"/>
      <c r="N6" s="33"/>
      <c r="O6" s="33"/>
      <c r="GU6" s="7"/>
    </row>
    <row r="7" spans="1:203" ht="13.5" customHeight="1" x14ac:dyDescent="0.2">
      <c r="A7" s="40">
        <v>1.5</v>
      </c>
      <c r="B7" s="94" t="s">
        <v>47</v>
      </c>
      <c r="C7" s="94"/>
      <c r="D7" s="94"/>
      <c r="E7" s="94"/>
      <c r="F7" s="94"/>
      <c r="G7" s="31"/>
      <c r="H7" s="31"/>
      <c r="K7" s="33"/>
      <c r="L7" s="33"/>
      <c r="M7" s="33"/>
      <c r="N7" s="33"/>
      <c r="O7" s="33"/>
      <c r="GU7" s="7"/>
    </row>
    <row r="8" spans="1:203" ht="13.5" customHeight="1" x14ac:dyDescent="0.2">
      <c r="B8" s="95"/>
      <c r="C8" s="95"/>
      <c r="D8" s="95"/>
      <c r="E8" s="95"/>
      <c r="F8" s="95"/>
      <c r="G8" s="31"/>
      <c r="H8" s="31"/>
      <c r="L8" s="33"/>
      <c r="M8" s="33"/>
      <c r="N8" s="33"/>
      <c r="O8" s="33"/>
      <c r="GU8" s="7"/>
    </row>
    <row r="9" spans="1:203" s="21" customFormat="1" ht="13.5" customHeight="1" x14ac:dyDescent="0.2">
      <c r="A9" s="43"/>
      <c r="B9" s="97" t="s">
        <v>13</v>
      </c>
      <c r="C9" s="97"/>
      <c r="D9" s="97"/>
      <c r="E9" s="97"/>
      <c r="F9" s="97"/>
      <c r="G9" s="31"/>
      <c r="H9" s="31"/>
      <c r="O9" s="35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</row>
    <row r="10" spans="1:203" s="21" customFormat="1" ht="13.5" customHeight="1" x14ac:dyDescent="0.2">
      <c r="A10" s="44"/>
      <c r="B10" s="97"/>
      <c r="C10" s="97"/>
      <c r="D10" s="97"/>
      <c r="E10" s="97"/>
      <c r="F10" s="97"/>
      <c r="G10" s="31"/>
      <c r="H10" s="31"/>
      <c r="O10" s="35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03" s="21" customFormat="1" ht="13.5" customHeight="1" x14ac:dyDescent="0.2">
      <c r="A11" s="44"/>
      <c r="B11" s="97" t="s">
        <v>14</v>
      </c>
      <c r="C11" s="97"/>
      <c r="D11" s="97"/>
      <c r="E11" s="97"/>
      <c r="F11" s="97"/>
      <c r="G11" s="32"/>
      <c r="H11" s="32"/>
      <c r="O11" s="35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03" s="21" customFormat="1" ht="13.5" customHeight="1" x14ac:dyDescent="0.2">
      <c r="A12" s="44"/>
      <c r="B12" s="97"/>
      <c r="C12" s="97"/>
      <c r="D12" s="97"/>
      <c r="E12" s="97"/>
      <c r="F12" s="97"/>
      <c r="O12" s="3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03" s="21" customFormat="1" ht="13.5" customHeight="1" x14ac:dyDescent="0.2">
      <c r="A13" s="44"/>
      <c r="B13" s="97" t="s">
        <v>15</v>
      </c>
      <c r="C13" s="97"/>
      <c r="D13" s="97"/>
      <c r="E13" s="97"/>
      <c r="F13" s="97"/>
      <c r="O13" s="35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03" s="21" customFormat="1" ht="13.5" customHeight="1" x14ac:dyDescent="0.2">
      <c r="A14" s="45"/>
      <c r="B14" s="97"/>
      <c r="C14" s="97"/>
      <c r="D14" s="97"/>
      <c r="E14" s="97"/>
      <c r="F14" s="97"/>
      <c r="O14" s="35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03" s="21" customFormat="1" ht="13.5" customHeight="1" x14ac:dyDescent="0.2">
      <c r="A15" s="40"/>
      <c r="B15" s="95"/>
      <c r="C15" s="95"/>
      <c r="D15" s="95"/>
      <c r="E15" s="95"/>
      <c r="F15" s="95"/>
      <c r="O15" s="35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03" s="21" customFormat="1" ht="13.5" customHeight="1" x14ac:dyDescent="0.2">
      <c r="A16" s="40"/>
      <c r="B16" s="95"/>
      <c r="C16" s="95"/>
      <c r="D16" s="95"/>
      <c r="E16" s="95"/>
      <c r="F16" s="95"/>
      <c r="O16" s="35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04" s="21" customFormat="1" ht="13.5" customHeight="1" x14ac:dyDescent="0.2">
      <c r="B17" s="95"/>
      <c r="C17" s="95"/>
      <c r="D17" s="95"/>
      <c r="E17" s="95"/>
      <c r="F17" s="95"/>
      <c r="O17" s="35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04" s="21" customFormat="1" ht="13.5" customHeight="1" x14ac:dyDescent="0.2">
      <c r="B18" s="95"/>
      <c r="C18" s="95"/>
      <c r="D18" s="95"/>
      <c r="E18" s="95"/>
      <c r="F18" s="95"/>
      <c r="O18" s="35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04" s="21" customFormat="1" ht="13.5" customHeight="1" x14ac:dyDescent="0.2">
      <c r="A19" s="40"/>
      <c r="B19" s="95"/>
      <c r="C19" s="95"/>
      <c r="D19" s="95"/>
      <c r="E19" s="95"/>
      <c r="F19" s="95"/>
      <c r="G19" s="56"/>
      <c r="O19" s="35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04" s="21" customFormat="1" ht="13.5" customHeight="1" x14ac:dyDescent="0.2">
      <c r="A20" s="40"/>
      <c r="B20" s="95"/>
      <c r="C20" s="95"/>
      <c r="D20" s="95"/>
      <c r="E20" s="95"/>
      <c r="F20" s="95"/>
      <c r="O20" s="35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04" s="21" customFormat="1" ht="13.5" customHeight="1" x14ac:dyDescent="0.2">
      <c r="A21" s="40"/>
      <c r="B21" s="95"/>
      <c r="C21" s="95"/>
      <c r="D21" s="95"/>
      <c r="E21" s="95"/>
      <c r="F21" s="95"/>
      <c r="O21" s="35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</row>
    <row r="22" spans="1:204" s="21" customFormat="1" ht="13.5" customHeight="1" x14ac:dyDescent="0.2">
      <c r="A22" s="40"/>
      <c r="B22" s="95"/>
      <c r="C22" s="95"/>
      <c r="D22" s="95"/>
      <c r="E22" s="95"/>
      <c r="F22" s="95"/>
      <c r="O22" s="35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</row>
    <row r="23" spans="1:204" s="21" customFormat="1" ht="13.5" customHeight="1" x14ac:dyDescent="0.2">
      <c r="A23" s="40"/>
      <c r="P23" s="35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</row>
    <row r="24" spans="1:204" s="21" customFormat="1" ht="13.5" customHeight="1" x14ac:dyDescent="0.2">
      <c r="A24" s="39" t="s">
        <v>19</v>
      </c>
      <c r="B24" s="98" t="s">
        <v>40</v>
      </c>
      <c r="C24" s="98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32"/>
      <c r="DX24" s="32"/>
      <c r="DY24" s="32"/>
      <c r="DZ24" s="32"/>
      <c r="EA24" s="32"/>
      <c r="EB24" s="32"/>
      <c r="EC24" s="32"/>
      <c r="ED24" s="32"/>
      <c r="EE24" s="32"/>
      <c r="EF24" s="32"/>
      <c r="EG24" s="32"/>
      <c r="EH24" s="32"/>
      <c r="EI24" s="32"/>
      <c r="EJ24" s="32"/>
      <c r="EK24" s="32"/>
      <c r="EL24" s="32"/>
      <c r="EM24" s="32"/>
      <c r="EN24" s="32"/>
      <c r="EO24" s="32"/>
      <c r="EP24" s="32"/>
      <c r="EQ24" s="32"/>
      <c r="ER24" s="32"/>
      <c r="ES24" s="32"/>
      <c r="ET24" s="32"/>
      <c r="EU24" s="32"/>
      <c r="EV24" s="32"/>
      <c r="EW24" s="32"/>
      <c r="EX24" s="32"/>
      <c r="EY24" s="32"/>
      <c r="EZ24" s="32"/>
      <c r="FA24" s="32"/>
      <c r="FB24" s="32"/>
      <c r="FC24" s="32"/>
      <c r="FD24" s="32"/>
      <c r="FE24" s="32"/>
      <c r="FF24" s="32"/>
      <c r="FG24" s="32"/>
      <c r="FH24" s="32"/>
      <c r="FI24" s="32"/>
      <c r="FJ24" s="32"/>
      <c r="FK24" s="32"/>
      <c r="FL24" s="32"/>
      <c r="FM24" s="32"/>
      <c r="FN24" s="32"/>
      <c r="FO24" s="32"/>
      <c r="FP24" s="32"/>
      <c r="FQ24" s="32"/>
      <c r="FR24" s="32"/>
      <c r="FS24" s="32"/>
      <c r="FT24" s="32"/>
      <c r="FU24" s="32"/>
      <c r="FV24" s="32"/>
      <c r="FW24" s="32"/>
      <c r="FX24" s="32"/>
      <c r="FY24" s="32"/>
      <c r="FZ24" s="32"/>
      <c r="GA24" s="32"/>
      <c r="GB24" s="32"/>
      <c r="GC24" s="32"/>
      <c r="GD24" s="32"/>
      <c r="GE24" s="32"/>
      <c r="GF24" s="32"/>
      <c r="GG24" s="32"/>
      <c r="GH24" s="32"/>
      <c r="GI24" s="32"/>
      <c r="GJ24" s="32"/>
      <c r="GK24" s="32"/>
      <c r="GL24" s="32"/>
      <c r="GM24" s="32"/>
      <c r="GN24" s="32"/>
      <c r="GO24" s="32"/>
      <c r="GP24" s="32"/>
      <c r="GQ24" s="32"/>
      <c r="GR24" s="32"/>
      <c r="GS24" s="32"/>
      <c r="GT24" s="32"/>
      <c r="GU24" s="53"/>
    </row>
    <row r="25" spans="1:204" s="24" customFormat="1" ht="13.5" customHeight="1" x14ac:dyDescent="0.2">
      <c r="A25" s="40" t="s">
        <v>3</v>
      </c>
      <c r="C25" s="14">
        <v>1</v>
      </c>
      <c r="D25" s="14">
        <v>2</v>
      </c>
      <c r="E25" s="14">
        <v>3</v>
      </c>
      <c r="F25" s="14">
        <v>4</v>
      </c>
      <c r="G25" s="14">
        <v>5</v>
      </c>
      <c r="H25" s="14">
        <v>6</v>
      </c>
      <c r="I25" s="14">
        <v>7</v>
      </c>
      <c r="J25" s="14">
        <v>8</v>
      </c>
      <c r="K25" s="14">
        <v>9</v>
      </c>
      <c r="L25" s="14">
        <v>10</v>
      </c>
      <c r="M25" s="14">
        <v>11</v>
      </c>
      <c r="N25" s="14">
        <v>12</v>
      </c>
      <c r="O25" s="14">
        <v>13</v>
      </c>
      <c r="P25" s="14">
        <v>14</v>
      </c>
      <c r="Q25" s="14">
        <v>15</v>
      </c>
      <c r="R25" s="14">
        <v>16</v>
      </c>
      <c r="S25" s="14">
        <v>17</v>
      </c>
      <c r="T25" s="14">
        <v>18</v>
      </c>
      <c r="U25" s="14">
        <v>19</v>
      </c>
      <c r="V25" s="14">
        <v>20</v>
      </c>
      <c r="W25" s="14">
        <v>21</v>
      </c>
      <c r="X25" s="14">
        <v>22</v>
      </c>
      <c r="Y25" s="14">
        <v>23</v>
      </c>
      <c r="Z25" s="14">
        <v>24</v>
      </c>
      <c r="AA25" s="14">
        <v>25</v>
      </c>
      <c r="AB25" s="14">
        <v>26</v>
      </c>
      <c r="AC25" s="14">
        <v>27</v>
      </c>
      <c r="AD25" s="14">
        <v>28</v>
      </c>
      <c r="AE25" s="14">
        <v>29</v>
      </c>
      <c r="AF25" s="14">
        <v>30</v>
      </c>
      <c r="AG25" s="14">
        <v>31</v>
      </c>
      <c r="AH25" s="14">
        <v>32</v>
      </c>
      <c r="AI25" s="14">
        <v>33</v>
      </c>
      <c r="AJ25" s="14">
        <v>34</v>
      </c>
      <c r="AK25" s="14">
        <v>35</v>
      </c>
      <c r="AL25" s="14">
        <v>36</v>
      </c>
      <c r="AM25" s="14">
        <v>37</v>
      </c>
      <c r="AN25" s="14">
        <v>38</v>
      </c>
      <c r="AO25" s="14">
        <v>39</v>
      </c>
      <c r="AP25" s="14">
        <v>40</v>
      </c>
      <c r="AQ25" s="14">
        <v>41</v>
      </c>
      <c r="AR25" s="14">
        <v>42</v>
      </c>
      <c r="AS25" s="14">
        <v>43</v>
      </c>
      <c r="AT25" s="14">
        <v>44</v>
      </c>
      <c r="AU25" s="14">
        <v>45</v>
      </c>
      <c r="AV25" s="14">
        <v>46</v>
      </c>
      <c r="AW25" s="14">
        <v>47</v>
      </c>
      <c r="AX25" s="14">
        <v>48</v>
      </c>
      <c r="AY25" s="14">
        <v>49</v>
      </c>
      <c r="AZ25" s="14">
        <v>50</v>
      </c>
      <c r="BA25" s="14">
        <v>51</v>
      </c>
      <c r="BB25" s="14">
        <v>52</v>
      </c>
      <c r="BC25" s="14">
        <v>53</v>
      </c>
      <c r="BD25" s="14">
        <v>54</v>
      </c>
      <c r="BE25" s="14">
        <v>55</v>
      </c>
      <c r="BF25" s="14">
        <v>56</v>
      </c>
      <c r="BG25" s="14">
        <v>57</v>
      </c>
      <c r="BH25" s="14">
        <v>58</v>
      </c>
      <c r="BI25" s="14">
        <v>59</v>
      </c>
      <c r="BJ25" s="14">
        <v>60</v>
      </c>
      <c r="BK25" s="14">
        <v>61</v>
      </c>
      <c r="BL25" s="14">
        <v>62</v>
      </c>
      <c r="BM25" s="14">
        <v>63</v>
      </c>
      <c r="BN25" s="14">
        <v>64</v>
      </c>
      <c r="BO25" s="14">
        <v>65</v>
      </c>
      <c r="BP25" s="14">
        <v>66</v>
      </c>
      <c r="BQ25" s="14">
        <v>67</v>
      </c>
      <c r="BR25" s="14">
        <v>68</v>
      </c>
      <c r="BS25" s="14">
        <v>69</v>
      </c>
      <c r="BT25" s="14">
        <v>70</v>
      </c>
      <c r="BU25" s="14">
        <v>71</v>
      </c>
      <c r="BV25" s="14">
        <v>72</v>
      </c>
      <c r="BW25" s="14">
        <v>73</v>
      </c>
      <c r="BX25" s="14">
        <v>74</v>
      </c>
      <c r="BY25" s="14">
        <v>75</v>
      </c>
      <c r="BZ25" s="14">
        <v>76</v>
      </c>
      <c r="CA25" s="14">
        <v>77</v>
      </c>
      <c r="CB25" s="14">
        <v>78</v>
      </c>
      <c r="CC25" s="14">
        <v>79</v>
      </c>
      <c r="CD25" s="14">
        <v>80</v>
      </c>
      <c r="CE25" s="14">
        <v>81</v>
      </c>
      <c r="CF25" s="14">
        <v>82</v>
      </c>
      <c r="CG25" s="14">
        <v>83</v>
      </c>
      <c r="CH25" s="14">
        <v>84</v>
      </c>
      <c r="CI25" s="14">
        <v>85</v>
      </c>
      <c r="CJ25" s="14">
        <v>86</v>
      </c>
      <c r="CK25" s="14">
        <v>87</v>
      </c>
      <c r="CL25" s="14">
        <v>88</v>
      </c>
      <c r="CM25" s="14">
        <v>89</v>
      </c>
      <c r="CN25" s="14">
        <v>90</v>
      </c>
      <c r="CO25" s="14">
        <v>91</v>
      </c>
      <c r="CP25" s="14">
        <v>92</v>
      </c>
      <c r="CQ25" s="14">
        <v>93</v>
      </c>
      <c r="CR25" s="14">
        <v>94</v>
      </c>
      <c r="CS25" s="14">
        <v>95</v>
      </c>
      <c r="CT25" s="14">
        <v>96</v>
      </c>
      <c r="CU25" s="14">
        <v>97</v>
      </c>
      <c r="CV25" s="14">
        <v>98</v>
      </c>
      <c r="CW25" s="14">
        <v>99</v>
      </c>
      <c r="CX25" s="14">
        <v>100</v>
      </c>
      <c r="CY25" s="14">
        <v>101</v>
      </c>
      <c r="CZ25" s="14">
        <v>102</v>
      </c>
      <c r="DA25" s="14">
        <v>103</v>
      </c>
      <c r="DB25" s="14">
        <v>104</v>
      </c>
      <c r="DC25" s="14">
        <v>105</v>
      </c>
      <c r="DD25" s="14">
        <v>106</v>
      </c>
      <c r="DE25" s="14">
        <v>107</v>
      </c>
      <c r="DF25" s="14">
        <v>108</v>
      </c>
      <c r="DG25" s="14">
        <v>109</v>
      </c>
      <c r="DH25" s="14">
        <v>110</v>
      </c>
      <c r="DI25" s="14">
        <v>111</v>
      </c>
      <c r="DJ25" s="14">
        <v>112</v>
      </c>
      <c r="DK25" s="14">
        <v>113</v>
      </c>
      <c r="DL25" s="14">
        <v>114</v>
      </c>
      <c r="DM25" s="14">
        <v>115</v>
      </c>
      <c r="DN25" s="14">
        <v>116</v>
      </c>
      <c r="DO25" s="14">
        <v>117</v>
      </c>
      <c r="DP25" s="14">
        <v>118</v>
      </c>
      <c r="DQ25" s="14">
        <v>119</v>
      </c>
      <c r="DR25" s="14">
        <v>120</v>
      </c>
      <c r="DS25" s="14">
        <v>121</v>
      </c>
      <c r="DT25" s="14">
        <v>122</v>
      </c>
      <c r="DU25" s="14">
        <v>123</v>
      </c>
      <c r="DV25" s="14">
        <v>124</v>
      </c>
      <c r="DW25" s="14">
        <v>125</v>
      </c>
      <c r="DX25" s="14">
        <v>126</v>
      </c>
      <c r="DY25" s="14">
        <v>127</v>
      </c>
      <c r="DZ25" s="14">
        <v>128</v>
      </c>
      <c r="EA25" s="14">
        <v>129</v>
      </c>
      <c r="EB25" s="14">
        <v>130</v>
      </c>
      <c r="EC25" s="14">
        <v>131</v>
      </c>
      <c r="ED25" s="14">
        <v>132</v>
      </c>
      <c r="EE25" s="14">
        <v>133</v>
      </c>
      <c r="EF25" s="14">
        <v>134</v>
      </c>
      <c r="EG25" s="14">
        <v>135</v>
      </c>
      <c r="EH25" s="14">
        <v>136</v>
      </c>
      <c r="EI25" s="14">
        <v>137</v>
      </c>
      <c r="EJ25" s="14">
        <v>138</v>
      </c>
      <c r="EK25" s="14">
        <v>139</v>
      </c>
      <c r="EL25" s="14">
        <v>140</v>
      </c>
      <c r="EM25" s="14">
        <v>141</v>
      </c>
      <c r="EN25" s="14">
        <v>142</v>
      </c>
      <c r="EO25" s="14">
        <v>143</v>
      </c>
      <c r="EP25" s="14">
        <v>144</v>
      </c>
      <c r="EQ25" s="14">
        <v>145</v>
      </c>
      <c r="ER25" s="14">
        <v>146</v>
      </c>
      <c r="ES25" s="14">
        <v>147</v>
      </c>
      <c r="ET25" s="14">
        <v>148</v>
      </c>
      <c r="EU25" s="14">
        <v>149</v>
      </c>
      <c r="EV25" s="14">
        <v>150</v>
      </c>
      <c r="EW25" s="14">
        <v>151</v>
      </c>
      <c r="EX25" s="14">
        <v>152</v>
      </c>
      <c r="EY25" s="14">
        <v>153</v>
      </c>
      <c r="EZ25" s="14">
        <v>154</v>
      </c>
      <c r="FA25" s="14">
        <v>155</v>
      </c>
      <c r="FB25" s="14">
        <v>156</v>
      </c>
      <c r="FC25" s="14">
        <v>157</v>
      </c>
      <c r="FD25" s="14">
        <v>158</v>
      </c>
      <c r="FE25" s="14">
        <v>159</v>
      </c>
      <c r="FF25" s="14">
        <v>160</v>
      </c>
      <c r="FG25" s="14">
        <v>161</v>
      </c>
      <c r="FH25" s="14">
        <v>162</v>
      </c>
      <c r="FI25" s="14">
        <v>163</v>
      </c>
      <c r="FJ25" s="14">
        <v>164</v>
      </c>
      <c r="FK25" s="14">
        <v>165</v>
      </c>
      <c r="FL25" s="14">
        <v>166</v>
      </c>
      <c r="FM25" s="14">
        <v>167</v>
      </c>
      <c r="FN25" s="14">
        <v>168</v>
      </c>
      <c r="FO25" s="14">
        <v>169</v>
      </c>
      <c r="FP25" s="14">
        <v>170</v>
      </c>
      <c r="FQ25" s="14">
        <v>171</v>
      </c>
      <c r="FR25" s="14">
        <v>172</v>
      </c>
      <c r="FS25" s="14">
        <v>173</v>
      </c>
      <c r="FT25" s="14">
        <v>174</v>
      </c>
      <c r="FU25" s="14">
        <v>175</v>
      </c>
      <c r="FV25" s="14">
        <v>176</v>
      </c>
      <c r="FW25" s="14">
        <v>177</v>
      </c>
      <c r="FX25" s="14">
        <v>178</v>
      </c>
      <c r="FY25" s="14">
        <v>179</v>
      </c>
      <c r="FZ25" s="14">
        <v>180</v>
      </c>
      <c r="GA25" s="14">
        <v>181</v>
      </c>
      <c r="GB25" s="14">
        <v>182</v>
      </c>
      <c r="GC25" s="14">
        <v>183</v>
      </c>
      <c r="GD25" s="14">
        <v>184</v>
      </c>
      <c r="GE25" s="14">
        <v>185</v>
      </c>
      <c r="GF25" s="14">
        <v>186</v>
      </c>
      <c r="GG25" s="14">
        <v>187</v>
      </c>
      <c r="GH25" s="14">
        <v>188</v>
      </c>
      <c r="GI25" s="14">
        <v>189</v>
      </c>
      <c r="GJ25" s="14">
        <v>190</v>
      </c>
      <c r="GK25" s="14">
        <v>191</v>
      </c>
      <c r="GL25" s="14">
        <v>192</v>
      </c>
      <c r="GM25" s="14">
        <v>193</v>
      </c>
      <c r="GN25" s="14">
        <v>194</v>
      </c>
      <c r="GO25" s="14">
        <v>195</v>
      </c>
      <c r="GP25" s="14">
        <v>196</v>
      </c>
      <c r="GQ25" s="14">
        <v>197</v>
      </c>
      <c r="GR25" s="14">
        <v>198</v>
      </c>
      <c r="GS25" s="14">
        <v>199</v>
      </c>
      <c r="GT25" s="14">
        <v>200</v>
      </c>
      <c r="GU25" s="14"/>
    </row>
    <row r="26" spans="1:204" ht="13.5" customHeight="1" x14ac:dyDescent="0.2">
      <c r="A26" s="40" t="s">
        <v>18</v>
      </c>
      <c r="B26" s="83" t="s">
        <v>50</v>
      </c>
      <c r="C26" s="81">
        <f>C27+C28*(1+$A$5)</f>
        <v>43.575000000000003</v>
      </c>
      <c r="D26" s="81">
        <f>D27+D28*(1+$A$5)</f>
        <v>125.15</v>
      </c>
      <c r="E26" s="81">
        <f t="shared" ref="E26:BO26" si="0">E27+E28*(1+$A$5)</f>
        <v>125.15</v>
      </c>
      <c r="F26" s="81">
        <f t="shared" si="0"/>
        <v>125.15</v>
      </c>
      <c r="G26" s="81">
        <f t="shared" si="0"/>
        <v>125.15</v>
      </c>
      <c r="H26" s="81">
        <f t="shared" si="0"/>
        <v>125.15</v>
      </c>
      <c r="I26" s="81">
        <f t="shared" si="0"/>
        <v>125.15</v>
      </c>
      <c r="J26" s="81">
        <f t="shared" ref="J26:K26" si="1">J27+J28*(1+$A$5)</f>
        <v>125.15</v>
      </c>
      <c r="K26" s="81">
        <f t="shared" si="1"/>
        <v>125.15</v>
      </c>
      <c r="L26" s="81">
        <f t="shared" si="0"/>
        <v>125.15</v>
      </c>
      <c r="M26" s="81">
        <f t="shared" si="0"/>
        <v>125.15</v>
      </c>
      <c r="N26" s="81">
        <f t="shared" si="0"/>
        <v>125.15</v>
      </c>
      <c r="O26" s="81">
        <f t="shared" si="0"/>
        <v>125.15</v>
      </c>
      <c r="P26" s="81">
        <f t="shared" si="0"/>
        <v>125.15</v>
      </c>
      <c r="Q26" s="81">
        <f t="shared" si="0"/>
        <v>125.15</v>
      </c>
      <c r="R26" s="81">
        <f t="shared" si="0"/>
        <v>125.15</v>
      </c>
      <c r="S26" s="81">
        <f t="shared" si="0"/>
        <v>125.15</v>
      </c>
      <c r="T26" s="81">
        <f t="shared" si="0"/>
        <v>125.15</v>
      </c>
      <c r="U26" s="81">
        <f t="shared" si="0"/>
        <v>125.15</v>
      </c>
      <c r="V26" s="81">
        <f t="shared" si="0"/>
        <v>125.15</v>
      </c>
      <c r="W26" s="81">
        <f t="shared" si="0"/>
        <v>125.15</v>
      </c>
      <c r="X26" s="81">
        <f t="shared" si="0"/>
        <v>125.15</v>
      </c>
      <c r="Y26" s="81">
        <f t="shared" si="0"/>
        <v>125.15</v>
      </c>
      <c r="Z26" s="81">
        <f t="shared" si="0"/>
        <v>125.15</v>
      </c>
      <c r="AA26" s="81">
        <f t="shared" si="0"/>
        <v>125.15</v>
      </c>
      <c r="AB26" s="81">
        <f t="shared" si="0"/>
        <v>125.15</v>
      </c>
      <c r="AC26" s="81">
        <f t="shared" si="0"/>
        <v>125.15</v>
      </c>
      <c r="AD26" s="81">
        <f t="shared" si="0"/>
        <v>125.15</v>
      </c>
      <c r="AE26" s="81">
        <f t="shared" si="0"/>
        <v>125.15</v>
      </c>
      <c r="AF26" s="81">
        <f t="shared" si="0"/>
        <v>125.15</v>
      </c>
      <c r="AG26" s="81">
        <f t="shared" si="0"/>
        <v>125.15</v>
      </c>
      <c r="AH26" s="81">
        <f t="shared" si="0"/>
        <v>125.15</v>
      </c>
      <c r="AI26" s="81">
        <f t="shared" si="0"/>
        <v>125.15</v>
      </c>
      <c r="AJ26" s="81">
        <f t="shared" si="0"/>
        <v>125.15</v>
      </c>
      <c r="AK26" s="81">
        <f t="shared" si="0"/>
        <v>125.15</v>
      </c>
      <c r="AL26" s="81">
        <f t="shared" si="0"/>
        <v>125.15</v>
      </c>
      <c r="AM26" s="81">
        <f t="shared" si="0"/>
        <v>125.15</v>
      </c>
      <c r="AN26" s="81">
        <f t="shared" si="0"/>
        <v>125.15</v>
      </c>
      <c r="AO26" s="81">
        <f t="shared" si="0"/>
        <v>125.15</v>
      </c>
      <c r="AP26" s="81">
        <f t="shared" si="0"/>
        <v>125.15</v>
      </c>
      <c r="AQ26" s="81">
        <f t="shared" si="0"/>
        <v>125.15</v>
      </c>
      <c r="AR26" s="81">
        <f t="shared" si="0"/>
        <v>125.15</v>
      </c>
      <c r="AS26" s="81">
        <f t="shared" si="0"/>
        <v>125.15</v>
      </c>
      <c r="AT26" s="81">
        <f t="shared" si="0"/>
        <v>125.15</v>
      </c>
      <c r="AU26" s="81">
        <f t="shared" si="0"/>
        <v>125.15</v>
      </c>
      <c r="AV26" s="81">
        <f t="shared" si="0"/>
        <v>125.15</v>
      </c>
      <c r="AW26" s="81">
        <f t="shared" si="0"/>
        <v>125.15</v>
      </c>
      <c r="AX26" s="81">
        <f t="shared" si="0"/>
        <v>125.15</v>
      </c>
      <c r="AY26" s="81">
        <f t="shared" si="0"/>
        <v>125.15</v>
      </c>
      <c r="AZ26" s="81">
        <f t="shared" si="0"/>
        <v>125.15</v>
      </c>
      <c r="BA26" s="81">
        <f t="shared" si="0"/>
        <v>125.15</v>
      </c>
      <c r="BB26" s="81">
        <f t="shared" si="0"/>
        <v>125.15</v>
      </c>
      <c r="BC26" s="81">
        <f t="shared" si="0"/>
        <v>125.15</v>
      </c>
      <c r="BD26" s="81">
        <f t="shared" si="0"/>
        <v>125.15</v>
      </c>
      <c r="BE26" s="81">
        <f t="shared" si="0"/>
        <v>125.15</v>
      </c>
      <c r="BF26" s="81">
        <f t="shared" si="0"/>
        <v>125.15</v>
      </c>
      <c r="BG26" s="81">
        <f t="shared" si="0"/>
        <v>125.15</v>
      </c>
      <c r="BH26" s="81">
        <f t="shared" si="0"/>
        <v>125.15</v>
      </c>
      <c r="BI26" s="81">
        <f t="shared" si="0"/>
        <v>125.15</v>
      </c>
      <c r="BJ26" s="81">
        <f t="shared" si="0"/>
        <v>125.15</v>
      </c>
      <c r="BK26" s="81">
        <f t="shared" si="0"/>
        <v>125.15</v>
      </c>
      <c r="BL26" s="81">
        <f t="shared" si="0"/>
        <v>125.15</v>
      </c>
      <c r="BM26" s="81">
        <f t="shared" si="0"/>
        <v>125.15</v>
      </c>
      <c r="BN26" s="81">
        <f t="shared" si="0"/>
        <v>125.15</v>
      </c>
      <c r="BO26" s="81">
        <f t="shared" si="0"/>
        <v>125.15</v>
      </c>
      <c r="BP26" s="81">
        <f t="shared" ref="BP26:EA26" si="2">BP27+BP28*(1+$A$5)</f>
        <v>125.15</v>
      </c>
      <c r="BQ26" s="81">
        <f t="shared" si="2"/>
        <v>125.15</v>
      </c>
      <c r="BR26" s="81">
        <f t="shared" si="2"/>
        <v>125.15</v>
      </c>
      <c r="BS26" s="81">
        <f t="shared" si="2"/>
        <v>125.15</v>
      </c>
      <c r="BT26" s="81">
        <f t="shared" si="2"/>
        <v>125.15</v>
      </c>
      <c r="BU26" s="81">
        <f t="shared" si="2"/>
        <v>125.15</v>
      </c>
      <c r="BV26" s="81">
        <f t="shared" si="2"/>
        <v>125.15</v>
      </c>
      <c r="BW26" s="81">
        <f t="shared" si="2"/>
        <v>125.15</v>
      </c>
      <c r="BX26" s="81">
        <f t="shared" si="2"/>
        <v>125.15</v>
      </c>
      <c r="BY26" s="81">
        <f t="shared" si="2"/>
        <v>125.15</v>
      </c>
      <c r="BZ26" s="81">
        <f t="shared" si="2"/>
        <v>125.15</v>
      </c>
      <c r="CA26" s="81">
        <f t="shared" si="2"/>
        <v>125.15</v>
      </c>
      <c r="CB26" s="81">
        <f t="shared" si="2"/>
        <v>125.15</v>
      </c>
      <c r="CC26" s="81">
        <f t="shared" si="2"/>
        <v>125.15</v>
      </c>
      <c r="CD26" s="81">
        <f t="shared" si="2"/>
        <v>125.15</v>
      </c>
      <c r="CE26" s="81">
        <f t="shared" si="2"/>
        <v>125.15</v>
      </c>
      <c r="CF26" s="81">
        <f t="shared" si="2"/>
        <v>125.15</v>
      </c>
      <c r="CG26" s="81">
        <f t="shared" si="2"/>
        <v>125.15</v>
      </c>
      <c r="CH26" s="81">
        <f t="shared" si="2"/>
        <v>125.15</v>
      </c>
      <c r="CI26" s="81">
        <f t="shared" si="2"/>
        <v>125.15</v>
      </c>
      <c r="CJ26" s="81">
        <f t="shared" si="2"/>
        <v>125.15</v>
      </c>
      <c r="CK26" s="81">
        <f t="shared" si="2"/>
        <v>125.15</v>
      </c>
      <c r="CL26" s="81">
        <f t="shared" si="2"/>
        <v>125.15</v>
      </c>
      <c r="CM26" s="81">
        <f t="shared" si="2"/>
        <v>125.15</v>
      </c>
      <c r="CN26" s="81">
        <f t="shared" si="2"/>
        <v>125.15</v>
      </c>
      <c r="CO26" s="81">
        <f t="shared" si="2"/>
        <v>125.15</v>
      </c>
      <c r="CP26" s="81">
        <f t="shared" si="2"/>
        <v>125.15</v>
      </c>
      <c r="CQ26" s="81">
        <f t="shared" si="2"/>
        <v>125.15</v>
      </c>
      <c r="CR26" s="81">
        <f t="shared" si="2"/>
        <v>125.15</v>
      </c>
      <c r="CS26" s="81">
        <f t="shared" si="2"/>
        <v>125.15</v>
      </c>
      <c r="CT26" s="81">
        <f t="shared" si="2"/>
        <v>125.15</v>
      </c>
      <c r="CU26" s="81">
        <f t="shared" si="2"/>
        <v>125.15</v>
      </c>
      <c r="CV26" s="81">
        <f t="shared" si="2"/>
        <v>125.15</v>
      </c>
      <c r="CW26" s="81">
        <f t="shared" si="2"/>
        <v>125.15</v>
      </c>
      <c r="CX26" s="81">
        <f t="shared" si="2"/>
        <v>125.15</v>
      </c>
      <c r="CY26" s="81">
        <f t="shared" si="2"/>
        <v>125.15</v>
      </c>
      <c r="CZ26" s="81">
        <f t="shared" si="2"/>
        <v>125.15</v>
      </c>
      <c r="DA26" s="81">
        <f t="shared" si="2"/>
        <v>125.15</v>
      </c>
      <c r="DB26" s="81">
        <f t="shared" si="2"/>
        <v>125.15</v>
      </c>
      <c r="DC26" s="81">
        <f t="shared" si="2"/>
        <v>125.15</v>
      </c>
      <c r="DD26" s="81">
        <f t="shared" si="2"/>
        <v>125.15</v>
      </c>
      <c r="DE26" s="81">
        <f t="shared" si="2"/>
        <v>125.15</v>
      </c>
      <c r="DF26" s="81">
        <f t="shared" si="2"/>
        <v>125.15</v>
      </c>
      <c r="DG26" s="81">
        <f t="shared" si="2"/>
        <v>125.15</v>
      </c>
      <c r="DH26" s="81">
        <f t="shared" si="2"/>
        <v>125.15</v>
      </c>
      <c r="DI26" s="81">
        <f t="shared" si="2"/>
        <v>125.15</v>
      </c>
      <c r="DJ26" s="81">
        <f t="shared" si="2"/>
        <v>125.15</v>
      </c>
      <c r="DK26" s="81">
        <f t="shared" si="2"/>
        <v>125.15</v>
      </c>
      <c r="DL26" s="81">
        <f t="shared" si="2"/>
        <v>125.15</v>
      </c>
      <c r="DM26" s="81">
        <f t="shared" si="2"/>
        <v>125.15</v>
      </c>
      <c r="DN26" s="81">
        <f t="shared" si="2"/>
        <v>125.15</v>
      </c>
      <c r="DO26" s="81">
        <f t="shared" si="2"/>
        <v>125.15</v>
      </c>
      <c r="DP26" s="81">
        <f t="shared" si="2"/>
        <v>125.15</v>
      </c>
      <c r="DQ26" s="81">
        <f t="shared" si="2"/>
        <v>125.15</v>
      </c>
      <c r="DR26" s="81">
        <f t="shared" si="2"/>
        <v>125.15</v>
      </c>
      <c r="DS26" s="81">
        <f t="shared" si="2"/>
        <v>125.15</v>
      </c>
      <c r="DT26" s="81">
        <f t="shared" si="2"/>
        <v>125.15</v>
      </c>
      <c r="DU26" s="81">
        <f t="shared" si="2"/>
        <v>125.15</v>
      </c>
      <c r="DV26" s="81">
        <f t="shared" si="2"/>
        <v>125.15</v>
      </c>
      <c r="DW26" s="81">
        <f t="shared" si="2"/>
        <v>125.15</v>
      </c>
      <c r="DX26" s="81">
        <f t="shared" si="2"/>
        <v>125.15</v>
      </c>
      <c r="DY26" s="81">
        <f t="shared" si="2"/>
        <v>125.15</v>
      </c>
      <c r="DZ26" s="81">
        <f t="shared" si="2"/>
        <v>125.15</v>
      </c>
      <c r="EA26" s="81">
        <f t="shared" si="2"/>
        <v>125.15</v>
      </c>
      <c r="EB26" s="81">
        <f t="shared" ref="EB26:GM26" si="3">EB27+EB28*(1+$A$5)</f>
        <v>125.15</v>
      </c>
      <c r="EC26" s="81">
        <f t="shared" si="3"/>
        <v>125.15</v>
      </c>
      <c r="ED26" s="81">
        <f t="shared" si="3"/>
        <v>125.15</v>
      </c>
      <c r="EE26" s="81">
        <f t="shared" si="3"/>
        <v>125.15</v>
      </c>
      <c r="EF26" s="81">
        <f t="shared" si="3"/>
        <v>125.15</v>
      </c>
      <c r="EG26" s="81">
        <f t="shared" si="3"/>
        <v>125.15</v>
      </c>
      <c r="EH26" s="81">
        <f t="shared" si="3"/>
        <v>125.15</v>
      </c>
      <c r="EI26" s="81">
        <f t="shared" si="3"/>
        <v>125.15</v>
      </c>
      <c r="EJ26" s="81">
        <f t="shared" si="3"/>
        <v>125.15</v>
      </c>
      <c r="EK26" s="81">
        <f t="shared" si="3"/>
        <v>125.15</v>
      </c>
      <c r="EL26" s="81">
        <f t="shared" si="3"/>
        <v>125.15</v>
      </c>
      <c r="EM26" s="81">
        <f t="shared" si="3"/>
        <v>125.15</v>
      </c>
      <c r="EN26" s="81">
        <f t="shared" si="3"/>
        <v>125.15</v>
      </c>
      <c r="EO26" s="81">
        <f t="shared" si="3"/>
        <v>125.15</v>
      </c>
      <c r="EP26" s="81">
        <f t="shared" si="3"/>
        <v>125.15</v>
      </c>
      <c r="EQ26" s="81">
        <f t="shared" si="3"/>
        <v>125.15</v>
      </c>
      <c r="ER26" s="81">
        <f t="shared" si="3"/>
        <v>125.15</v>
      </c>
      <c r="ES26" s="81">
        <f t="shared" si="3"/>
        <v>125.15</v>
      </c>
      <c r="ET26" s="81">
        <f t="shared" si="3"/>
        <v>125.15</v>
      </c>
      <c r="EU26" s="81">
        <f t="shared" si="3"/>
        <v>125.15</v>
      </c>
      <c r="EV26" s="81">
        <f t="shared" si="3"/>
        <v>125.15</v>
      </c>
      <c r="EW26" s="81">
        <f t="shared" si="3"/>
        <v>125.15</v>
      </c>
      <c r="EX26" s="81">
        <f t="shared" si="3"/>
        <v>125.15</v>
      </c>
      <c r="EY26" s="81">
        <f t="shared" si="3"/>
        <v>125.15</v>
      </c>
      <c r="EZ26" s="81">
        <f t="shared" si="3"/>
        <v>125.15</v>
      </c>
      <c r="FA26" s="81">
        <f t="shared" si="3"/>
        <v>125.15</v>
      </c>
      <c r="FB26" s="81">
        <f t="shared" si="3"/>
        <v>125.15</v>
      </c>
      <c r="FC26" s="81">
        <f t="shared" si="3"/>
        <v>125.15</v>
      </c>
      <c r="FD26" s="81">
        <f t="shared" si="3"/>
        <v>125.15</v>
      </c>
      <c r="FE26" s="81">
        <f t="shared" si="3"/>
        <v>125.15</v>
      </c>
      <c r="FF26" s="81">
        <f t="shared" si="3"/>
        <v>125.15</v>
      </c>
      <c r="FG26" s="81">
        <f t="shared" si="3"/>
        <v>125.15</v>
      </c>
      <c r="FH26" s="81">
        <f t="shared" si="3"/>
        <v>125.15</v>
      </c>
      <c r="FI26" s="81">
        <f t="shared" si="3"/>
        <v>125.15</v>
      </c>
      <c r="FJ26" s="81">
        <f t="shared" si="3"/>
        <v>125.15</v>
      </c>
      <c r="FK26" s="81">
        <f t="shared" si="3"/>
        <v>125.15</v>
      </c>
      <c r="FL26" s="81">
        <f t="shared" si="3"/>
        <v>125.15</v>
      </c>
      <c r="FM26" s="81">
        <f t="shared" si="3"/>
        <v>125.15</v>
      </c>
      <c r="FN26" s="81">
        <f t="shared" si="3"/>
        <v>125.15</v>
      </c>
      <c r="FO26" s="81">
        <f t="shared" si="3"/>
        <v>125.15</v>
      </c>
      <c r="FP26" s="81">
        <f t="shared" si="3"/>
        <v>125.15</v>
      </c>
      <c r="FQ26" s="81">
        <f t="shared" si="3"/>
        <v>125.15</v>
      </c>
      <c r="FR26" s="81">
        <f t="shared" si="3"/>
        <v>125.15</v>
      </c>
      <c r="FS26" s="81">
        <f t="shared" si="3"/>
        <v>125.15</v>
      </c>
      <c r="FT26" s="81">
        <f t="shared" si="3"/>
        <v>125.15</v>
      </c>
      <c r="FU26" s="81">
        <f t="shared" si="3"/>
        <v>125.15</v>
      </c>
      <c r="FV26" s="81">
        <f t="shared" si="3"/>
        <v>125.15</v>
      </c>
      <c r="FW26" s="81">
        <f t="shared" si="3"/>
        <v>125.15</v>
      </c>
      <c r="FX26" s="81">
        <f t="shared" si="3"/>
        <v>125.15</v>
      </c>
      <c r="FY26" s="81">
        <f t="shared" si="3"/>
        <v>125.15</v>
      </c>
      <c r="FZ26" s="81">
        <f t="shared" si="3"/>
        <v>125.15</v>
      </c>
      <c r="GA26" s="81">
        <f t="shared" si="3"/>
        <v>125.15</v>
      </c>
      <c r="GB26" s="81">
        <f t="shared" si="3"/>
        <v>125.15</v>
      </c>
      <c r="GC26" s="81">
        <f t="shared" si="3"/>
        <v>125.15</v>
      </c>
      <c r="GD26" s="81">
        <f t="shared" si="3"/>
        <v>125.15</v>
      </c>
      <c r="GE26" s="81">
        <f t="shared" si="3"/>
        <v>125.15</v>
      </c>
      <c r="GF26" s="81">
        <f t="shared" si="3"/>
        <v>125.15</v>
      </c>
      <c r="GG26" s="81">
        <f t="shared" si="3"/>
        <v>125.15</v>
      </c>
      <c r="GH26" s="81">
        <f t="shared" si="3"/>
        <v>125.15</v>
      </c>
      <c r="GI26" s="81">
        <f t="shared" si="3"/>
        <v>125.15</v>
      </c>
      <c r="GJ26" s="81">
        <f t="shared" si="3"/>
        <v>125.15</v>
      </c>
      <c r="GK26" s="81">
        <f t="shared" si="3"/>
        <v>125.15</v>
      </c>
      <c r="GL26" s="81">
        <f t="shared" si="3"/>
        <v>125.15</v>
      </c>
      <c r="GM26" s="81">
        <f t="shared" si="3"/>
        <v>125.15</v>
      </c>
      <c r="GN26" s="81">
        <f t="shared" ref="GN26:GT26" si="4">GN27+GN28*(1+$A$5)</f>
        <v>125.15</v>
      </c>
      <c r="GO26" s="81">
        <f t="shared" si="4"/>
        <v>125.15</v>
      </c>
      <c r="GP26" s="81">
        <f t="shared" si="4"/>
        <v>125.15</v>
      </c>
      <c r="GQ26" s="81">
        <f t="shared" si="4"/>
        <v>125.15</v>
      </c>
      <c r="GR26" s="81">
        <f t="shared" si="4"/>
        <v>125.15</v>
      </c>
      <c r="GS26" s="81">
        <f t="shared" si="4"/>
        <v>125.15</v>
      </c>
      <c r="GT26" s="81">
        <f t="shared" si="4"/>
        <v>125.15</v>
      </c>
      <c r="GU26" s="81"/>
      <c r="GV26" s="15"/>
    </row>
    <row r="27" spans="1:204" ht="13.5" customHeight="1" x14ac:dyDescent="0.2">
      <c r="A27" s="40" t="s">
        <v>39</v>
      </c>
      <c r="B27" s="82">
        <v>110</v>
      </c>
      <c r="C27" s="89">
        <v>36</v>
      </c>
      <c r="D27" s="15">
        <f t="shared" ref="D27:J29" si="5">$B27</f>
        <v>110</v>
      </c>
      <c r="E27" s="15">
        <f t="shared" si="5"/>
        <v>110</v>
      </c>
      <c r="F27" s="15">
        <f t="shared" si="5"/>
        <v>110</v>
      </c>
      <c r="G27" s="15">
        <f t="shared" si="5"/>
        <v>110</v>
      </c>
      <c r="H27" s="15">
        <f t="shared" si="5"/>
        <v>110</v>
      </c>
      <c r="I27" s="15">
        <f t="shared" si="5"/>
        <v>110</v>
      </c>
      <c r="J27" s="15">
        <f>$B27</f>
        <v>110</v>
      </c>
      <c r="K27" s="15">
        <f t="shared" ref="K27:BV29" si="6">$B27</f>
        <v>110</v>
      </c>
      <c r="L27" s="15">
        <f t="shared" si="6"/>
        <v>110</v>
      </c>
      <c r="M27" s="15">
        <f t="shared" si="6"/>
        <v>110</v>
      </c>
      <c r="N27" s="15">
        <f t="shared" si="6"/>
        <v>110</v>
      </c>
      <c r="O27" s="15">
        <f t="shared" si="6"/>
        <v>110</v>
      </c>
      <c r="P27" s="15">
        <f t="shared" si="6"/>
        <v>110</v>
      </c>
      <c r="Q27" s="15">
        <f t="shared" si="6"/>
        <v>110</v>
      </c>
      <c r="R27" s="15">
        <f t="shared" si="6"/>
        <v>110</v>
      </c>
      <c r="S27" s="15">
        <f t="shared" si="6"/>
        <v>110</v>
      </c>
      <c r="T27" s="15">
        <f t="shared" si="6"/>
        <v>110</v>
      </c>
      <c r="U27" s="15">
        <f t="shared" si="6"/>
        <v>110</v>
      </c>
      <c r="V27" s="15">
        <f t="shared" si="6"/>
        <v>110</v>
      </c>
      <c r="W27" s="15">
        <f t="shared" si="6"/>
        <v>110</v>
      </c>
      <c r="X27" s="15">
        <f t="shared" si="6"/>
        <v>110</v>
      </c>
      <c r="Y27" s="15">
        <f t="shared" si="6"/>
        <v>110</v>
      </c>
      <c r="Z27" s="15">
        <f t="shared" si="6"/>
        <v>110</v>
      </c>
      <c r="AA27" s="15">
        <f t="shared" si="6"/>
        <v>110</v>
      </c>
      <c r="AB27" s="15">
        <f t="shared" si="6"/>
        <v>110</v>
      </c>
      <c r="AC27" s="15">
        <f t="shared" si="6"/>
        <v>110</v>
      </c>
      <c r="AD27" s="15">
        <f t="shared" si="6"/>
        <v>110</v>
      </c>
      <c r="AE27" s="15">
        <f t="shared" si="6"/>
        <v>110</v>
      </c>
      <c r="AF27" s="15">
        <f t="shared" si="6"/>
        <v>110</v>
      </c>
      <c r="AG27" s="15">
        <f t="shared" si="6"/>
        <v>110</v>
      </c>
      <c r="AH27" s="15">
        <f t="shared" si="6"/>
        <v>110</v>
      </c>
      <c r="AI27" s="15">
        <f t="shared" si="6"/>
        <v>110</v>
      </c>
      <c r="AJ27" s="15">
        <f t="shared" si="6"/>
        <v>110</v>
      </c>
      <c r="AK27" s="15">
        <f t="shared" si="6"/>
        <v>110</v>
      </c>
      <c r="AL27" s="15">
        <f t="shared" si="6"/>
        <v>110</v>
      </c>
      <c r="AM27" s="15">
        <f t="shared" si="6"/>
        <v>110</v>
      </c>
      <c r="AN27" s="15">
        <f t="shared" si="6"/>
        <v>110</v>
      </c>
      <c r="AO27" s="15">
        <f t="shared" si="6"/>
        <v>110</v>
      </c>
      <c r="AP27" s="15">
        <f t="shared" si="6"/>
        <v>110</v>
      </c>
      <c r="AQ27" s="15">
        <f t="shared" si="6"/>
        <v>110</v>
      </c>
      <c r="AR27" s="15">
        <f t="shared" si="6"/>
        <v>110</v>
      </c>
      <c r="AS27" s="15">
        <f t="shared" si="6"/>
        <v>110</v>
      </c>
      <c r="AT27" s="15">
        <f t="shared" si="6"/>
        <v>110</v>
      </c>
      <c r="AU27" s="15">
        <f t="shared" si="6"/>
        <v>110</v>
      </c>
      <c r="AV27" s="15">
        <f t="shared" si="6"/>
        <v>110</v>
      </c>
      <c r="AW27" s="15">
        <f t="shared" si="6"/>
        <v>110</v>
      </c>
      <c r="AX27" s="15">
        <f t="shared" si="6"/>
        <v>110</v>
      </c>
      <c r="AY27" s="15">
        <f t="shared" si="6"/>
        <v>110</v>
      </c>
      <c r="AZ27" s="15">
        <f t="shared" si="6"/>
        <v>110</v>
      </c>
      <c r="BA27" s="15">
        <f t="shared" si="6"/>
        <v>110</v>
      </c>
      <c r="BB27" s="15">
        <f t="shared" si="6"/>
        <v>110</v>
      </c>
      <c r="BC27" s="15">
        <f t="shared" si="6"/>
        <v>110</v>
      </c>
      <c r="BD27" s="15">
        <f t="shared" si="6"/>
        <v>110</v>
      </c>
      <c r="BE27" s="15">
        <f t="shared" si="6"/>
        <v>110</v>
      </c>
      <c r="BF27" s="15">
        <f t="shared" si="6"/>
        <v>110</v>
      </c>
      <c r="BG27" s="15">
        <f t="shared" si="6"/>
        <v>110</v>
      </c>
      <c r="BH27" s="15">
        <f t="shared" si="6"/>
        <v>110</v>
      </c>
      <c r="BI27" s="15">
        <f t="shared" si="6"/>
        <v>110</v>
      </c>
      <c r="BJ27" s="15">
        <f t="shared" si="6"/>
        <v>110</v>
      </c>
      <c r="BK27" s="15">
        <f t="shared" si="6"/>
        <v>110</v>
      </c>
      <c r="BL27" s="15">
        <f t="shared" si="6"/>
        <v>110</v>
      </c>
      <c r="BM27" s="15">
        <f t="shared" si="6"/>
        <v>110</v>
      </c>
      <c r="BN27" s="15">
        <f t="shared" si="6"/>
        <v>110</v>
      </c>
      <c r="BO27" s="15">
        <f t="shared" si="6"/>
        <v>110</v>
      </c>
      <c r="BP27" s="15">
        <f t="shared" si="6"/>
        <v>110</v>
      </c>
      <c r="BQ27" s="15">
        <f t="shared" si="6"/>
        <v>110</v>
      </c>
      <c r="BR27" s="15">
        <f t="shared" si="6"/>
        <v>110</v>
      </c>
      <c r="BS27" s="15">
        <f t="shared" si="6"/>
        <v>110</v>
      </c>
      <c r="BT27" s="15">
        <f t="shared" si="6"/>
        <v>110</v>
      </c>
      <c r="BU27" s="15">
        <f t="shared" si="6"/>
        <v>110</v>
      </c>
      <c r="BV27" s="15">
        <f t="shared" si="6"/>
        <v>110</v>
      </c>
      <c r="BW27" s="15">
        <f t="shared" ref="BW27:EH29" si="7">$B27</f>
        <v>110</v>
      </c>
      <c r="BX27" s="15">
        <f t="shared" si="7"/>
        <v>110</v>
      </c>
      <c r="BY27" s="15">
        <f t="shared" si="7"/>
        <v>110</v>
      </c>
      <c r="BZ27" s="15">
        <f t="shared" si="7"/>
        <v>110</v>
      </c>
      <c r="CA27" s="15">
        <f t="shared" si="7"/>
        <v>110</v>
      </c>
      <c r="CB27" s="15">
        <f t="shared" si="7"/>
        <v>110</v>
      </c>
      <c r="CC27" s="15">
        <f t="shared" si="7"/>
        <v>110</v>
      </c>
      <c r="CD27" s="15">
        <f t="shared" si="7"/>
        <v>110</v>
      </c>
      <c r="CE27" s="15">
        <f t="shared" si="7"/>
        <v>110</v>
      </c>
      <c r="CF27" s="15">
        <f t="shared" si="7"/>
        <v>110</v>
      </c>
      <c r="CG27" s="15">
        <f t="shared" si="7"/>
        <v>110</v>
      </c>
      <c r="CH27" s="15">
        <f t="shared" si="7"/>
        <v>110</v>
      </c>
      <c r="CI27" s="15">
        <f t="shared" si="7"/>
        <v>110</v>
      </c>
      <c r="CJ27" s="15">
        <f t="shared" si="7"/>
        <v>110</v>
      </c>
      <c r="CK27" s="15">
        <f t="shared" si="7"/>
        <v>110</v>
      </c>
      <c r="CL27" s="15">
        <f t="shared" si="7"/>
        <v>110</v>
      </c>
      <c r="CM27" s="15">
        <f t="shared" si="7"/>
        <v>110</v>
      </c>
      <c r="CN27" s="15">
        <f t="shared" si="7"/>
        <v>110</v>
      </c>
      <c r="CO27" s="15">
        <f t="shared" si="7"/>
        <v>110</v>
      </c>
      <c r="CP27" s="15">
        <f t="shared" si="7"/>
        <v>110</v>
      </c>
      <c r="CQ27" s="15">
        <f t="shared" si="7"/>
        <v>110</v>
      </c>
      <c r="CR27" s="15">
        <f t="shared" si="7"/>
        <v>110</v>
      </c>
      <c r="CS27" s="15">
        <f t="shared" si="7"/>
        <v>110</v>
      </c>
      <c r="CT27" s="15">
        <f t="shared" si="7"/>
        <v>110</v>
      </c>
      <c r="CU27" s="15">
        <f t="shared" si="7"/>
        <v>110</v>
      </c>
      <c r="CV27" s="15">
        <f t="shared" si="7"/>
        <v>110</v>
      </c>
      <c r="CW27" s="15">
        <f t="shared" si="7"/>
        <v>110</v>
      </c>
      <c r="CX27" s="15">
        <f t="shared" si="7"/>
        <v>110</v>
      </c>
      <c r="CY27" s="15">
        <f t="shared" si="7"/>
        <v>110</v>
      </c>
      <c r="CZ27" s="15">
        <f t="shared" si="7"/>
        <v>110</v>
      </c>
      <c r="DA27" s="15">
        <f t="shared" si="7"/>
        <v>110</v>
      </c>
      <c r="DB27" s="15">
        <f t="shared" si="7"/>
        <v>110</v>
      </c>
      <c r="DC27" s="15">
        <f t="shared" si="7"/>
        <v>110</v>
      </c>
      <c r="DD27" s="15">
        <f t="shared" si="7"/>
        <v>110</v>
      </c>
      <c r="DE27" s="15">
        <f t="shared" si="7"/>
        <v>110</v>
      </c>
      <c r="DF27" s="15">
        <f t="shared" si="7"/>
        <v>110</v>
      </c>
      <c r="DG27" s="15">
        <f t="shared" si="7"/>
        <v>110</v>
      </c>
      <c r="DH27" s="15">
        <f t="shared" si="7"/>
        <v>110</v>
      </c>
      <c r="DI27" s="15">
        <f t="shared" si="7"/>
        <v>110</v>
      </c>
      <c r="DJ27" s="15">
        <f t="shared" si="7"/>
        <v>110</v>
      </c>
      <c r="DK27" s="15">
        <f t="shared" si="7"/>
        <v>110</v>
      </c>
      <c r="DL27" s="15">
        <f t="shared" si="7"/>
        <v>110</v>
      </c>
      <c r="DM27" s="15">
        <f t="shared" si="7"/>
        <v>110</v>
      </c>
      <c r="DN27" s="15">
        <f t="shared" si="7"/>
        <v>110</v>
      </c>
      <c r="DO27" s="15">
        <f t="shared" si="7"/>
        <v>110</v>
      </c>
      <c r="DP27" s="15">
        <f t="shared" si="7"/>
        <v>110</v>
      </c>
      <c r="DQ27" s="15">
        <f t="shared" si="7"/>
        <v>110</v>
      </c>
      <c r="DR27" s="15">
        <f t="shared" si="7"/>
        <v>110</v>
      </c>
      <c r="DS27" s="15">
        <f t="shared" si="7"/>
        <v>110</v>
      </c>
      <c r="DT27" s="15">
        <f t="shared" si="7"/>
        <v>110</v>
      </c>
      <c r="DU27" s="15">
        <f t="shared" si="7"/>
        <v>110</v>
      </c>
      <c r="DV27" s="15">
        <f t="shared" si="7"/>
        <v>110</v>
      </c>
      <c r="DW27" s="15">
        <f t="shared" si="7"/>
        <v>110</v>
      </c>
      <c r="DX27" s="15">
        <f t="shared" si="7"/>
        <v>110</v>
      </c>
      <c r="DY27" s="15">
        <f t="shared" si="7"/>
        <v>110</v>
      </c>
      <c r="DZ27" s="15">
        <f t="shared" si="7"/>
        <v>110</v>
      </c>
      <c r="EA27" s="15">
        <f t="shared" si="7"/>
        <v>110</v>
      </c>
      <c r="EB27" s="15">
        <f t="shared" si="7"/>
        <v>110</v>
      </c>
      <c r="EC27" s="15">
        <f t="shared" si="7"/>
        <v>110</v>
      </c>
      <c r="ED27" s="15">
        <f t="shared" si="7"/>
        <v>110</v>
      </c>
      <c r="EE27" s="15">
        <f t="shared" si="7"/>
        <v>110</v>
      </c>
      <c r="EF27" s="15">
        <f t="shared" si="7"/>
        <v>110</v>
      </c>
      <c r="EG27" s="15">
        <f t="shared" si="7"/>
        <v>110</v>
      </c>
      <c r="EH27" s="15">
        <f t="shared" si="7"/>
        <v>110</v>
      </c>
      <c r="EI27" s="15">
        <f t="shared" ref="EI27:GT29" si="8">$B27</f>
        <v>110</v>
      </c>
      <c r="EJ27" s="15">
        <f t="shared" si="8"/>
        <v>110</v>
      </c>
      <c r="EK27" s="15">
        <f t="shared" si="8"/>
        <v>110</v>
      </c>
      <c r="EL27" s="15">
        <f t="shared" si="8"/>
        <v>110</v>
      </c>
      <c r="EM27" s="15">
        <f t="shared" si="8"/>
        <v>110</v>
      </c>
      <c r="EN27" s="15">
        <f t="shared" si="8"/>
        <v>110</v>
      </c>
      <c r="EO27" s="15">
        <f t="shared" si="8"/>
        <v>110</v>
      </c>
      <c r="EP27" s="15">
        <f t="shared" si="8"/>
        <v>110</v>
      </c>
      <c r="EQ27" s="15">
        <f t="shared" si="8"/>
        <v>110</v>
      </c>
      <c r="ER27" s="15">
        <f t="shared" si="8"/>
        <v>110</v>
      </c>
      <c r="ES27" s="15">
        <f t="shared" si="8"/>
        <v>110</v>
      </c>
      <c r="ET27" s="15">
        <f t="shared" si="8"/>
        <v>110</v>
      </c>
      <c r="EU27" s="15">
        <f t="shared" si="8"/>
        <v>110</v>
      </c>
      <c r="EV27" s="15">
        <f t="shared" si="8"/>
        <v>110</v>
      </c>
      <c r="EW27" s="15">
        <f t="shared" si="8"/>
        <v>110</v>
      </c>
      <c r="EX27" s="15">
        <f t="shared" si="8"/>
        <v>110</v>
      </c>
      <c r="EY27" s="15">
        <f t="shared" si="8"/>
        <v>110</v>
      </c>
      <c r="EZ27" s="15">
        <f t="shared" si="8"/>
        <v>110</v>
      </c>
      <c r="FA27" s="15">
        <f t="shared" si="8"/>
        <v>110</v>
      </c>
      <c r="FB27" s="15">
        <f t="shared" si="8"/>
        <v>110</v>
      </c>
      <c r="FC27" s="15">
        <f t="shared" si="8"/>
        <v>110</v>
      </c>
      <c r="FD27" s="15">
        <f t="shared" si="8"/>
        <v>110</v>
      </c>
      <c r="FE27" s="15">
        <f t="shared" si="8"/>
        <v>110</v>
      </c>
      <c r="FF27" s="15">
        <f t="shared" si="8"/>
        <v>110</v>
      </c>
      <c r="FG27" s="15">
        <f t="shared" si="8"/>
        <v>110</v>
      </c>
      <c r="FH27" s="15">
        <f t="shared" si="8"/>
        <v>110</v>
      </c>
      <c r="FI27" s="15">
        <f t="shared" si="8"/>
        <v>110</v>
      </c>
      <c r="FJ27" s="15">
        <f t="shared" si="8"/>
        <v>110</v>
      </c>
      <c r="FK27" s="15">
        <f t="shared" si="8"/>
        <v>110</v>
      </c>
      <c r="FL27" s="15">
        <f t="shared" si="8"/>
        <v>110</v>
      </c>
      <c r="FM27" s="15">
        <f t="shared" si="8"/>
        <v>110</v>
      </c>
      <c r="FN27" s="15">
        <f t="shared" si="8"/>
        <v>110</v>
      </c>
      <c r="FO27" s="15">
        <f t="shared" si="8"/>
        <v>110</v>
      </c>
      <c r="FP27" s="15">
        <f t="shared" si="8"/>
        <v>110</v>
      </c>
      <c r="FQ27" s="15">
        <f t="shared" si="8"/>
        <v>110</v>
      </c>
      <c r="FR27" s="15">
        <f t="shared" si="8"/>
        <v>110</v>
      </c>
      <c r="FS27" s="15">
        <f t="shared" si="8"/>
        <v>110</v>
      </c>
      <c r="FT27" s="15">
        <f t="shared" si="8"/>
        <v>110</v>
      </c>
      <c r="FU27" s="15">
        <f t="shared" si="8"/>
        <v>110</v>
      </c>
      <c r="FV27" s="15">
        <f t="shared" si="8"/>
        <v>110</v>
      </c>
      <c r="FW27" s="15">
        <f t="shared" si="8"/>
        <v>110</v>
      </c>
      <c r="FX27" s="15">
        <f t="shared" si="8"/>
        <v>110</v>
      </c>
      <c r="FY27" s="15">
        <f t="shared" si="8"/>
        <v>110</v>
      </c>
      <c r="FZ27" s="15">
        <f t="shared" si="8"/>
        <v>110</v>
      </c>
      <c r="GA27" s="15">
        <f t="shared" si="8"/>
        <v>110</v>
      </c>
      <c r="GB27" s="15">
        <f t="shared" si="8"/>
        <v>110</v>
      </c>
      <c r="GC27" s="15">
        <f t="shared" si="8"/>
        <v>110</v>
      </c>
      <c r="GD27" s="15">
        <f t="shared" si="8"/>
        <v>110</v>
      </c>
      <c r="GE27" s="15">
        <f t="shared" si="8"/>
        <v>110</v>
      </c>
      <c r="GF27" s="15">
        <f t="shared" si="8"/>
        <v>110</v>
      </c>
      <c r="GG27" s="15">
        <f t="shared" si="8"/>
        <v>110</v>
      </c>
      <c r="GH27" s="15">
        <f t="shared" si="8"/>
        <v>110</v>
      </c>
      <c r="GI27" s="15">
        <f t="shared" si="8"/>
        <v>110</v>
      </c>
      <c r="GJ27" s="15">
        <f t="shared" si="8"/>
        <v>110</v>
      </c>
      <c r="GK27" s="15">
        <f t="shared" si="8"/>
        <v>110</v>
      </c>
      <c r="GL27" s="15">
        <f t="shared" si="8"/>
        <v>110</v>
      </c>
      <c r="GM27" s="15">
        <f t="shared" si="8"/>
        <v>110</v>
      </c>
      <c r="GN27" s="15">
        <f t="shared" si="8"/>
        <v>110</v>
      </c>
      <c r="GO27" s="15">
        <f t="shared" si="8"/>
        <v>110</v>
      </c>
      <c r="GP27" s="15">
        <f t="shared" si="8"/>
        <v>110</v>
      </c>
      <c r="GQ27" s="15">
        <f t="shared" si="8"/>
        <v>110</v>
      </c>
      <c r="GR27" s="15">
        <f t="shared" si="8"/>
        <v>110</v>
      </c>
      <c r="GS27" s="15">
        <f t="shared" si="8"/>
        <v>110</v>
      </c>
      <c r="GT27" s="15">
        <f t="shared" si="8"/>
        <v>110</v>
      </c>
      <c r="GU27" s="15"/>
      <c r="GV27" s="15"/>
    </row>
    <row r="28" spans="1:204" ht="13.5" customHeight="1" x14ac:dyDescent="0.2">
      <c r="A28" s="40" t="s">
        <v>2</v>
      </c>
      <c r="B28" s="82">
        <v>15</v>
      </c>
      <c r="C28" s="89">
        <v>7.5</v>
      </c>
      <c r="D28" s="36">
        <f t="shared" si="5"/>
        <v>15</v>
      </c>
      <c r="E28" s="36">
        <f t="shared" si="5"/>
        <v>15</v>
      </c>
      <c r="F28" s="36">
        <f t="shared" si="5"/>
        <v>15</v>
      </c>
      <c r="G28" s="36">
        <f t="shared" si="5"/>
        <v>15</v>
      </c>
      <c r="H28" s="36">
        <f t="shared" si="5"/>
        <v>15</v>
      </c>
      <c r="I28" s="36">
        <f t="shared" si="5"/>
        <v>15</v>
      </c>
      <c r="J28" s="36">
        <f>$B28</f>
        <v>15</v>
      </c>
      <c r="K28" s="36">
        <f t="shared" si="6"/>
        <v>15</v>
      </c>
      <c r="L28" s="36">
        <f t="shared" si="6"/>
        <v>15</v>
      </c>
      <c r="M28" s="36">
        <f t="shared" si="6"/>
        <v>15</v>
      </c>
      <c r="N28" s="36">
        <f t="shared" si="6"/>
        <v>15</v>
      </c>
      <c r="O28" s="36">
        <f t="shared" si="6"/>
        <v>15</v>
      </c>
      <c r="P28" s="36">
        <f t="shared" si="6"/>
        <v>15</v>
      </c>
      <c r="Q28" s="36">
        <f t="shared" si="6"/>
        <v>15</v>
      </c>
      <c r="R28" s="36">
        <f t="shared" si="6"/>
        <v>15</v>
      </c>
      <c r="S28" s="36">
        <f t="shared" si="6"/>
        <v>15</v>
      </c>
      <c r="T28" s="36">
        <f t="shared" si="6"/>
        <v>15</v>
      </c>
      <c r="U28" s="36">
        <f t="shared" si="6"/>
        <v>15</v>
      </c>
      <c r="V28" s="36">
        <f t="shared" si="6"/>
        <v>15</v>
      </c>
      <c r="W28" s="36">
        <f t="shared" si="6"/>
        <v>15</v>
      </c>
      <c r="X28" s="36">
        <f t="shared" si="6"/>
        <v>15</v>
      </c>
      <c r="Y28" s="36">
        <f t="shared" si="6"/>
        <v>15</v>
      </c>
      <c r="Z28" s="36">
        <f t="shared" si="6"/>
        <v>15</v>
      </c>
      <c r="AA28" s="36">
        <f t="shared" si="6"/>
        <v>15</v>
      </c>
      <c r="AB28" s="36">
        <f t="shared" si="6"/>
        <v>15</v>
      </c>
      <c r="AC28" s="36">
        <f t="shared" si="6"/>
        <v>15</v>
      </c>
      <c r="AD28" s="36">
        <f t="shared" si="6"/>
        <v>15</v>
      </c>
      <c r="AE28" s="36">
        <f t="shared" si="6"/>
        <v>15</v>
      </c>
      <c r="AF28" s="36">
        <f t="shared" si="6"/>
        <v>15</v>
      </c>
      <c r="AG28" s="36">
        <f t="shared" si="6"/>
        <v>15</v>
      </c>
      <c r="AH28" s="36">
        <f t="shared" si="6"/>
        <v>15</v>
      </c>
      <c r="AI28" s="36">
        <f t="shared" si="6"/>
        <v>15</v>
      </c>
      <c r="AJ28" s="36">
        <f t="shared" si="6"/>
        <v>15</v>
      </c>
      <c r="AK28" s="36">
        <f t="shared" si="6"/>
        <v>15</v>
      </c>
      <c r="AL28" s="36">
        <f t="shared" si="6"/>
        <v>15</v>
      </c>
      <c r="AM28" s="36">
        <f t="shared" si="6"/>
        <v>15</v>
      </c>
      <c r="AN28" s="36">
        <f t="shared" si="6"/>
        <v>15</v>
      </c>
      <c r="AO28" s="36">
        <f t="shared" si="6"/>
        <v>15</v>
      </c>
      <c r="AP28" s="36">
        <f t="shared" si="6"/>
        <v>15</v>
      </c>
      <c r="AQ28" s="36">
        <f t="shared" si="6"/>
        <v>15</v>
      </c>
      <c r="AR28" s="36">
        <f t="shared" si="6"/>
        <v>15</v>
      </c>
      <c r="AS28" s="36">
        <f t="shared" si="6"/>
        <v>15</v>
      </c>
      <c r="AT28" s="36">
        <f t="shared" si="6"/>
        <v>15</v>
      </c>
      <c r="AU28" s="36">
        <f t="shared" si="6"/>
        <v>15</v>
      </c>
      <c r="AV28" s="36">
        <f t="shared" si="6"/>
        <v>15</v>
      </c>
      <c r="AW28" s="36">
        <f t="shared" si="6"/>
        <v>15</v>
      </c>
      <c r="AX28" s="36">
        <f t="shared" si="6"/>
        <v>15</v>
      </c>
      <c r="AY28" s="36">
        <f t="shared" si="6"/>
        <v>15</v>
      </c>
      <c r="AZ28" s="36">
        <f t="shared" si="6"/>
        <v>15</v>
      </c>
      <c r="BA28" s="36">
        <f t="shared" si="6"/>
        <v>15</v>
      </c>
      <c r="BB28" s="36">
        <f t="shared" si="6"/>
        <v>15</v>
      </c>
      <c r="BC28" s="36">
        <f t="shared" si="6"/>
        <v>15</v>
      </c>
      <c r="BD28" s="36">
        <f t="shared" si="6"/>
        <v>15</v>
      </c>
      <c r="BE28" s="36">
        <f t="shared" si="6"/>
        <v>15</v>
      </c>
      <c r="BF28" s="36">
        <f t="shared" si="6"/>
        <v>15</v>
      </c>
      <c r="BG28" s="36">
        <f t="shared" si="6"/>
        <v>15</v>
      </c>
      <c r="BH28" s="36">
        <f t="shared" si="6"/>
        <v>15</v>
      </c>
      <c r="BI28" s="36">
        <f t="shared" si="6"/>
        <v>15</v>
      </c>
      <c r="BJ28" s="36">
        <f t="shared" si="6"/>
        <v>15</v>
      </c>
      <c r="BK28" s="36">
        <f t="shared" si="6"/>
        <v>15</v>
      </c>
      <c r="BL28" s="36">
        <f t="shared" si="6"/>
        <v>15</v>
      </c>
      <c r="BM28" s="36">
        <f t="shared" si="6"/>
        <v>15</v>
      </c>
      <c r="BN28" s="36">
        <f t="shared" si="6"/>
        <v>15</v>
      </c>
      <c r="BO28" s="36">
        <f t="shared" si="6"/>
        <v>15</v>
      </c>
      <c r="BP28" s="36">
        <f t="shared" si="6"/>
        <v>15</v>
      </c>
      <c r="BQ28" s="36">
        <f t="shared" si="6"/>
        <v>15</v>
      </c>
      <c r="BR28" s="36">
        <f t="shared" si="6"/>
        <v>15</v>
      </c>
      <c r="BS28" s="36">
        <f t="shared" si="6"/>
        <v>15</v>
      </c>
      <c r="BT28" s="36">
        <f t="shared" si="6"/>
        <v>15</v>
      </c>
      <c r="BU28" s="36">
        <f t="shared" si="6"/>
        <v>15</v>
      </c>
      <c r="BV28" s="36">
        <f t="shared" si="6"/>
        <v>15</v>
      </c>
      <c r="BW28" s="36">
        <f t="shared" si="7"/>
        <v>15</v>
      </c>
      <c r="BX28" s="36">
        <f t="shared" si="7"/>
        <v>15</v>
      </c>
      <c r="BY28" s="36">
        <f t="shared" si="7"/>
        <v>15</v>
      </c>
      <c r="BZ28" s="36">
        <f t="shared" si="7"/>
        <v>15</v>
      </c>
      <c r="CA28" s="36">
        <f t="shared" si="7"/>
        <v>15</v>
      </c>
      <c r="CB28" s="36">
        <f t="shared" si="7"/>
        <v>15</v>
      </c>
      <c r="CC28" s="36">
        <f t="shared" si="7"/>
        <v>15</v>
      </c>
      <c r="CD28" s="36">
        <f t="shared" si="7"/>
        <v>15</v>
      </c>
      <c r="CE28" s="36">
        <f t="shared" si="7"/>
        <v>15</v>
      </c>
      <c r="CF28" s="36">
        <f t="shared" si="7"/>
        <v>15</v>
      </c>
      <c r="CG28" s="36">
        <f t="shared" si="7"/>
        <v>15</v>
      </c>
      <c r="CH28" s="36">
        <f t="shared" si="7"/>
        <v>15</v>
      </c>
      <c r="CI28" s="36">
        <f t="shared" si="7"/>
        <v>15</v>
      </c>
      <c r="CJ28" s="36">
        <f t="shared" si="7"/>
        <v>15</v>
      </c>
      <c r="CK28" s="36">
        <f t="shared" si="7"/>
        <v>15</v>
      </c>
      <c r="CL28" s="36">
        <f t="shared" si="7"/>
        <v>15</v>
      </c>
      <c r="CM28" s="36">
        <f t="shared" si="7"/>
        <v>15</v>
      </c>
      <c r="CN28" s="36">
        <f t="shared" si="7"/>
        <v>15</v>
      </c>
      <c r="CO28" s="36">
        <f t="shared" si="7"/>
        <v>15</v>
      </c>
      <c r="CP28" s="36">
        <f t="shared" si="7"/>
        <v>15</v>
      </c>
      <c r="CQ28" s="36">
        <f t="shared" si="7"/>
        <v>15</v>
      </c>
      <c r="CR28" s="36">
        <f t="shared" si="7"/>
        <v>15</v>
      </c>
      <c r="CS28" s="36">
        <f t="shared" si="7"/>
        <v>15</v>
      </c>
      <c r="CT28" s="36">
        <f t="shared" si="7"/>
        <v>15</v>
      </c>
      <c r="CU28" s="36">
        <f t="shared" si="7"/>
        <v>15</v>
      </c>
      <c r="CV28" s="36">
        <f t="shared" si="7"/>
        <v>15</v>
      </c>
      <c r="CW28" s="36">
        <f t="shared" si="7"/>
        <v>15</v>
      </c>
      <c r="CX28" s="36">
        <f t="shared" si="7"/>
        <v>15</v>
      </c>
      <c r="CY28" s="36">
        <f t="shared" si="7"/>
        <v>15</v>
      </c>
      <c r="CZ28" s="36">
        <f t="shared" si="7"/>
        <v>15</v>
      </c>
      <c r="DA28" s="36">
        <f t="shared" si="7"/>
        <v>15</v>
      </c>
      <c r="DB28" s="36">
        <f t="shared" si="7"/>
        <v>15</v>
      </c>
      <c r="DC28" s="36">
        <f t="shared" si="7"/>
        <v>15</v>
      </c>
      <c r="DD28" s="36">
        <f t="shared" si="7"/>
        <v>15</v>
      </c>
      <c r="DE28" s="36">
        <f t="shared" si="7"/>
        <v>15</v>
      </c>
      <c r="DF28" s="36">
        <f t="shared" si="7"/>
        <v>15</v>
      </c>
      <c r="DG28" s="36">
        <f t="shared" si="7"/>
        <v>15</v>
      </c>
      <c r="DH28" s="36">
        <f t="shared" si="7"/>
        <v>15</v>
      </c>
      <c r="DI28" s="36">
        <f t="shared" si="7"/>
        <v>15</v>
      </c>
      <c r="DJ28" s="36">
        <f t="shared" si="7"/>
        <v>15</v>
      </c>
      <c r="DK28" s="36">
        <f t="shared" si="7"/>
        <v>15</v>
      </c>
      <c r="DL28" s="36">
        <f t="shared" si="7"/>
        <v>15</v>
      </c>
      <c r="DM28" s="36">
        <f t="shared" si="7"/>
        <v>15</v>
      </c>
      <c r="DN28" s="36">
        <f t="shared" si="7"/>
        <v>15</v>
      </c>
      <c r="DO28" s="36">
        <f t="shared" si="7"/>
        <v>15</v>
      </c>
      <c r="DP28" s="36">
        <f t="shared" si="7"/>
        <v>15</v>
      </c>
      <c r="DQ28" s="36">
        <f t="shared" si="7"/>
        <v>15</v>
      </c>
      <c r="DR28" s="36">
        <f t="shared" si="7"/>
        <v>15</v>
      </c>
      <c r="DS28" s="36">
        <f t="shared" si="7"/>
        <v>15</v>
      </c>
      <c r="DT28" s="36">
        <f t="shared" si="7"/>
        <v>15</v>
      </c>
      <c r="DU28" s="36">
        <f t="shared" si="7"/>
        <v>15</v>
      </c>
      <c r="DV28" s="36">
        <f t="shared" si="7"/>
        <v>15</v>
      </c>
      <c r="DW28" s="36">
        <f t="shared" si="7"/>
        <v>15</v>
      </c>
      <c r="DX28" s="36">
        <f t="shared" si="7"/>
        <v>15</v>
      </c>
      <c r="DY28" s="36">
        <f t="shared" si="7"/>
        <v>15</v>
      </c>
      <c r="DZ28" s="36">
        <f t="shared" si="7"/>
        <v>15</v>
      </c>
      <c r="EA28" s="36">
        <f t="shared" si="7"/>
        <v>15</v>
      </c>
      <c r="EB28" s="36">
        <f t="shared" si="7"/>
        <v>15</v>
      </c>
      <c r="EC28" s="36">
        <f t="shared" si="7"/>
        <v>15</v>
      </c>
      <c r="ED28" s="36">
        <f t="shared" si="7"/>
        <v>15</v>
      </c>
      <c r="EE28" s="36">
        <f t="shared" si="7"/>
        <v>15</v>
      </c>
      <c r="EF28" s="36">
        <f t="shared" si="7"/>
        <v>15</v>
      </c>
      <c r="EG28" s="36">
        <f t="shared" si="7"/>
        <v>15</v>
      </c>
      <c r="EH28" s="36">
        <f t="shared" si="7"/>
        <v>15</v>
      </c>
      <c r="EI28" s="36">
        <f t="shared" si="8"/>
        <v>15</v>
      </c>
      <c r="EJ28" s="36">
        <f t="shared" si="8"/>
        <v>15</v>
      </c>
      <c r="EK28" s="36">
        <f t="shared" si="8"/>
        <v>15</v>
      </c>
      <c r="EL28" s="36">
        <f t="shared" si="8"/>
        <v>15</v>
      </c>
      <c r="EM28" s="36">
        <f t="shared" si="8"/>
        <v>15</v>
      </c>
      <c r="EN28" s="36">
        <f t="shared" si="8"/>
        <v>15</v>
      </c>
      <c r="EO28" s="36">
        <f t="shared" si="8"/>
        <v>15</v>
      </c>
      <c r="EP28" s="36">
        <f t="shared" si="8"/>
        <v>15</v>
      </c>
      <c r="EQ28" s="36">
        <f t="shared" si="8"/>
        <v>15</v>
      </c>
      <c r="ER28" s="36">
        <f t="shared" si="8"/>
        <v>15</v>
      </c>
      <c r="ES28" s="36">
        <f t="shared" si="8"/>
        <v>15</v>
      </c>
      <c r="ET28" s="36">
        <f t="shared" si="8"/>
        <v>15</v>
      </c>
      <c r="EU28" s="36">
        <f t="shared" si="8"/>
        <v>15</v>
      </c>
      <c r="EV28" s="36">
        <f t="shared" si="8"/>
        <v>15</v>
      </c>
      <c r="EW28" s="36">
        <f t="shared" si="8"/>
        <v>15</v>
      </c>
      <c r="EX28" s="36">
        <f t="shared" si="8"/>
        <v>15</v>
      </c>
      <c r="EY28" s="36">
        <f t="shared" si="8"/>
        <v>15</v>
      </c>
      <c r="EZ28" s="36">
        <f t="shared" si="8"/>
        <v>15</v>
      </c>
      <c r="FA28" s="36">
        <f t="shared" si="8"/>
        <v>15</v>
      </c>
      <c r="FB28" s="36">
        <f t="shared" si="8"/>
        <v>15</v>
      </c>
      <c r="FC28" s="36">
        <f t="shared" si="8"/>
        <v>15</v>
      </c>
      <c r="FD28" s="36">
        <f t="shared" si="8"/>
        <v>15</v>
      </c>
      <c r="FE28" s="36">
        <f t="shared" si="8"/>
        <v>15</v>
      </c>
      <c r="FF28" s="36">
        <f t="shared" si="8"/>
        <v>15</v>
      </c>
      <c r="FG28" s="36">
        <f t="shared" si="8"/>
        <v>15</v>
      </c>
      <c r="FH28" s="36">
        <f t="shared" si="8"/>
        <v>15</v>
      </c>
      <c r="FI28" s="36">
        <f t="shared" si="8"/>
        <v>15</v>
      </c>
      <c r="FJ28" s="36">
        <f t="shared" si="8"/>
        <v>15</v>
      </c>
      <c r="FK28" s="36">
        <f t="shared" si="8"/>
        <v>15</v>
      </c>
      <c r="FL28" s="36">
        <f t="shared" si="8"/>
        <v>15</v>
      </c>
      <c r="FM28" s="36">
        <f t="shared" si="8"/>
        <v>15</v>
      </c>
      <c r="FN28" s="36">
        <f t="shared" si="8"/>
        <v>15</v>
      </c>
      <c r="FO28" s="36">
        <f t="shared" si="8"/>
        <v>15</v>
      </c>
      <c r="FP28" s="36">
        <f t="shared" si="8"/>
        <v>15</v>
      </c>
      <c r="FQ28" s="36">
        <f t="shared" si="8"/>
        <v>15</v>
      </c>
      <c r="FR28" s="36">
        <f t="shared" si="8"/>
        <v>15</v>
      </c>
      <c r="FS28" s="36">
        <f t="shared" si="8"/>
        <v>15</v>
      </c>
      <c r="FT28" s="36">
        <f t="shared" si="8"/>
        <v>15</v>
      </c>
      <c r="FU28" s="36">
        <f t="shared" si="8"/>
        <v>15</v>
      </c>
      <c r="FV28" s="36">
        <f t="shared" si="8"/>
        <v>15</v>
      </c>
      <c r="FW28" s="36">
        <f t="shared" si="8"/>
        <v>15</v>
      </c>
      <c r="FX28" s="36">
        <f t="shared" si="8"/>
        <v>15</v>
      </c>
      <c r="FY28" s="36">
        <f t="shared" si="8"/>
        <v>15</v>
      </c>
      <c r="FZ28" s="36">
        <f t="shared" si="8"/>
        <v>15</v>
      </c>
      <c r="GA28" s="36">
        <f t="shared" si="8"/>
        <v>15</v>
      </c>
      <c r="GB28" s="36">
        <f t="shared" si="8"/>
        <v>15</v>
      </c>
      <c r="GC28" s="36">
        <f t="shared" si="8"/>
        <v>15</v>
      </c>
      <c r="GD28" s="36">
        <f t="shared" si="8"/>
        <v>15</v>
      </c>
      <c r="GE28" s="36">
        <f t="shared" si="8"/>
        <v>15</v>
      </c>
      <c r="GF28" s="36">
        <f t="shared" si="8"/>
        <v>15</v>
      </c>
      <c r="GG28" s="36">
        <f t="shared" si="8"/>
        <v>15</v>
      </c>
      <c r="GH28" s="36">
        <f t="shared" si="8"/>
        <v>15</v>
      </c>
      <c r="GI28" s="36">
        <f t="shared" si="8"/>
        <v>15</v>
      </c>
      <c r="GJ28" s="36">
        <f t="shared" si="8"/>
        <v>15</v>
      </c>
      <c r="GK28" s="36">
        <f t="shared" si="8"/>
        <v>15</v>
      </c>
      <c r="GL28" s="36">
        <f t="shared" si="8"/>
        <v>15</v>
      </c>
      <c r="GM28" s="36">
        <f t="shared" si="8"/>
        <v>15</v>
      </c>
      <c r="GN28" s="36">
        <f t="shared" si="8"/>
        <v>15</v>
      </c>
      <c r="GO28" s="36">
        <f t="shared" si="8"/>
        <v>15</v>
      </c>
      <c r="GP28" s="36">
        <f t="shared" si="8"/>
        <v>15</v>
      </c>
      <c r="GQ28" s="36">
        <f t="shared" si="8"/>
        <v>15</v>
      </c>
      <c r="GR28" s="36">
        <f t="shared" si="8"/>
        <v>15</v>
      </c>
      <c r="GS28" s="36">
        <f t="shared" si="8"/>
        <v>15</v>
      </c>
      <c r="GT28" s="36">
        <f t="shared" si="8"/>
        <v>15</v>
      </c>
      <c r="GU28" s="36"/>
      <c r="GV28" s="15"/>
    </row>
    <row r="29" spans="1:204" ht="13.5" customHeight="1" x14ac:dyDescent="0.2">
      <c r="A29" s="40" t="s">
        <v>12</v>
      </c>
      <c r="B29" s="84">
        <v>7</v>
      </c>
      <c r="C29" s="93">
        <v>8</v>
      </c>
      <c r="D29" s="72">
        <f t="shared" ref="D29" si="9">$B29</f>
        <v>7</v>
      </c>
      <c r="E29" s="72">
        <f t="shared" si="5"/>
        <v>7</v>
      </c>
      <c r="F29" s="72">
        <f t="shared" si="5"/>
        <v>7</v>
      </c>
      <c r="G29" s="72">
        <f t="shared" si="5"/>
        <v>7</v>
      </c>
      <c r="H29" s="93">
        <v>8</v>
      </c>
      <c r="I29" s="72">
        <f t="shared" si="5"/>
        <v>7</v>
      </c>
      <c r="J29" s="72">
        <f t="shared" si="5"/>
        <v>7</v>
      </c>
      <c r="K29" s="72">
        <f t="shared" si="6"/>
        <v>7</v>
      </c>
      <c r="L29" s="72">
        <f t="shared" si="6"/>
        <v>7</v>
      </c>
      <c r="M29" s="72">
        <f t="shared" si="6"/>
        <v>7</v>
      </c>
      <c r="N29" s="72">
        <f t="shared" si="6"/>
        <v>7</v>
      </c>
      <c r="O29" s="72">
        <f t="shared" si="6"/>
        <v>7</v>
      </c>
      <c r="P29" s="72">
        <f t="shared" si="6"/>
        <v>7</v>
      </c>
      <c r="Q29" s="72">
        <f t="shared" si="6"/>
        <v>7</v>
      </c>
      <c r="R29" s="72">
        <f t="shared" si="6"/>
        <v>7</v>
      </c>
      <c r="S29" s="72">
        <f t="shared" si="6"/>
        <v>7</v>
      </c>
      <c r="T29" s="72">
        <f t="shared" si="6"/>
        <v>7</v>
      </c>
      <c r="U29" s="72">
        <f t="shared" si="6"/>
        <v>7</v>
      </c>
      <c r="V29" s="72">
        <f t="shared" si="6"/>
        <v>7</v>
      </c>
      <c r="W29" s="72">
        <f t="shared" si="6"/>
        <v>7</v>
      </c>
      <c r="X29" s="72">
        <f t="shared" si="6"/>
        <v>7</v>
      </c>
      <c r="Y29" s="72">
        <f t="shared" si="6"/>
        <v>7</v>
      </c>
      <c r="Z29" s="72">
        <f t="shared" si="6"/>
        <v>7</v>
      </c>
      <c r="AA29" s="72">
        <f t="shared" si="6"/>
        <v>7</v>
      </c>
      <c r="AB29" s="72">
        <f t="shared" si="6"/>
        <v>7</v>
      </c>
      <c r="AC29" s="72">
        <f t="shared" si="6"/>
        <v>7</v>
      </c>
      <c r="AD29" s="72">
        <f t="shared" si="6"/>
        <v>7</v>
      </c>
      <c r="AE29" s="72">
        <f t="shared" si="6"/>
        <v>7</v>
      </c>
      <c r="AF29" s="72">
        <f t="shared" si="6"/>
        <v>7</v>
      </c>
      <c r="AG29" s="72">
        <f t="shared" si="6"/>
        <v>7</v>
      </c>
      <c r="AH29" s="72">
        <f t="shared" si="6"/>
        <v>7</v>
      </c>
      <c r="AI29" s="72">
        <f t="shared" si="6"/>
        <v>7</v>
      </c>
      <c r="AJ29" s="72">
        <f t="shared" si="6"/>
        <v>7</v>
      </c>
      <c r="AK29" s="72">
        <f t="shared" si="6"/>
        <v>7</v>
      </c>
      <c r="AL29" s="72">
        <f t="shared" si="6"/>
        <v>7</v>
      </c>
      <c r="AM29" s="72">
        <f t="shared" si="6"/>
        <v>7</v>
      </c>
      <c r="AN29" s="72">
        <f t="shared" si="6"/>
        <v>7</v>
      </c>
      <c r="AO29" s="72">
        <f t="shared" si="6"/>
        <v>7</v>
      </c>
      <c r="AP29" s="72">
        <f t="shared" si="6"/>
        <v>7</v>
      </c>
      <c r="AQ29" s="72">
        <f t="shared" si="6"/>
        <v>7</v>
      </c>
      <c r="AR29" s="72">
        <f t="shared" si="6"/>
        <v>7</v>
      </c>
      <c r="AS29" s="72">
        <f t="shared" si="6"/>
        <v>7</v>
      </c>
      <c r="AT29" s="72">
        <f t="shared" si="6"/>
        <v>7</v>
      </c>
      <c r="AU29" s="72">
        <f t="shared" si="6"/>
        <v>7</v>
      </c>
      <c r="AV29" s="72">
        <f t="shared" si="6"/>
        <v>7</v>
      </c>
      <c r="AW29" s="72">
        <f t="shared" si="6"/>
        <v>7</v>
      </c>
      <c r="AX29" s="72">
        <f t="shared" si="6"/>
        <v>7</v>
      </c>
      <c r="AY29" s="72">
        <f t="shared" si="6"/>
        <v>7</v>
      </c>
      <c r="AZ29" s="72">
        <f t="shared" si="6"/>
        <v>7</v>
      </c>
      <c r="BA29" s="72">
        <f t="shared" si="6"/>
        <v>7</v>
      </c>
      <c r="BB29" s="72">
        <f t="shared" si="6"/>
        <v>7</v>
      </c>
      <c r="BC29" s="72">
        <f t="shared" si="6"/>
        <v>7</v>
      </c>
      <c r="BD29" s="72">
        <f t="shared" si="6"/>
        <v>7</v>
      </c>
      <c r="BE29" s="72">
        <f t="shared" si="6"/>
        <v>7</v>
      </c>
      <c r="BF29" s="72">
        <f t="shared" si="6"/>
        <v>7</v>
      </c>
      <c r="BG29" s="72">
        <f t="shared" si="6"/>
        <v>7</v>
      </c>
      <c r="BH29" s="72">
        <f t="shared" si="6"/>
        <v>7</v>
      </c>
      <c r="BI29" s="72">
        <f t="shared" si="6"/>
        <v>7</v>
      </c>
      <c r="BJ29" s="72">
        <f t="shared" si="6"/>
        <v>7</v>
      </c>
      <c r="BK29" s="72">
        <f t="shared" si="6"/>
        <v>7</v>
      </c>
      <c r="BL29" s="72">
        <f t="shared" si="6"/>
        <v>7</v>
      </c>
      <c r="BM29" s="72">
        <f t="shared" si="6"/>
        <v>7</v>
      </c>
      <c r="BN29" s="72">
        <f t="shared" si="6"/>
        <v>7</v>
      </c>
      <c r="BO29" s="72">
        <f t="shared" si="6"/>
        <v>7</v>
      </c>
      <c r="BP29" s="72">
        <f t="shared" si="6"/>
        <v>7</v>
      </c>
      <c r="BQ29" s="72">
        <f t="shared" si="6"/>
        <v>7</v>
      </c>
      <c r="BR29" s="72">
        <f t="shared" si="6"/>
        <v>7</v>
      </c>
      <c r="BS29" s="72">
        <f t="shared" si="6"/>
        <v>7</v>
      </c>
      <c r="BT29" s="72">
        <f t="shared" si="6"/>
        <v>7</v>
      </c>
      <c r="BU29" s="72">
        <f t="shared" si="6"/>
        <v>7</v>
      </c>
      <c r="BV29" s="72">
        <f t="shared" si="6"/>
        <v>7</v>
      </c>
      <c r="BW29" s="72">
        <f t="shared" si="7"/>
        <v>7</v>
      </c>
      <c r="BX29" s="72">
        <f t="shared" si="7"/>
        <v>7</v>
      </c>
      <c r="BY29" s="72">
        <f t="shared" si="7"/>
        <v>7</v>
      </c>
      <c r="BZ29" s="72">
        <f t="shared" si="7"/>
        <v>7</v>
      </c>
      <c r="CA29" s="72">
        <f t="shared" si="7"/>
        <v>7</v>
      </c>
      <c r="CB29" s="72">
        <f t="shared" si="7"/>
        <v>7</v>
      </c>
      <c r="CC29" s="72">
        <f t="shared" si="7"/>
        <v>7</v>
      </c>
      <c r="CD29" s="72">
        <f t="shared" si="7"/>
        <v>7</v>
      </c>
      <c r="CE29" s="72">
        <f t="shared" si="7"/>
        <v>7</v>
      </c>
      <c r="CF29" s="72">
        <f t="shared" si="7"/>
        <v>7</v>
      </c>
      <c r="CG29" s="72">
        <f t="shared" si="7"/>
        <v>7</v>
      </c>
      <c r="CH29" s="72">
        <f t="shared" si="7"/>
        <v>7</v>
      </c>
      <c r="CI29" s="72">
        <f t="shared" si="7"/>
        <v>7</v>
      </c>
      <c r="CJ29" s="72">
        <f t="shared" si="7"/>
        <v>7</v>
      </c>
      <c r="CK29" s="72">
        <f t="shared" si="7"/>
        <v>7</v>
      </c>
      <c r="CL29" s="72">
        <f t="shared" si="7"/>
        <v>7</v>
      </c>
      <c r="CM29" s="72">
        <f t="shared" si="7"/>
        <v>7</v>
      </c>
      <c r="CN29" s="72">
        <f t="shared" si="7"/>
        <v>7</v>
      </c>
      <c r="CO29" s="72">
        <f t="shared" si="7"/>
        <v>7</v>
      </c>
      <c r="CP29" s="72">
        <f t="shared" si="7"/>
        <v>7</v>
      </c>
      <c r="CQ29" s="72">
        <f t="shared" si="7"/>
        <v>7</v>
      </c>
      <c r="CR29" s="72">
        <f t="shared" si="7"/>
        <v>7</v>
      </c>
      <c r="CS29" s="72">
        <f t="shared" si="7"/>
        <v>7</v>
      </c>
      <c r="CT29" s="72">
        <f t="shared" si="7"/>
        <v>7</v>
      </c>
      <c r="CU29" s="72">
        <f t="shared" si="7"/>
        <v>7</v>
      </c>
      <c r="CV29" s="72">
        <f t="shared" si="7"/>
        <v>7</v>
      </c>
      <c r="CW29" s="72">
        <f t="shared" si="7"/>
        <v>7</v>
      </c>
      <c r="CX29" s="72">
        <f t="shared" si="7"/>
        <v>7</v>
      </c>
      <c r="CY29" s="72">
        <f t="shared" si="7"/>
        <v>7</v>
      </c>
      <c r="CZ29" s="72">
        <f t="shared" si="7"/>
        <v>7</v>
      </c>
      <c r="DA29" s="72">
        <f t="shared" si="7"/>
        <v>7</v>
      </c>
      <c r="DB29" s="72">
        <f t="shared" si="7"/>
        <v>7</v>
      </c>
      <c r="DC29" s="72">
        <f t="shared" si="7"/>
        <v>7</v>
      </c>
      <c r="DD29" s="72">
        <f t="shared" si="7"/>
        <v>7</v>
      </c>
      <c r="DE29" s="72">
        <f t="shared" si="7"/>
        <v>7</v>
      </c>
      <c r="DF29" s="72">
        <f t="shared" si="7"/>
        <v>7</v>
      </c>
      <c r="DG29" s="72">
        <f t="shared" si="7"/>
        <v>7</v>
      </c>
      <c r="DH29" s="72">
        <f t="shared" si="7"/>
        <v>7</v>
      </c>
      <c r="DI29" s="72">
        <f t="shared" si="7"/>
        <v>7</v>
      </c>
      <c r="DJ29" s="72">
        <f t="shared" si="7"/>
        <v>7</v>
      </c>
      <c r="DK29" s="72">
        <f t="shared" si="7"/>
        <v>7</v>
      </c>
      <c r="DL29" s="72">
        <f t="shared" si="7"/>
        <v>7</v>
      </c>
      <c r="DM29" s="72">
        <f t="shared" si="7"/>
        <v>7</v>
      </c>
      <c r="DN29" s="72">
        <f t="shared" si="7"/>
        <v>7</v>
      </c>
      <c r="DO29" s="72">
        <f t="shared" si="7"/>
        <v>7</v>
      </c>
      <c r="DP29" s="72">
        <f t="shared" si="7"/>
        <v>7</v>
      </c>
      <c r="DQ29" s="72">
        <f t="shared" si="7"/>
        <v>7</v>
      </c>
      <c r="DR29" s="72">
        <f t="shared" si="7"/>
        <v>7</v>
      </c>
      <c r="DS29" s="72">
        <f t="shared" si="7"/>
        <v>7</v>
      </c>
      <c r="DT29" s="72">
        <f t="shared" si="7"/>
        <v>7</v>
      </c>
      <c r="DU29" s="72">
        <f t="shared" si="7"/>
        <v>7</v>
      </c>
      <c r="DV29" s="72">
        <f t="shared" si="7"/>
        <v>7</v>
      </c>
      <c r="DW29" s="72">
        <f t="shared" si="7"/>
        <v>7</v>
      </c>
      <c r="DX29" s="72">
        <f t="shared" si="7"/>
        <v>7</v>
      </c>
      <c r="DY29" s="72">
        <f t="shared" si="7"/>
        <v>7</v>
      </c>
      <c r="DZ29" s="72">
        <f t="shared" si="7"/>
        <v>7</v>
      </c>
      <c r="EA29" s="72">
        <f t="shared" si="7"/>
        <v>7</v>
      </c>
      <c r="EB29" s="72">
        <f t="shared" si="7"/>
        <v>7</v>
      </c>
      <c r="EC29" s="72">
        <f t="shared" si="7"/>
        <v>7</v>
      </c>
      <c r="ED29" s="72">
        <f t="shared" si="7"/>
        <v>7</v>
      </c>
      <c r="EE29" s="72">
        <f t="shared" si="7"/>
        <v>7</v>
      </c>
      <c r="EF29" s="72">
        <f t="shared" si="7"/>
        <v>7</v>
      </c>
      <c r="EG29" s="72">
        <f t="shared" si="7"/>
        <v>7</v>
      </c>
      <c r="EH29" s="72">
        <f t="shared" si="7"/>
        <v>7</v>
      </c>
      <c r="EI29" s="72">
        <f t="shared" si="8"/>
        <v>7</v>
      </c>
      <c r="EJ29" s="72">
        <f t="shared" si="8"/>
        <v>7</v>
      </c>
      <c r="EK29" s="72">
        <f t="shared" si="8"/>
        <v>7</v>
      </c>
      <c r="EL29" s="72">
        <f t="shared" si="8"/>
        <v>7</v>
      </c>
      <c r="EM29" s="72">
        <f t="shared" si="8"/>
        <v>7</v>
      </c>
      <c r="EN29" s="72">
        <f t="shared" si="8"/>
        <v>7</v>
      </c>
      <c r="EO29" s="72">
        <f t="shared" si="8"/>
        <v>7</v>
      </c>
      <c r="EP29" s="72">
        <f t="shared" si="8"/>
        <v>7</v>
      </c>
      <c r="EQ29" s="72">
        <f t="shared" si="8"/>
        <v>7</v>
      </c>
      <c r="ER29" s="72">
        <f t="shared" si="8"/>
        <v>7</v>
      </c>
      <c r="ES29" s="72">
        <f t="shared" si="8"/>
        <v>7</v>
      </c>
      <c r="ET29" s="72">
        <f t="shared" si="8"/>
        <v>7</v>
      </c>
      <c r="EU29" s="72">
        <f t="shared" si="8"/>
        <v>7</v>
      </c>
      <c r="EV29" s="72">
        <f t="shared" si="8"/>
        <v>7</v>
      </c>
      <c r="EW29" s="72">
        <f t="shared" si="8"/>
        <v>7</v>
      </c>
      <c r="EX29" s="72">
        <f t="shared" si="8"/>
        <v>7</v>
      </c>
      <c r="EY29" s="72">
        <f t="shared" si="8"/>
        <v>7</v>
      </c>
      <c r="EZ29" s="72">
        <f t="shared" si="8"/>
        <v>7</v>
      </c>
      <c r="FA29" s="72">
        <f t="shared" si="8"/>
        <v>7</v>
      </c>
      <c r="FB29" s="72">
        <f t="shared" si="8"/>
        <v>7</v>
      </c>
      <c r="FC29" s="72">
        <f t="shared" si="8"/>
        <v>7</v>
      </c>
      <c r="FD29" s="72">
        <f t="shared" si="8"/>
        <v>7</v>
      </c>
      <c r="FE29" s="72">
        <f t="shared" si="8"/>
        <v>7</v>
      </c>
      <c r="FF29" s="72">
        <f t="shared" si="8"/>
        <v>7</v>
      </c>
      <c r="FG29" s="72">
        <f t="shared" si="8"/>
        <v>7</v>
      </c>
      <c r="FH29" s="72">
        <f t="shared" si="8"/>
        <v>7</v>
      </c>
      <c r="FI29" s="72">
        <f t="shared" si="8"/>
        <v>7</v>
      </c>
      <c r="FJ29" s="72">
        <f t="shared" si="8"/>
        <v>7</v>
      </c>
      <c r="FK29" s="72">
        <f t="shared" si="8"/>
        <v>7</v>
      </c>
      <c r="FL29" s="72">
        <f t="shared" si="8"/>
        <v>7</v>
      </c>
      <c r="FM29" s="72">
        <f t="shared" si="8"/>
        <v>7</v>
      </c>
      <c r="FN29" s="72">
        <f t="shared" si="8"/>
        <v>7</v>
      </c>
      <c r="FO29" s="72">
        <f t="shared" si="8"/>
        <v>7</v>
      </c>
      <c r="FP29" s="72">
        <f t="shared" si="8"/>
        <v>7</v>
      </c>
      <c r="FQ29" s="72">
        <f t="shared" si="8"/>
        <v>7</v>
      </c>
      <c r="FR29" s="72">
        <f t="shared" si="8"/>
        <v>7</v>
      </c>
      <c r="FS29" s="72">
        <f t="shared" si="8"/>
        <v>7</v>
      </c>
      <c r="FT29" s="72">
        <f t="shared" si="8"/>
        <v>7</v>
      </c>
      <c r="FU29" s="72">
        <f t="shared" si="8"/>
        <v>7</v>
      </c>
      <c r="FV29" s="72">
        <f t="shared" si="8"/>
        <v>7</v>
      </c>
      <c r="FW29" s="72">
        <f t="shared" si="8"/>
        <v>7</v>
      </c>
      <c r="FX29" s="72">
        <f t="shared" si="8"/>
        <v>7</v>
      </c>
      <c r="FY29" s="72">
        <f t="shared" si="8"/>
        <v>7</v>
      </c>
      <c r="FZ29" s="72">
        <f t="shared" si="8"/>
        <v>7</v>
      </c>
      <c r="GA29" s="72">
        <f t="shared" si="8"/>
        <v>7</v>
      </c>
      <c r="GB29" s="72">
        <f t="shared" si="8"/>
        <v>7</v>
      </c>
      <c r="GC29" s="72">
        <f t="shared" si="8"/>
        <v>7</v>
      </c>
      <c r="GD29" s="72">
        <f t="shared" si="8"/>
        <v>7</v>
      </c>
      <c r="GE29" s="72">
        <f t="shared" si="8"/>
        <v>7</v>
      </c>
      <c r="GF29" s="72">
        <f t="shared" si="8"/>
        <v>7</v>
      </c>
      <c r="GG29" s="72">
        <f t="shared" si="8"/>
        <v>7</v>
      </c>
      <c r="GH29" s="72">
        <f t="shared" si="8"/>
        <v>7</v>
      </c>
      <c r="GI29" s="72">
        <f t="shared" si="8"/>
        <v>7</v>
      </c>
      <c r="GJ29" s="72">
        <f t="shared" si="8"/>
        <v>7</v>
      </c>
      <c r="GK29" s="72">
        <f t="shared" si="8"/>
        <v>7</v>
      </c>
      <c r="GL29" s="72">
        <f t="shared" si="8"/>
        <v>7</v>
      </c>
      <c r="GM29" s="72">
        <f t="shared" si="8"/>
        <v>7</v>
      </c>
      <c r="GN29" s="72">
        <f t="shared" si="8"/>
        <v>7</v>
      </c>
      <c r="GO29" s="72">
        <f t="shared" si="8"/>
        <v>7</v>
      </c>
      <c r="GP29" s="72">
        <f t="shared" si="8"/>
        <v>7</v>
      </c>
      <c r="GQ29" s="72">
        <f t="shared" si="8"/>
        <v>7</v>
      </c>
      <c r="GR29" s="72">
        <f t="shared" si="8"/>
        <v>7</v>
      </c>
      <c r="GS29" s="72">
        <f t="shared" si="8"/>
        <v>7</v>
      </c>
      <c r="GT29" s="72">
        <f t="shared" si="8"/>
        <v>7</v>
      </c>
      <c r="GU29" s="72"/>
    </row>
    <row r="30" spans="1:204" ht="13.5" customHeight="1" x14ac:dyDescent="0.2">
      <c r="A30" s="40" t="s">
        <v>20</v>
      </c>
      <c r="B30" s="71" t="str">
        <f>Setup!B9</f>
        <v>Fe</v>
      </c>
      <c r="C30" s="15">
        <v>61</v>
      </c>
      <c r="D30" s="15">
        <v>61</v>
      </c>
      <c r="E30" s="15">
        <v>61</v>
      </c>
      <c r="F30" s="15">
        <v>61</v>
      </c>
      <c r="G30" s="15">
        <v>61</v>
      </c>
      <c r="H30" s="15">
        <v>61</v>
      </c>
      <c r="I30" s="15">
        <v>61</v>
      </c>
      <c r="J30" s="15">
        <v>61</v>
      </c>
      <c r="K30" s="15">
        <v>61</v>
      </c>
      <c r="L30" s="15">
        <v>60.5</v>
      </c>
      <c r="M30" s="15">
        <v>60.5</v>
      </c>
      <c r="N30" s="15">
        <v>60.5</v>
      </c>
      <c r="O30" s="15">
        <v>60.5</v>
      </c>
      <c r="P30" s="15">
        <v>60.5</v>
      </c>
      <c r="Q30" s="15">
        <v>60.5</v>
      </c>
      <c r="R30" s="15">
        <v>60.5</v>
      </c>
      <c r="S30" s="15">
        <v>60.5</v>
      </c>
      <c r="T30" s="15">
        <v>60.5</v>
      </c>
      <c r="U30" s="15">
        <v>60.5</v>
      </c>
      <c r="V30" s="15">
        <v>60.5</v>
      </c>
      <c r="W30" s="15">
        <v>60.5</v>
      </c>
      <c r="X30" s="15">
        <v>60.5</v>
      </c>
      <c r="Y30" s="15">
        <v>60.5</v>
      </c>
      <c r="Z30" s="15">
        <v>60.5</v>
      </c>
      <c r="AA30" s="15">
        <v>60.5</v>
      </c>
      <c r="AB30" s="15">
        <v>60.5</v>
      </c>
      <c r="AC30" s="15">
        <v>60.5</v>
      </c>
      <c r="AD30" s="15">
        <v>60.5</v>
      </c>
      <c r="AE30" s="15">
        <v>60.5</v>
      </c>
      <c r="AF30" s="15">
        <v>60.5</v>
      </c>
      <c r="AG30" s="15">
        <v>60.5</v>
      </c>
      <c r="AH30" s="15">
        <v>60.5</v>
      </c>
      <c r="AI30" s="15">
        <v>60.5</v>
      </c>
      <c r="AJ30" s="15">
        <v>60.5</v>
      </c>
      <c r="AK30" s="15">
        <v>60.5</v>
      </c>
      <c r="AL30" s="15">
        <v>60.5</v>
      </c>
      <c r="AM30" s="15">
        <v>60.5</v>
      </c>
      <c r="AN30" s="15">
        <v>60.5</v>
      </c>
      <c r="AO30" s="15">
        <v>60.5</v>
      </c>
      <c r="AP30" s="15">
        <v>60.5</v>
      </c>
      <c r="AQ30" s="15">
        <v>60.5</v>
      </c>
      <c r="AR30" s="15">
        <v>60.5</v>
      </c>
      <c r="AS30" s="15">
        <v>60.5</v>
      </c>
      <c r="AT30" s="15">
        <v>60.5</v>
      </c>
      <c r="AU30" s="15">
        <v>60.5</v>
      </c>
      <c r="AV30" s="15">
        <v>60.5</v>
      </c>
      <c r="AW30" s="15">
        <v>60.5</v>
      </c>
      <c r="AX30" s="15">
        <v>60.5</v>
      </c>
      <c r="AY30" s="15">
        <v>60.5</v>
      </c>
      <c r="AZ30" s="15">
        <v>60.5</v>
      </c>
      <c r="BA30" s="15">
        <v>60.5</v>
      </c>
      <c r="BB30" s="15">
        <v>60.5</v>
      </c>
      <c r="BC30" s="15">
        <v>60.5</v>
      </c>
      <c r="BD30" s="15">
        <v>60.5</v>
      </c>
      <c r="BE30" s="15">
        <v>60.5</v>
      </c>
      <c r="BF30" s="15">
        <v>60.5</v>
      </c>
      <c r="BG30" s="15">
        <v>60.5</v>
      </c>
      <c r="BH30" s="15">
        <v>60.5</v>
      </c>
      <c r="BI30" s="15">
        <v>60.5</v>
      </c>
      <c r="BJ30" s="15">
        <v>60.5</v>
      </c>
      <c r="BK30" s="15">
        <v>60.5</v>
      </c>
      <c r="BL30" s="15">
        <v>60.5</v>
      </c>
      <c r="BM30" s="15">
        <v>60.5</v>
      </c>
      <c r="BN30" s="15">
        <v>60.5</v>
      </c>
      <c r="BO30" s="15">
        <v>60.5</v>
      </c>
      <c r="BP30" s="15">
        <v>60.5</v>
      </c>
      <c r="BQ30" s="15">
        <v>60.5</v>
      </c>
      <c r="BR30" s="15">
        <v>60.5</v>
      </c>
      <c r="BS30" s="15">
        <v>60.5</v>
      </c>
      <c r="BT30" s="15">
        <v>60.5</v>
      </c>
      <c r="BU30" s="15">
        <v>60.5</v>
      </c>
      <c r="BV30" s="15">
        <v>60.5</v>
      </c>
      <c r="BW30" s="15">
        <v>60.5</v>
      </c>
      <c r="BX30" s="15">
        <v>60.5</v>
      </c>
      <c r="BY30" s="15">
        <v>60.5</v>
      </c>
      <c r="BZ30" s="15">
        <v>60.5</v>
      </c>
      <c r="CA30" s="15">
        <v>60.5</v>
      </c>
      <c r="CB30" s="15">
        <v>60.5</v>
      </c>
      <c r="CC30" s="15">
        <v>60.5</v>
      </c>
      <c r="CD30" s="15">
        <v>60.5</v>
      </c>
      <c r="CE30" s="15">
        <v>60.5</v>
      </c>
      <c r="CF30" s="15">
        <v>60.5</v>
      </c>
      <c r="CG30" s="15">
        <v>60.5</v>
      </c>
      <c r="CH30" s="15">
        <v>60.5</v>
      </c>
      <c r="CI30" s="15">
        <v>60.5</v>
      </c>
      <c r="CJ30" s="15">
        <v>60.5</v>
      </c>
      <c r="CK30" s="15">
        <v>60.5</v>
      </c>
      <c r="CL30" s="15">
        <v>60.5</v>
      </c>
      <c r="CM30" s="15">
        <v>60.5</v>
      </c>
      <c r="CN30" s="15">
        <v>60.5</v>
      </c>
      <c r="CO30" s="15">
        <v>60.5</v>
      </c>
      <c r="CP30" s="15">
        <v>60.5</v>
      </c>
      <c r="CQ30" s="15">
        <v>60.5</v>
      </c>
      <c r="CR30" s="15">
        <v>60.5</v>
      </c>
      <c r="CS30" s="15">
        <v>60.5</v>
      </c>
      <c r="CT30" s="15">
        <v>60.5</v>
      </c>
      <c r="CU30" s="15">
        <v>60.5</v>
      </c>
      <c r="CV30" s="15">
        <v>60.5</v>
      </c>
      <c r="CW30" s="15">
        <v>60.5</v>
      </c>
      <c r="CX30" s="15">
        <v>60.5</v>
      </c>
      <c r="CY30" s="15">
        <v>60.5</v>
      </c>
      <c r="CZ30" s="15">
        <v>60.5</v>
      </c>
      <c r="DA30" s="15">
        <v>60.5</v>
      </c>
      <c r="DB30" s="15">
        <v>60.5</v>
      </c>
      <c r="DC30" s="15">
        <v>60.5</v>
      </c>
      <c r="DD30" s="15">
        <v>60.5</v>
      </c>
      <c r="DE30" s="15">
        <v>60.5</v>
      </c>
      <c r="DF30" s="15">
        <v>60.5</v>
      </c>
      <c r="DG30" s="15">
        <v>60.5</v>
      </c>
      <c r="DH30" s="15">
        <v>60.5</v>
      </c>
      <c r="DI30" s="15">
        <v>60.5</v>
      </c>
      <c r="DJ30" s="15">
        <v>60.5</v>
      </c>
      <c r="DK30" s="15">
        <v>60.5</v>
      </c>
      <c r="DL30" s="15">
        <v>60.5</v>
      </c>
      <c r="DM30" s="15">
        <v>60.5</v>
      </c>
      <c r="DN30" s="15">
        <v>60.5</v>
      </c>
      <c r="DO30" s="15">
        <v>60.5</v>
      </c>
      <c r="DP30" s="15">
        <v>60.5</v>
      </c>
      <c r="DQ30" s="15">
        <v>60.5</v>
      </c>
      <c r="DR30" s="15">
        <v>60.5</v>
      </c>
      <c r="DS30" s="15">
        <v>60.5</v>
      </c>
      <c r="DT30" s="15">
        <v>60.5</v>
      </c>
      <c r="DU30" s="15">
        <v>60.5</v>
      </c>
      <c r="DV30" s="15">
        <v>60.5</v>
      </c>
      <c r="DW30" s="15">
        <v>60.5</v>
      </c>
      <c r="DX30" s="15">
        <v>60.5</v>
      </c>
      <c r="DY30" s="15">
        <v>60.5</v>
      </c>
      <c r="DZ30" s="15">
        <v>60.5</v>
      </c>
      <c r="EA30" s="15">
        <v>60.5</v>
      </c>
      <c r="EB30" s="15">
        <v>60.5</v>
      </c>
      <c r="EC30" s="15">
        <v>60.5</v>
      </c>
      <c r="ED30" s="15">
        <v>60.5</v>
      </c>
      <c r="EE30" s="15">
        <v>60.5</v>
      </c>
      <c r="EF30" s="15">
        <v>60.5</v>
      </c>
      <c r="EG30" s="15">
        <v>60.5</v>
      </c>
      <c r="EH30" s="15">
        <v>60.5</v>
      </c>
      <c r="EI30" s="15">
        <v>60.5</v>
      </c>
      <c r="EJ30" s="15">
        <v>60.5</v>
      </c>
      <c r="EK30" s="15">
        <v>60.5</v>
      </c>
      <c r="EL30" s="15">
        <v>60.5</v>
      </c>
      <c r="EM30" s="15">
        <v>60.5</v>
      </c>
      <c r="EN30" s="15">
        <v>60.5</v>
      </c>
      <c r="EO30" s="15">
        <v>60.5</v>
      </c>
      <c r="EP30" s="15">
        <v>60.5</v>
      </c>
      <c r="EQ30" s="15">
        <v>60.5</v>
      </c>
      <c r="ER30" s="15">
        <v>60.5</v>
      </c>
      <c r="ES30" s="15">
        <v>60.5</v>
      </c>
      <c r="ET30" s="15">
        <v>60.5</v>
      </c>
      <c r="EU30" s="15">
        <v>60.5</v>
      </c>
      <c r="EV30" s="15">
        <v>60.5</v>
      </c>
      <c r="EW30" s="15">
        <v>60.5</v>
      </c>
      <c r="EX30" s="15">
        <v>60.5</v>
      </c>
      <c r="EY30" s="15">
        <v>60.5</v>
      </c>
      <c r="EZ30" s="15">
        <v>60.5</v>
      </c>
      <c r="FA30" s="15">
        <v>60.5</v>
      </c>
      <c r="FB30" s="15">
        <v>60.5</v>
      </c>
      <c r="FC30" s="15">
        <v>60.5</v>
      </c>
      <c r="FD30" s="15">
        <v>60.5</v>
      </c>
      <c r="FE30" s="15">
        <v>60.5</v>
      </c>
      <c r="FF30" s="15">
        <v>60.5</v>
      </c>
      <c r="FG30" s="15">
        <v>60.5</v>
      </c>
      <c r="FH30" s="15">
        <v>60.5</v>
      </c>
      <c r="FI30" s="15">
        <v>60.5</v>
      </c>
      <c r="FJ30" s="15">
        <v>60.5</v>
      </c>
      <c r="FK30" s="15">
        <v>60.5</v>
      </c>
      <c r="FL30" s="15">
        <v>60.5</v>
      </c>
      <c r="FM30" s="15">
        <v>60.5</v>
      </c>
      <c r="FN30" s="15">
        <v>60.5</v>
      </c>
      <c r="FO30" s="15">
        <v>60.5</v>
      </c>
      <c r="FP30" s="15">
        <v>60.5</v>
      </c>
      <c r="FQ30" s="15">
        <v>60.5</v>
      </c>
      <c r="FR30" s="15">
        <v>60.5</v>
      </c>
      <c r="FS30" s="15">
        <v>60.5</v>
      </c>
      <c r="FT30" s="15">
        <v>60.5</v>
      </c>
      <c r="FU30" s="15">
        <v>60.5</v>
      </c>
      <c r="FV30" s="15">
        <v>60.5</v>
      </c>
      <c r="FW30" s="15">
        <v>60.5</v>
      </c>
      <c r="FX30" s="15">
        <v>60.5</v>
      </c>
      <c r="FY30" s="15">
        <v>60.5</v>
      </c>
      <c r="FZ30" s="15">
        <v>60.5</v>
      </c>
      <c r="GA30" s="15">
        <v>60.5</v>
      </c>
      <c r="GB30" s="15">
        <v>60.5</v>
      </c>
      <c r="GC30" s="15">
        <v>60.5</v>
      </c>
      <c r="GD30" s="15">
        <v>60.5</v>
      </c>
      <c r="GE30" s="15">
        <v>60.5</v>
      </c>
      <c r="GF30" s="15">
        <v>60.5</v>
      </c>
      <c r="GG30" s="15">
        <v>60.5</v>
      </c>
      <c r="GH30" s="15">
        <v>60.5</v>
      </c>
      <c r="GI30" s="15">
        <v>60.5</v>
      </c>
      <c r="GJ30" s="15">
        <v>60.5</v>
      </c>
      <c r="GK30" s="15">
        <v>60.5</v>
      </c>
      <c r="GL30" s="15">
        <v>60.5</v>
      </c>
      <c r="GM30" s="15">
        <v>60.5</v>
      </c>
      <c r="GN30" s="15">
        <v>60.5</v>
      </c>
      <c r="GO30" s="15">
        <v>60.5</v>
      </c>
      <c r="GP30" s="15">
        <v>60.5</v>
      </c>
      <c r="GQ30" s="15">
        <v>60.5</v>
      </c>
      <c r="GR30" s="15">
        <v>60.5</v>
      </c>
      <c r="GS30" s="15">
        <v>60.5</v>
      </c>
      <c r="GT30" s="15">
        <v>60.5</v>
      </c>
      <c r="GU30" s="15"/>
    </row>
    <row r="31" spans="1:204" ht="13.5" customHeight="1" x14ac:dyDescent="0.2">
      <c r="A31" s="40" t="s">
        <v>21</v>
      </c>
      <c r="B31" s="85" t="str">
        <f>Setup!B10</f>
        <v>SiO2</v>
      </c>
      <c r="C31" s="15">
        <v>5.5</v>
      </c>
      <c r="D31" s="15">
        <v>5.5</v>
      </c>
      <c r="E31" s="15">
        <v>5.5</v>
      </c>
      <c r="F31" s="15">
        <v>5.5</v>
      </c>
      <c r="G31" s="15">
        <v>5.5</v>
      </c>
      <c r="H31" s="15">
        <v>5.5</v>
      </c>
      <c r="I31" s="15">
        <v>5.5</v>
      </c>
      <c r="J31" s="15">
        <v>5.5</v>
      </c>
      <c r="K31" s="15">
        <v>5.5</v>
      </c>
      <c r="L31" s="15">
        <v>5.5</v>
      </c>
      <c r="M31" s="15">
        <v>5.5</v>
      </c>
      <c r="N31" s="15">
        <v>5.5</v>
      </c>
      <c r="O31" s="15">
        <v>5.5</v>
      </c>
      <c r="P31" s="15">
        <v>5.5</v>
      </c>
      <c r="Q31" s="15">
        <v>5.5</v>
      </c>
      <c r="R31" s="15">
        <v>5.5</v>
      </c>
      <c r="S31" s="15">
        <v>5.5</v>
      </c>
      <c r="T31" s="15">
        <v>5.5</v>
      </c>
      <c r="U31" s="15">
        <v>5.5</v>
      </c>
      <c r="V31" s="15">
        <v>5.5</v>
      </c>
      <c r="W31" s="15">
        <v>5.5</v>
      </c>
      <c r="X31" s="15">
        <v>5.5</v>
      </c>
      <c r="Y31" s="15">
        <v>5.5</v>
      </c>
      <c r="Z31" s="15">
        <v>5.5</v>
      </c>
      <c r="AA31" s="15">
        <v>5.5</v>
      </c>
      <c r="AB31" s="15">
        <v>5.5</v>
      </c>
      <c r="AC31" s="15">
        <v>5.5</v>
      </c>
      <c r="AD31" s="15">
        <v>5.5</v>
      </c>
      <c r="AE31" s="15">
        <v>5.5</v>
      </c>
      <c r="AF31" s="15">
        <v>5.5</v>
      </c>
      <c r="AG31" s="15">
        <v>5.5</v>
      </c>
      <c r="AH31" s="15">
        <v>5.5</v>
      </c>
      <c r="AI31" s="15">
        <v>5.5</v>
      </c>
      <c r="AJ31" s="15">
        <v>5.5</v>
      </c>
      <c r="AK31" s="15">
        <v>5.5</v>
      </c>
      <c r="AL31" s="15">
        <v>5.5</v>
      </c>
      <c r="AM31" s="15">
        <v>5.5</v>
      </c>
      <c r="AN31" s="15">
        <v>5.5</v>
      </c>
      <c r="AO31" s="15">
        <v>5.5</v>
      </c>
      <c r="AP31" s="15">
        <v>5.5</v>
      </c>
      <c r="AQ31" s="15">
        <v>5.5</v>
      </c>
      <c r="AR31" s="15">
        <v>5.5</v>
      </c>
      <c r="AS31" s="15">
        <v>5.5</v>
      </c>
      <c r="AT31" s="15">
        <v>5.5</v>
      </c>
      <c r="AU31" s="15">
        <v>5.5</v>
      </c>
      <c r="AV31" s="15">
        <v>5.5</v>
      </c>
      <c r="AW31" s="15">
        <v>5.5</v>
      </c>
      <c r="AX31" s="15">
        <v>5.5</v>
      </c>
      <c r="AY31" s="15">
        <v>5.5</v>
      </c>
      <c r="AZ31" s="15">
        <v>5.5</v>
      </c>
      <c r="BA31" s="15">
        <v>5.5</v>
      </c>
      <c r="BB31" s="15">
        <v>5.5</v>
      </c>
      <c r="BC31" s="15">
        <v>5.5</v>
      </c>
      <c r="BD31" s="15">
        <v>5.5</v>
      </c>
      <c r="BE31" s="15">
        <v>5.5</v>
      </c>
      <c r="BF31" s="15">
        <v>5.5</v>
      </c>
      <c r="BG31" s="15">
        <v>5.5</v>
      </c>
      <c r="BH31" s="15">
        <v>5.5</v>
      </c>
      <c r="BI31" s="15">
        <v>5.5</v>
      </c>
      <c r="BJ31" s="15">
        <v>5.5</v>
      </c>
      <c r="BK31" s="15">
        <v>5.5</v>
      </c>
      <c r="BL31" s="15">
        <v>5.5</v>
      </c>
      <c r="BM31" s="15">
        <v>5.5</v>
      </c>
      <c r="BN31" s="15">
        <v>5.5</v>
      </c>
      <c r="BO31" s="15">
        <v>5.5</v>
      </c>
      <c r="BP31" s="15">
        <v>5.5</v>
      </c>
      <c r="BQ31" s="15">
        <v>5.5</v>
      </c>
      <c r="BR31" s="15">
        <v>5.5</v>
      </c>
      <c r="BS31" s="15">
        <v>5.5</v>
      </c>
      <c r="BT31" s="15">
        <v>5.5</v>
      </c>
      <c r="BU31" s="15">
        <v>5.5</v>
      </c>
      <c r="BV31" s="15">
        <v>5.5</v>
      </c>
      <c r="BW31" s="15">
        <v>5.5</v>
      </c>
      <c r="BX31" s="15">
        <v>5.5</v>
      </c>
      <c r="BY31" s="15">
        <v>5.5</v>
      </c>
      <c r="BZ31" s="15">
        <v>5.5</v>
      </c>
      <c r="CA31" s="15">
        <v>5.5</v>
      </c>
      <c r="CB31" s="15">
        <v>5.5</v>
      </c>
      <c r="CC31" s="15">
        <v>5.5</v>
      </c>
      <c r="CD31" s="15">
        <v>5.5</v>
      </c>
      <c r="CE31" s="15">
        <v>5.5</v>
      </c>
      <c r="CF31" s="15">
        <v>5.5</v>
      </c>
      <c r="CG31" s="15">
        <v>5.5</v>
      </c>
      <c r="CH31" s="15">
        <v>5.5</v>
      </c>
      <c r="CI31" s="15">
        <v>5.5</v>
      </c>
      <c r="CJ31" s="15">
        <v>5.5</v>
      </c>
      <c r="CK31" s="15">
        <v>5.5</v>
      </c>
      <c r="CL31" s="15">
        <v>5.5</v>
      </c>
      <c r="CM31" s="15">
        <v>5.5</v>
      </c>
      <c r="CN31" s="15">
        <v>5.5</v>
      </c>
      <c r="CO31" s="15">
        <v>5.5</v>
      </c>
      <c r="CP31" s="15">
        <v>5.5</v>
      </c>
      <c r="CQ31" s="15">
        <v>5.5</v>
      </c>
      <c r="CR31" s="15">
        <v>5.5</v>
      </c>
      <c r="CS31" s="15">
        <v>5.5</v>
      </c>
      <c r="CT31" s="15">
        <v>5.5</v>
      </c>
      <c r="CU31" s="15">
        <v>5.5</v>
      </c>
      <c r="CV31" s="15">
        <v>5.5</v>
      </c>
      <c r="CW31" s="15">
        <v>5.5</v>
      </c>
      <c r="CX31" s="15">
        <v>5.5</v>
      </c>
      <c r="CY31" s="15">
        <v>5.5</v>
      </c>
      <c r="CZ31" s="15">
        <v>5.5</v>
      </c>
      <c r="DA31" s="15">
        <v>5.5</v>
      </c>
      <c r="DB31" s="15">
        <v>5.5</v>
      </c>
      <c r="DC31" s="15">
        <v>5.5</v>
      </c>
      <c r="DD31" s="15">
        <v>5.5</v>
      </c>
      <c r="DE31" s="15">
        <v>5.5</v>
      </c>
      <c r="DF31" s="15">
        <v>5.5</v>
      </c>
      <c r="DG31" s="15">
        <v>5.5</v>
      </c>
      <c r="DH31" s="15">
        <v>5.5</v>
      </c>
      <c r="DI31" s="15">
        <v>5.5</v>
      </c>
      <c r="DJ31" s="15">
        <v>5.5</v>
      </c>
      <c r="DK31" s="15">
        <v>5.5</v>
      </c>
      <c r="DL31" s="15">
        <v>5.5</v>
      </c>
      <c r="DM31" s="15">
        <v>5.5</v>
      </c>
      <c r="DN31" s="15">
        <v>5.5</v>
      </c>
      <c r="DO31" s="15">
        <v>5.5</v>
      </c>
      <c r="DP31" s="15">
        <v>5.5</v>
      </c>
      <c r="DQ31" s="15">
        <v>5.5</v>
      </c>
      <c r="DR31" s="15">
        <v>5.5</v>
      </c>
      <c r="DS31" s="15">
        <v>5.5</v>
      </c>
      <c r="DT31" s="15">
        <v>5.5</v>
      </c>
      <c r="DU31" s="15">
        <v>5.5</v>
      </c>
      <c r="DV31" s="15">
        <v>5.5</v>
      </c>
      <c r="DW31" s="15">
        <v>5.5</v>
      </c>
      <c r="DX31" s="15">
        <v>5.5</v>
      </c>
      <c r="DY31" s="15">
        <v>5.5</v>
      </c>
      <c r="DZ31" s="15">
        <v>5.5</v>
      </c>
      <c r="EA31" s="15">
        <v>5.5</v>
      </c>
      <c r="EB31" s="15">
        <v>5.5</v>
      </c>
      <c r="EC31" s="15">
        <v>5.5</v>
      </c>
      <c r="ED31" s="15">
        <v>5.5</v>
      </c>
      <c r="EE31" s="15">
        <v>5.5</v>
      </c>
      <c r="EF31" s="15">
        <v>5.5</v>
      </c>
      <c r="EG31" s="15">
        <v>5.5</v>
      </c>
      <c r="EH31" s="15">
        <v>5.5</v>
      </c>
      <c r="EI31" s="15">
        <v>5.5</v>
      </c>
      <c r="EJ31" s="15">
        <v>5.5</v>
      </c>
      <c r="EK31" s="15">
        <v>5.5</v>
      </c>
      <c r="EL31" s="15">
        <v>5.5</v>
      </c>
      <c r="EM31" s="15">
        <v>5.5</v>
      </c>
      <c r="EN31" s="15">
        <v>5.5</v>
      </c>
      <c r="EO31" s="15">
        <v>5.5</v>
      </c>
      <c r="EP31" s="15">
        <v>5.5</v>
      </c>
      <c r="EQ31" s="15">
        <v>5.5</v>
      </c>
      <c r="ER31" s="15">
        <v>5.5</v>
      </c>
      <c r="ES31" s="15">
        <v>5.5</v>
      </c>
      <c r="ET31" s="15">
        <v>5.5</v>
      </c>
      <c r="EU31" s="15">
        <v>5.5</v>
      </c>
      <c r="EV31" s="15">
        <v>5.5</v>
      </c>
      <c r="EW31" s="15">
        <v>5.5</v>
      </c>
      <c r="EX31" s="15">
        <v>5.5</v>
      </c>
      <c r="EY31" s="15">
        <v>5.5</v>
      </c>
      <c r="EZ31" s="15">
        <v>5.5</v>
      </c>
      <c r="FA31" s="15">
        <v>5.5</v>
      </c>
      <c r="FB31" s="15">
        <v>5.5</v>
      </c>
      <c r="FC31" s="15">
        <v>5.5</v>
      </c>
      <c r="FD31" s="15">
        <v>5.5</v>
      </c>
      <c r="FE31" s="15">
        <v>5.5</v>
      </c>
      <c r="FF31" s="15">
        <v>5.5</v>
      </c>
      <c r="FG31" s="15">
        <v>5.5</v>
      </c>
      <c r="FH31" s="15">
        <v>5.5</v>
      </c>
      <c r="FI31" s="15">
        <v>5.5</v>
      </c>
      <c r="FJ31" s="15">
        <v>5.5</v>
      </c>
      <c r="FK31" s="15">
        <v>5.5</v>
      </c>
      <c r="FL31" s="15">
        <v>5.5</v>
      </c>
      <c r="FM31" s="15">
        <v>5.5</v>
      </c>
      <c r="FN31" s="15">
        <v>5.5</v>
      </c>
      <c r="FO31" s="15">
        <v>5.5</v>
      </c>
      <c r="FP31" s="15">
        <v>5.5</v>
      </c>
      <c r="FQ31" s="15">
        <v>5.5</v>
      </c>
      <c r="FR31" s="15">
        <v>5.5</v>
      </c>
      <c r="FS31" s="15">
        <v>5.5</v>
      </c>
      <c r="FT31" s="15">
        <v>5.5</v>
      </c>
      <c r="FU31" s="15">
        <v>5.5</v>
      </c>
      <c r="FV31" s="15">
        <v>5.5</v>
      </c>
      <c r="FW31" s="15">
        <v>5.5</v>
      </c>
      <c r="FX31" s="15">
        <v>5.5</v>
      </c>
      <c r="FY31" s="15">
        <v>5.5</v>
      </c>
      <c r="FZ31" s="15">
        <v>5.5</v>
      </c>
      <c r="GA31" s="15">
        <v>5.5</v>
      </c>
      <c r="GB31" s="15">
        <v>5.5</v>
      </c>
      <c r="GC31" s="15">
        <v>5.5</v>
      </c>
      <c r="GD31" s="15">
        <v>5.5</v>
      </c>
      <c r="GE31" s="15">
        <v>5.5</v>
      </c>
      <c r="GF31" s="15">
        <v>5.5</v>
      </c>
      <c r="GG31" s="15">
        <v>5.5</v>
      </c>
      <c r="GH31" s="15">
        <v>5.5</v>
      </c>
      <c r="GI31" s="15">
        <v>5.5</v>
      </c>
      <c r="GJ31" s="15">
        <v>5.5</v>
      </c>
      <c r="GK31" s="15">
        <v>5.5</v>
      </c>
      <c r="GL31" s="15">
        <v>5.5</v>
      </c>
      <c r="GM31" s="15">
        <v>5.5</v>
      </c>
      <c r="GN31" s="15">
        <v>5.5</v>
      </c>
      <c r="GO31" s="15">
        <v>5.5</v>
      </c>
      <c r="GP31" s="15">
        <v>5.5</v>
      </c>
      <c r="GQ31" s="15">
        <v>5.5</v>
      </c>
      <c r="GR31" s="15">
        <v>5.5</v>
      </c>
      <c r="GS31" s="15">
        <v>5.5</v>
      </c>
      <c r="GT31" s="15">
        <v>5.5</v>
      </c>
      <c r="GU31" s="15"/>
    </row>
    <row r="32" spans="1:204" ht="13.5" customHeight="1" x14ac:dyDescent="0.2">
      <c r="A32" s="40" t="s">
        <v>22</v>
      </c>
      <c r="B32" s="85" t="str">
        <f>Setup!B11</f>
        <v>Al2O3</v>
      </c>
      <c r="C32" s="15">
        <v>2.6</v>
      </c>
      <c r="D32" s="15">
        <v>2.6</v>
      </c>
      <c r="E32" s="15">
        <v>2.6</v>
      </c>
      <c r="F32" s="15">
        <v>2.6</v>
      </c>
      <c r="G32" s="15">
        <v>2.6</v>
      </c>
      <c r="H32" s="15">
        <v>2.6</v>
      </c>
      <c r="I32" s="15">
        <v>2.6</v>
      </c>
      <c r="J32" s="15">
        <v>2.6</v>
      </c>
      <c r="K32" s="15">
        <v>2.6</v>
      </c>
      <c r="L32" s="15">
        <v>2.6</v>
      </c>
      <c r="M32" s="15">
        <v>2.6</v>
      </c>
      <c r="N32" s="15">
        <v>2.6</v>
      </c>
      <c r="O32" s="15">
        <v>2.6</v>
      </c>
      <c r="P32" s="15">
        <v>2.6</v>
      </c>
      <c r="Q32" s="15">
        <v>2.6</v>
      </c>
      <c r="R32" s="15">
        <v>2.6</v>
      </c>
      <c r="S32" s="15">
        <v>2.6</v>
      </c>
      <c r="T32" s="15">
        <v>2.6</v>
      </c>
      <c r="U32" s="15">
        <v>2.6</v>
      </c>
      <c r="V32" s="15">
        <v>2.6</v>
      </c>
      <c r="W32" s="15">
        <v>2.6</v>
      </c>
      <c r="X32" s="15">
        <v>2.6</v>
      </c>
      <c r="Y32" s="15">
        <v>2.6</v>
      </c>
      <c r="Z32" s="15">
        <v>2.6</v>
      </c>
      <c r="AA32" s="15">
        <v>2.6</v>
      </c>
      <c r="AB32" s="15">
        <v>2.6</v>
      </c>
      <c r="AC32" s="15">
        <v>2.6</v>
      </c>
      <c r="AD32" s="15">
        <v>2.6</v>
      </c>
      <c r="AE32" s="15">
        <v>2.6</v>
      </c>
      <c r="AF32" s="15">
        <v>2.6</v>
      </c>
      <c r="AG32" s="15">
        <v>2.6</v>
      </c>
      <c r="AH32" s="15">
        <v>2.6</v>
      </c>
      <c r="AI32" s="15">
        <v>2.6</v>
      </c>
      <c r="AJ32" s="15">
        <v>2.6</v>
      </c>
      <c r="AK32" s="15">
        <v>2.6</v>
      </c>
      <c r="AL32" s="15">
        <v>2.6</v>
      </c>
      <c r="AM32" s="15">
        <v>2.6</v>
      </c>
      <c r="AN32" s="15">
        <v>2.6</v>
      </c>
      <c r="AO32" s="15">
        <v>2.6</v>
      </c>
      <c r="AP32" s="15">
        <v>2.6</v>
      </c>
      <c r="AQ32" s="15">
        <v>2.6</v>
      </c>
      <c r="AR32" s="15">
        <v>2.6</v>
      </c>
      <c r="AS32" s="15">
        <v>2.6</v>
      </c>
      <c r="AT32" s="15">
        <v>2.6</v>
      </c>
      <c r="AU32" s="15">
        <v>2.6</v>
      </c>
      <c r="AV32" s="15">
        <v>2.6</v>
      </c>
      <c r="AW32" s="15">
        <v>2.6</v>
      </c>
      <c r="AX32" s="15">
        <v>2.6</v>
      </c>
      <c r="AY32" s="15">
        <v>2.6</v>
      </c>
      <c r="AZ32" s="15">
        <v>2.6</v>
      </c>
      <c r="BA32" s="15">
        <v>2.6</v>
      </c>
      <c r="BB32" s="15">
        <v>2.6</v>
      </c>
      <c r="BC32" s="15">
        <v>2.6</v>
      </c>
      <c r="BD32" s="15">
        <v>2.6</v>
      </c>
      <c r="BE32" s="15">
        <v>2.6</v>
      </c>
      <c r="BF32" s="15">
        <v>2.6</v>
      </c>
      <c r="BG32" s="15">
        <v>2.6</v>
      </c>
      <c r="BH32" s="15">
        <v>2.6</v>
      </c>
      <c r="BI32" s="15">
        <v>2.6</v>
      </c>
      <c r="BJ32" s="15">
        <v>2.6</v>
      </c>
      <c r="BK32" s="15">
        <v>2.6</v>
      </c>
      <c r="BL32" s="15">
        <v>2.6</v>
      </c>
      <c r="BM32" s="15">
        <v>2.6</v>
      </c>
      <c r="BN32" s="15">
        <v>2.6</v>
      </c>
      <c r="BO32" s="15">
        <v>2.6</v>
      </c>
      <c r="BP32" s="15">
        <v>2.6</v>
      </c>
      <c r="BQ32" s="15">
        <v>2.6</v>
      </c>
      <c r="BR32" s="15">
        <v>2.6</v>
      </c>
      <c r="BS32" s="15">
        <v>2.6</v>
      </c>
      <c r="BT32" s="15">
        <v>2.6</v>
      </c>
      <c r="BU32" s="15">
        <v>2.6</v>
      </c>
      <c r="BV32" s="15">
        <v>2.6</v>
      </c>
      <c r="BW32" s="15">
        <v>2.6</v>
      </c>
      <c r="BX32" s="15">
        <v>2.6</v>
      </c>
      <c r="BY32" s="15">
        <v>2.6</v>
      </c>
      <c r="BZ32" s="15">
        <v>2.6</v>
      </c>
      <c r="CA32" s="15">
        <v>2.6</v>
      </c>
      <c r="CB32" s="15">
        <v>2.6</v>
      </c>
      <c r="CC32" s="15">
        <v>2.6</v>
      </c>
      <c r="CD32" s="15">
        <v>2.6</v>
      </c>
      <c r="CE32" s="15">
        <v>2.6</v>
      </c>
      <c r="CF32" s="15">
        <v>2.6</v>
      </c>
      <c r="CG32" s="15">
        <v>2.6</v>
      </c>
      <c r="CH32" s="15">
        <v>2.6</v>
      </c>
      <c r="CI32" s="15">
        <v>2.6</v>
      </c>
      <c r="CJ32" s="15">
        <v>2.6</v>
      </c>
      <c r="CK32" s="15">
        <v>2.6</v>
      </c>
      <c r="CL32" s="15">
        <v>2.6</v>
      </c>
      <c r="CM32" s="15">
        <v>2.6</v>
      </c>
      <c r="CN32" s="15">
        <v>2.6</v>
      </c>
      <c r="CO32" s="15">
        <v>2.6</v>
      </c>
      <c r="CP32" s="15">
        <v>2.6</v>
      </c>
      <c r="CQ32" s="15">
        <v>2.6</v>
      </c>
      <c r="CR32" s="15">
        <v>2.6</v>
      </c>
      <c r="CS32" s="15">
        <v>2.6</v>
      </c>
      <c r="CT32" s="15">
        <v>2.6</v>
      </c>
      <c r="CU32" s="15">
        <v>2.6</v>
      </c>
      <c r="CV32" s="15">
        <v>2.6</v>
      </c>
      <c r="CW32" s="15">
        <v>2.6</v>
      </c>
      <c r="CX32" s="15">
        <v>2.6</v>
      </c>
      <c r="CY32" s="15">
        <v>2.6</v>
      </c>
      <c r="CZ32" s="15">
        <v>2.6</v>
      </c>
      <c r="DA32" s="15">
        <v>2.6</v>
      </c>
      <c r="DB32" s="15">
        <v>2.6</v>
      </c>
      <c r="DC32" s="15">
        <v>2.6</v>
      </c>
      <c r="DD32" s="15">
        <v>2.6</v>
      </c>
      <c r="DE32" s="15">
        <v>2.6</v>
      </c>
      <c r="DF32" s="15">
        <v>2.6</v>
      </c>
      <c r="DG32" s="15">
        <v>2.6</v>
      </c>
      <c r="DH32" s="15">
        <v>2.6</v>
      </c>
      <c r="DI32" s="15">
        <v>2.6</v>
      </c>
      <c r="DJ32" s="15">
        <v>2.6</v>
      </c>
      <c r="DK32" s="15">
        <v>2.6</v>
      </c>
      <c r="DL32" s="15">
        <v>2.6</v>
      </c>
      <c r="DM32" s="15">
        <v>2.6</v>
      </c>
      <c r="DN32" s="15">
        <v>2.6</v>
      </c>
      <c r="DO32" s="15">
        <v>2.6</v>
      </c>
      <c r="DP32" s="15">
        <v>2.6</v>
      </c>
      <c r="DQ32" s="15">
        <v>2.6</v>
      </c>
      <c r="DR32" s="15">
        <v>2.6</v>
      </c>
      <c r="DS32" s="15">
        <v>2.6</v>
      </c>
      <c r="DT32" s="15">
        <v>2.6</v>
      </c>
      <c r="DU32" s="15">
        <v>2.6</v>
      </c>
      <c r="DV32" s="15">
        <v>2.6</v>
      </c>
      <c r="DW32" s="15">
        <v>2.6</v>
      </c>
      <c r="DX32" s="15">
        <v>2.6</v>
      </c>
      <c r="DY32" s="15">
        <v>2.6</v>
      </c>
      <c r="DZ32" s="15">
        <v>2.6</v>
      </c>
      <c r="EA32" s="15">
        <v>2.6</v>
      </c>
      <c r="EB32" s="15">
        <v>2.6</v>
      </c>
      <c r="EC32" s="15">
        <v>2.6</v>
      </c>
      <c r="ED32" s="15">
        <v>2.6</v>
      </c>
      <c r="EE32" s="15">
        <v>2.6</v>
      </c>
      <c r="EF32" s="15">
        <v>2.6</v>
      </c>
      <c r="EG32" s="15">
        <v>2.6</v>
      </c>
      <c r="EH32" s="15">
        <v>2.6</v>
      </c>
      <c r="EI32" s="15">
        <v>2.6</v>
      </c>
      <c r="EJ32" s="15">
        <v>2.6</v>
      </c>
      <c r="EK32" s="15">
        <v>2.6</v>
      </c>
      <c r="EL32" s="15">
        <v>2.6</v>
      </c>
      <c r="EM32" s="15">
        <v>2.6</v>
      </c>
      <c r="EN32" s="15">
        <v>2.6</v>
      </c>
      <c r="EO32" s="15">
        <v>2.6</v>
      </c>
      <c r="EP32" s="15">
        <v>2.6</v>
      </c>
      <c r="EQ32" s="15">
        <v>2.6</v>
      </c>
      <c r="ER32" s="15">
        <v>2.6</v>
      </c>
      <c r="ES32" s="15">
        <v>2.6</v>
      </c>
      <c r="ET32" s="15">
        <v>2.6</v>
      </c>
      <c r="EU32" s="15">
        <v>2.6</v>
      </c>
      <c r="EV32" s="15">
        <v>2.6</v>
      </c>
      <c r="EW32" s="15">
        <v>2.6</v>
      </c>
      <c r="EX32" s="15">
        <v>2.6</v>
      </c>
      <c r="EY32" s="15">
        <v>2.6</v>
      </c>
      <c r="EZ32" s="15">
        <v>2.6</v>
      </c>
      <c r="FA32" s="15">
        <v>2.6</v>
      </c>
      <c r="FB32" s="15">
        <v>2.6</v>
      </c>
      <c r="FC32" s="15">
        <v>2.6</v>
      </c>
      <c r="FD32" s="15">
        <v>2.6</v>
      </c>
      <c r="FE32" s="15">
        <v>2.6</v>
      </c>
      <c r="FF32" s="15">
        <v>2.6</v>
      </c>
      <c r="FG32" s="15">
        <v>2.6</v>
      </c>
      <c r="FH32" s="15">
        <v>2.6</v>
      </c>
      <c r="FI32" s="15">
        <v>2.6</v>
      </c>
      <c r="FJ32" s="15">
        <v>2.6</v>
      </c>
      <c r="FK32" s="15">
        <v>2.6</v>
      </c>
      <c r="FL32" s="15">
        <v>2.6</v>
      </c>
      <c r="FM32" s="15">
        <v>2.6</v>
      </c>
      <c r="FN32" s="15">
        <v>2.6</v>
      </c>
      <c r="FO32" s="15">
        <v>2.6</v>
      </c>
      <c r="FP32" s="15">
        <v>2.6</v>
      </c>
      <c r="FQ32" s="15">
        <v>2.6</v>
      </c>
      <c r="FR32" s="15">
        <v>2.6</v>
      </c>
      <c r="FS32" s="15">
        <v>2.6</v>
      </c>
      <c r="FT32" s="15">
        <v>2.6</v>
      </c>
      <c r="FU32" s="15">
        <v>2.6</v>
      </c>
      <c r="FV32" s="15">
        <v>2.6</v>
      </c>
      <c r="FW32" s="15">
        <v>2.6</v>
      </c>
      <c r="FX32" s="15">
        <v>2.6</v>
      </c>
      <c r="FY32" s="15">
        <v>2.6</v>
      </c>
      <c r="FZ32" s="15">
        <v>2.6</v>
      </c>
      <c r="GA32" s="15">
        <v>2.6</v>
      </c>
      <c r="GB32" s="15">
        <v>2.6</v>
      </c>
      <c r="GC32" s="15">
        <v>2.6</v>
      </c>
      <c r="GD32" s="15">
        <v>2.6</v>
      </c>
      <c r="GE32" s="15">
        <v>2.6</v>
      </c>
      <c r="GF32" s="15">
        <v>2.6</v>
      </c>
      <c r="GG32" s="15">
        <v>2.6</v>
      </c>
      <c r="GH32" s="15">
        <v>2.6</v>
      </c>
      <c r="GI32" s="15">
        <v>2.6</v>
      </c>
      <c r="GJ32" s="15">
        <v>2.6</v>
      </c>
      <c r="GK32" s="15">
        <v>2.6</v>
      </c>
      <c r="GL32" s="15">
        <v>2.6</v>
      </c>
      <c r="GM32" s="15">
        <v>2.6</v>
      </c>
      <c r="GN32" s="15">
        <v>2.6</v>
      </c>
      <c r="GO32" s="15">
        <v>2.6</v>
      </c>
      <c r="GP32" s="15">
        <v>2.6</v>
      </c>
      <c r="GQ32" s="15">
        <v>2.6</v>
      </c>
      <c r="GR32" s="15">
        <v>2.6</v>
      </c>
      <c r="GS32" s="15">
        <v>2.6</v>
      </c>
      <c r="GT32" s="15">
        <v>2.6</v>
      </c>
      <c r="GU32" s="15"/>
    </row>
    <row r="33" spans="1:203" ht="13.5" customHeight="1" x14ac:dyDescent="0.2">
      <c r="A33" s="40" t="s">
        <v>54</v>
      </c>
      <c r="B33" s="87" t="str">
        <f>Setup!B12</f>
        <v>100%-Fe</v>
      </c>
      <c r="C33" s="89">
        <f>100-59</f>
        <v>41</v>
      </c>
      <c r="D33" s="15">
        <f t="shared" ref="D33:K33" si="10">100-59.5</f>
        <v>40.5</v>
      </c>
      <c r="E33" s="15">
        <f t="shared" si="10"/>
        <v>40.5</v>
      </c>
      <c r="F33" s="15">
        <f t="shared" si="10"/>
        <v>40.5</v>
      </c>
      <c r="G33" s="15">
        <f t="shared" si="10"/>
        <v>40.5</v>
      </c>
      <c r="H33" s="15">
        <f t="shared" si="10"/>
        <v>40.5</v>
      </c>
      <c r="I33" s="15">
        <f t="shared" si="10"/>
        <v>40.5</v>
      </c>
      <c r="J33" s="15">
        <f t="shared" si="10"/>
        <v>40.5</v>
      </c>
      <c r="K33" s="15">
        <f t="shared" si="10"/>
        <v>40.5</v>
      </c>
      <c r="L33" s="15">
        <f t="shared" ref="L33:BP33" si="11">100-59.5</f>
        <v>40.5</v>
      </c>
      <c r="M33" s="15">
        <f t="shared" si="11"/>
        <v>40.5</v>
      </c>
      <c r="N33" s="15">
        <f t="shared" si="11"/>
        <v>40.5</v>
      </c>
      <c r="O33" s="15">
        <f t="shared" si="11"/>
        <v>40.5</v>
      </c>
      <c r="P33" s="15">
        <f t="shared" si="11"/>
        <v>40.5</v>
      </c>
      <c r="Q33" s="15">
        <f t="shared" si="11"/>
        <v>40.5</v>
      </c>
      <c r="R33" s="15">
        <f t="shared" si="11"/>
        <v>40.5</v>
      </c>
      <c r="S33" s="15">
        <f t="shared" si="11"/>
        <v>40.5</v>
      </c>
      <c r="T33" s="15">
        <f t="shared" si="11"/>
        <v>40.5</v>
      </c>
      <c r="U33" s="15">
        <f t="shared" si="11"/>
        <v>40.5</v>
      </c>
      <c r="V33" s="15">
        <f t="shared" si="11"/>
        <v>40.5</v>
      </c>
      <c r="W33" s="15">
        <f t="shared" si="11"/>
        <v>40.5</v>
      </c>
      <c r="X33" s="15">
        <f t="shared" si="11"/>
        <v>40.5</v>
      </c>
      <c r="Y33" s="15">
        <f t="shared" si="11"/>
        <v>40.5</v>
      </c>
      <c r="Z33" s="15">
        <f t="shared" si="11"/>
        <v>40.5</v>
      </c>
      <c r="AA33" s="15">
        <f t="shared" si="11"/>
        <v>40.5</v>
      </c>
      <c r="AB33" s="15">
        <f t="shared" si="11"/>
        <v>40.5</v>
      </c>
      <c r="AC33" s="15">
        <f t="shared" si="11"/>
        <v>40.5</v>
      </c>
      <c r="AD33" s="15">
        <f t="shared" si="11"/>
        <v>40.5</v>
      </c>
      <c r="AE33" s="15">
        <f t="shared" si="11"/>
        <v>40.5</v>
      </c>
      <c r="AF33" s="15">
        <f t="shared" si="11"/>
        <v>40.5</v>
      </c>
      <c r="AG33" s="15">
        <f t="shared" si="11"/>
        <v>40.5</v>
      </c>
      <c r="AH33" s="15">
        <f t="shared" si="11"/>
        <v>40.5</v>
      </c>
      <c r="AI33" s="15">
        <f t="shared" si="11"/>
        <v>40.5</v>
      </c>
      <c r="AJ33" s="15">
        <f t="shared" si="11"/>
        <v>40.5</v>
      </c>
      <c r="AK33" s="15">
        <f t="shared" si="11"/>
        <v>40.5</v>
      </c>
      <c r="AL33" s="15">
        <f t="shared" si="11"/>
        <v>40.5</v>
      </c>
      <c r="AM33" s="15">
        <f t="shared" si="11"/>
        <v>40.5</v>
      </c>
      <c r="AN33" s="15">
        <f t="shared" si="11"/>
        <v>40.5</v>
      </c>
      <c r="AO33" s="15">
        <f t="shared" si="11"/>
        <v>40.5</v>
      </c>
      <c r="AP33" s="15">
        <f t="shared" si="11"/>
        <v>40.5</v>
      </c>
      <c r="AQ33" s="15">
        <f t="shared" si="11"/>
        <v>40.5</v>
      </c>
      <c r="AR33" s="15">
        <f t="shared" si="11"/>
        <v>40.5</v>
      </c>
      <c r="AS33" s="15">
        <f t="shared" si="11"/>
        <v>40.5</v>
      </c>
      <c r="AT33" s="15">
        <f t="shared" si="11"/>
        <v>40.5</v>
      </c>
      <c r="AU33" s="15">
        <f t="shared" si="11"/>
        <v>40.5</v>
      </c>
      <c r="AV33" s="15">
        <f t="shared" si="11"/>
        <v>40.5</v>
      </c>
      <c r="AW33" s="15">
        <f t="shared" si="11"/>
        <v>40.5</v>
      </c>
      <c r="AX33" s="15">
        <f t="shared" si="11"/>
        <v>40.5</v>
      </c>
      <c r="AY33" s="15">
        <f t="shared" si="11"/>
        <v>40.5</v>
      </c>
      <c r="AZ33" s="15">
        <f t="shared" si="11"/>
        <v>40.5</v>
      </c>
      <c r="BA33" s="15">
        <f t="shared" si="11"/>
        <v>40.5</v>
      </c>
      <c r="BB33" s="15">
        <f t="shared" si="11"/>
        <v>40.5</v>
      </c>
      <c r="BC33" s="15">
        <f t="shared" si="11"/>
        <v>40.5</v>
      </c>
      <c r="BD33" s="15">
        <f t="shared" si="11"/>
        <v>40.5</v>
      </c>
      <c r="BE33" s="15">
        <f t="shared" si="11"/>
        <v>40.5</v>
      </c>
      <c r="BF33" s="15">
        <f t="shared" si="11"/>
        <v>40.5</v>
      </c>
      <c r="BG33" s="15">
        <f t="shared" si="11"/>
        <v>40.5</v>
      </c>
      <c r="BH33" s="15">
        <f t="shared" si="11"/>
        <v>40.5</v>
      </c>
      <c r="BI33" s="15">
        <f t="shared" si="11"/>
        <v>40.5</v>
      </c>
      <c r="BJ33" s="15">
        <f t="shared" si="11"/>
        <v>40.5</v>
      </c>
      <c r="BK33" s="15">
        <f t="shared" si="11"/>
        <v>40.5</v>
      </c>
      <c r="BL33" s="15">
        <f t="shared" si="11"/>
        <v>40.5</v>
      </c>
      <c r="BM33" s="15">
        <f t="shared" si="11"/>
        <v>40.5</v>
      </c>
      <c r="BN33" s="15">
        <f t="shared" si="11"/>
        <v>40.5</v>
      </c>
      <c r="BO33" s="15">
        <f t="shared" si="11"/>
        <v>40.5</v>
      </c>
      <c r="BP33" s="15">
        <f t="shared" si="11"/>
        <v>40.5</v>
      </c>
      <c r="BQ33" s="15">
        <f t="shared" ref="BQ33:EB33" si="12">100-59.5</f>
        <v>40.5</v>
      </c>
      <c r="BR33" s="15">
        <f t="shared" si="12"/>
        <v>40.5</v>
      </c>
      <c r="BS33" s="15">
        <f t="shared" si="12"/>
        <v>40.5</v>
      </c>
      <c r="BT33" s="15">
        <f t="shared" si="12"/>
        <v>40.5</v>
      </c>
      <c r="BU33" s="15">
        <f t="shared" si="12"/>
        <v>40.5</v>
      </c>
      <c r="BV33" s="15">
        <f t="shared" si="12"/>
        <v>40.5</v>
      </c>
      <c r="BW33" s="15">
        <f t="shared" si="12"/>
        <v>40.5</v>
      </c>
      <c r="BX33" s="15">
        <f t="shared" si="12"/>
        <v>40.5</v>
      </c>
      <c r="BY33" s="15">
        <f t="shared" si="12"/>
        <v>40.5</v>
      </c>
      <c r="BZ33" s="15">
        <f t="shared" si="12"/>
        <v>40.5</v>
      </c>
      <c r="CA33" s="15">
        <f t="shared" si="12"/>
        <v>40.5</v>
      </c>
      <c r="CB33" s="15">
        <f t="shared" si="12"/>
        <v>40.5</v>
      </c>
      <c r="CC33" s="15">
        <f t="shared" si="12"/>
        <v>40.5</v>
      </c>
      <c r="CD33" s="15">
        <f t="shared" si="12"/>
        <v>40.5</v>
      </c>
      <c r="CE33" s="15">
        <f t="shared" si="12"/>
        <v>40.5</v>
      </c>
      <c r="CF33" s="15">
        <f t="shared" si="12"/>
        <v>40.5</v>
      </c>
      <c r="CG33" s="15">
        <f t="shared" si="12"/>
        <v>40.5</v>
      </c>
      <c r="CH33" s="15">
        <f t="shared" si="12"/>
        <v>40.5</v>
      </c>
      <c r="CI33" s="15">
        <f t="shared" si="12"/>
        <v>40.5</v>
      </c>
      <c r="CJ33" s="15">
        <f t="shared" si="12"/>
        <v>40.5</v>
      </c>
      <c r="CK33" s="15">
        <f t="shared" si="12"/>
        <v>40.5</v>
      </c>
      <c r="CL33" s="15">
        <f t="shared" si="12"/>
        <v>40.5</v>
      </c>
      <c r="CM33" s="15">
        <f t="shared" si="12"/>
        <v>40.5</v>
      </c>
      <c r="CN33" s="15">
        <f t="shared" si="12"/>
        <v>40.5</v>
      </c>
      <c r="CO33" s="15">
        <f t="shared" si="12"/>
        <v>40.5</v>
      </c>
      <c r="CP33" s="15">
        <f t="shared" si="12"/>
        <v>40.5</v>
      </c>
      <c r="CQ33" s="15">
        <f t="shared" si="12"/>
        <v>40.5</v>
      </c>
      <c r="CR33" s="15">
        <f t="shared" si="12"/>
        <v>40.5</v>
      </c>
      <c r="CS33" s="15">
        <f t="shared" si="12"/>
        <v>40.5</v>
      </c>
      <c r="CT33" s="15">
        <f t="shared" si="12"/>
        <v>40.5</v>
      </c>
      <c r="CU33" s="15">
        <f t="shared" si="12"/>
        <v>40.5</v>
      </c>
      <c r="CV33" s="15">
        <f t="shared" si="12"/>
        <v>40.5</v>
      </c>
      <c r="CW33" s="15">
        <f t="shared" si="12"/>
        <v>40.5</v>
      </c>
      <c r="CX33" s="15">
        <f t="shared" si="12"/>
        <v>40.5</v>
      </c>
      <c r="CY33" s="15">
        <f t="shared" si="12"/>
        <v>40.5</v>
      </c>
      <c r="CZ33" s="15">
        <f t="shared" si="12"/>
        <v>40.5</v>
      </c>
      <c r="DA33" s="15">
        <f t="shared" si="12"/>
        <v>40.5</v>
      </c>
      <c r="DB33" s="15">
        <f t="shared" si="12"/>
        <v>40.5</v>
      </c>
      <c r="DC33" s="15">
        <f t="shared" si="12"/>
        <v>40.5</v>
      </c>
      <c r="DD33" s="15">
        <f t="shared" si="12"/>
        <v>40.5</v>
      </c>
      <c r="DE33" s="15">
        <f t="shared" si="12"/>
        <v>40.5</v>
      </c>
      <c r="DF33" s="15">
        <f t="shared" si="12"/>
        <v>40.5</v>
      </c>
      <c r="DG33" s="15">
        <f t="shared" si="12"/>
        <v>40.5</v>
      </c>
      <c r="DH33" s="15">
        <f t="shared" si="12"/>
        <v>40.5</v>
      </c>
      <c r="DI33" s="15">
        <f t="shared" si="12"/>
        <v>40.5</v>
      </c>
      <c r="DJ33" s="15">
        <f t="shared" si="12"/>
        <v>40.5</v>
      </c>
      <c r="DK33" s="15">
        <f t="shared" si="12"/>
        <v>40.5</v>
      </c>
      <c r="DL33" s="15">
        <f t="shared" si="12"/>
        <v>40.5</v>
      </c>
      <c r="DM33" s="15">
        <f t="shared" si="12"/>
        <v>40.5</v>
      </c>
      <c r="DN33" s="15">
        <f t="shared" si="12"/>
        <v>40.5</v>
      </c>
      <c r="DO33" s="15">
        <f t="shared" si="12"/>
        <v>40.5</v>
      </c>
      <c r="DP33" s="15">
        <f t="shared" si="12"/>
        <v>40.5</v>
      </c>
      <c r="DQ33" s="15">
        <f t="shared" si="12"/>
        <v>40.5</v>
      </c>
      <c r="DR33" s="15">
        <f t="shared" si="12"/>
        <v>40.5</v>
      </c>
      <c r="DS33" s="15">
        <f t="shared" si="12"/>
        <v>40.5</v>
      </c>
      <c r="DT33" s="15">
        <f t="shared" si="12"/>
        <v>40.5</v>
      </c>
      <c r="DU33" s="15">
        <f t="shared" si="12"/>
        <v>40.5</v>
      </c>
      <c r="DV33" s="15">
        <f t="shared" si="12"/>
        <v>40.5</v>
      </c>
      <c r="DW33" s="15">
        <f t="shared" si="12"/>
        <v>40.5</v>
      </c>
      <c r="DX33" s="15">
        <f t="shared" si="12"/>
        <v>40.5</v>
      </c>
      <c r="DY33" s="15">
        <f t="shared" si="12"/>
        <v>40.5</v>
      </c>
      <c r="DZ33" s="15">
        <f t="shared" si="12"/>
        <v>40.5</v>
      </c>
      <c r="EA33" s="15">
        <f t="shared" si="12"/>
        <v>40.5</v>
      </c>
      <c r="EB33" s="15">
        <f t="shared" si="12"/>
        <v>40.5</v>
      </c>
      <c r="EC33" s="15">
        <f t="shared" ref="EC33:GN33" si="13">100-59.5</f>
        <v>40.5</v>
      </c>
      <c r="ED33" s="15">
        <f t="shared" si="13"/>
        <v>40.5</v>
      </c>
      <c r="EE33" s="15">
        <f t="shared" si="13"/>
        <v>40.5</v>
      </c>
      <c r="EF33" s="15">
        <f t="shared" si="13"/>
        <v>40.5</v>
      </c>
      <c r="EG33" s="15">
        <f t="shared" si="13"/>
        <v>40.5</v>
      </c>
      <c r="EH33" s="15">
        <f t="shared" si="13"/>
        <v>40.5</v>
      </c>
      <c r="EI33" s="15">
        <f t="shared" si="13"/>
        <v>40.5</v>
      </c>
      <c r="EJ33" s="15">
        <f t="shared" si="13"/>
        <v>40.5</v>
      </c>
      <c r="EK33" s="15">
        <f t="shared" si="13"/>
        <v>40.5</v>
      </c>
      <c r="EL33" s="15">
        <f t="shared" si="13"/>
        <v>40.5</v>
      </c>
      <c r="EM33" s="15">
        <f t="shared" si="13"/>
        <v>40.5</v>
      </c>
      <c r="EN33" s="15">
        <f t="shared" si="13"/>
        <v>40.5</v>
      </c>
      <c r="EO33" s="15">
        <f t="shared" si="13"/>
        <v>40.5</v>
      </c>
      <c r="EP33" s="15">
        <f t="shared" si="13"/>
        <v>40.5</v>
      </c>
      <c r="EQ33" s="15">
        <f t="shared" si="13"/>
        <v>40.5</v>
      </c>
      <c r="ER33" s="15">
        <f t="shared" si="13"/>
        <v>40.5</v>
      </c>
      <c r="ES33" s="15">
        <f t="shared" si="13"/>
        <v>40.5</v>
      </c>
      <c r="ET33" s="15">
        <f t="shared" si="13"/>
        <v>40.5</v>
      </c>
      <c r="EU33" s="15">
        <f t="shared" si="13"/>
        <v>40.5</v>
      </c>
      <c r="EV33" s="15">
        <f t="shared" si="13"/>
        <v>40.5</v>
      </c>
      <c r="EW33" s="15">
        <f t="shared" si="13"/>
        <v>40.5</v>
      </c>
      <c r="EX33" s="15">
        <f t="shared" si="13"/>
        <v>40.5</v>
      </c>
      <c r="EY33" s="15">
        <f t="shared" si="13"/>
        <v>40.5</v>
      </c>
      <c r="EZ33" s="15">
        <f t="shared" si="13"/>
        <v>40.5</v>
      </c>
      <c r="FA33" s="15">
        <f t="shared" si="13"/>
        <v>40.5</v>
      </c>
      <c r="FB33" s="15">
        <f t="shared" si="13"/>
        <v>40.5</v>
      </c>
      <c r="FC33" s="15">
        <f t="shared" si="13"/>
        <v>40.5</v>
      </c>
      <c r="FD33" s="15">
        <f t="shared" si="13"/>
        <v>40.5</v>
      </c>
      <c r="FE33" s="15">
        <f t="shared" si="13"/>
        <v>40.5</v>
      </c>
      <c r="FF33" s="15">
        <f t="shared" si="13"/>
        <v>40.5</v>
      </c>
      <c r="FG33" s="15">
        <f t="shared" si="13"/>
        <v>40.5</v>
      </c>
      <c r="FH33" s="15">
        <f t="shared" si="13"/>
        <v>40.5</v>
      </c>
      <c r="FI33" s="15">
        <f t="shared" si="13"/>
        <v>40.5</v>
      </c>
      <c r="FJ33" s="15">
        <f t="shared" si="13"/>
        <v>40.5</v>
      </c>
      <c r="FK33" s="15">
        <f t="shared" si="13"/>
        <v>40.5</v>
      </c>
      <c r="FL33" s="15">
        <f t="shared" si="13"/>
        <v>40.5</v>
      </c>
      <c r="FM33" s="15">
        <f t="shared" si="13"/>
        <v>40.5</v>
      </c>
      <c r="FN33" s="15">
        <f t="shared" si="13"/>
        <v>40.5</v>
      </c>
      <c r="FO33" s="15">
        <f t="shared" si="13"/>
        <v>40.5</v>
      </c>
      <c r="FP33" s="15">
        <f t="shared" si="13"/>
        <v>40.5</v>
      </c>
      <c r="FQ33" s="15">
        <f t="shared" si="13"/>
        <v>40.5</v>
      </c>
      <c r="FR33" s="15">
        <f t="shared" si="13"/>
        <v>40.5</v>
      </c>
      <c r="FS33" s="15">
        <f t="shared" si="13"/>
        <v>40.5</v>
      </c>
      <c r="FT33" s="15">
        <f t="shared" si="13"/>
        <v>40.5</v>
      </c>
      <c r="FU33" s="15">
        <f t="shared" si="13"/>
        <v>40.5</v>
      </c>
      <c r="FV33" s="15">
        <f t="shared" si="13"/>
        <v>40.5</v>
      </c>
      <c r="FW33" s="15">
        <f t="shared" si="13"/>
        <v>40.5</v>
      </c>
      <c r="FX33" s="15">
        <f t="shared" si="13"/>
        <v>40.5</v>
      </c>
      <c r="FY33" s="15">
        <f t="shared" si="13"/>
        <v>40.5</v>
      </c>
      <c r="FZ33" s="15">
        <f t="shared" si="13"/>
        <v>40.5</v>
      </c>
      <c r="GA33" s="15">
        <f t="shared" si="13"/>
        <v>40.5</v>
      </c>
      <c r="GB33" s="15">
        <f t="shared" si="13"/>
        <v>40.5</v>
      </c>
      <c r="GC33" s="15">
        <f t="shared" si="13"/>
        <v>40.5</v>
      </c>
      <c r="GD33" s="15">
        <f t="shared" si="13"/>
        <v>40.5</v>
      </c>
      <c r="GE33" s="15">
        <f t="shared" si="13"/>
        <v>40.5</v>
      </c>
      <c r="GF33" s="15">
        <f t="shared" si="13"/>
        <v>40.5</v>
      </c>
      <c r="GG33" s="15">
        <f t="shared" si="13"/>
        <v>40.5</v>
      </c>
      <c r="GH33" s="15">
        <f t="shared" si="13"/>
        <v>40.5</v>
      </c>
      <c r="GI33" s="15">
        <f t="shared" si="13"/>
        <v>40.5</v>
      </c>
      <c r="GJ33" s="15">
        <f t="shared" si="13"/>
        <v>40.5</v>
      </c>
      <c r="GK33" s="15">
        <f t="shared" si="13"/>
        <v>40.5</v>
      </c>
      <c r="GL33" s="15">
        <f t="shared" si="13"/>
        <v>40.5</v>
      </c>
      <c r="GM33" s="15">
        <f t="shared" si="13"/>
        <v>40.5</v>
      </c>
      <c r="GN33" s="15">
        <f t="shared" si="13"/>
        <v>40.5</v>
      </c>
      <c r="GO33" s="15">
        <f t="shared" ref="GO33:GT33" si="14">100-59.5</f>
        <v>40.5</v>
      </c>
      <c r="GP33" s="15">
        <f t="shared" si="14"/>
        <v>40.5</v>
      </c>
      <c r="GQ33" s="15">
        <f t="shared" si="14"/>
        <v>40.5</v>
      </c>
      <c r="GR33" s="15">
        <f t="shared" si="14"/>
        <v>40.5</v>
      </c>
      <c r="GS33" s="15">
        <f t="shared" si="14"/>
        <v>40.5</v>
      </c>
      <c r="GT33" s="15">
        <f t="shared" si="14"/>
        <v>40.5</v>
      </c>
      <c r="GU33" s="15"/>
    </row>
    <row r="34" spans="1:203" ht="13.5" customHeight="1" x14ac:dyDescent="0.2">
      <c r="A34" s="40" t="s">
        <v>8</v>
      </c>
      <c r="B34" s="87" t="str">
        <f>Setup!B13</f>
        <v>Pre-Strip</v>
      </c>
      <c r="C34" s="72">
        <v>1</v>
      </c>
      <c r="D34" s="72">
        <v>1</v>
      </c>
      <c r="E34" s="72">
        <v>1</v>
      </c>
      <c r="F34" s="72">
        <v>1</v>
      </c>
      <c r="G34" s="72">
        <v>1</v>
      </c>
      <c r="H34" s="72">
        <v>1</v>
      </c>
      <c r="I34" s="72">
        <v>1</v>
      </c>
      <c r="J34" s="72">
        <v>1</v>
      </c>
      <c r="K34" s="72">
        <v>1</v>
      </c>
      <c r="L34" s="72">
        <v>1</v>
      </c>
      <c r="M34" s="72">
        <v>1</v>
      </c>
      <c r="N34" s="72">
        <v>1</v>
      </c>
      <c r="O34" s="72">
        <v>1</v>
      </c>
      <c r="P34" s="72">
        <v>1</v>
      </c>
      <c r="Q34" s="72">
        <v>1</v>
      </c>
      <c r="R34" s="72">
        <v>1</v>
      </c>
      <c r="S34" s="72">
        <v>1</v>
      </c>
      <c r="T34" s="72">
        <v>1</v>
      </c>
      <c r="U34" s="72">
        <v>1</v>
      </c>
      <c r="V34" s="72">
        <v>1</v>
      </c>
      <c r="W34" s="72">
        <v>1</v>
      </c>
      <c r="X34" s="72">
        <v>1</v>
      </c>
      <c r="Y34" s="72">
        <v>1</v>
      </c>
      <c r="Z34" s="72">
        <v>1</v>
      </c>
      <c r="AA34" s="72">
        <v>1</v>
      </c>
      <c r="AB34" s="72">
        <v>1</v>
      </c>
      <c r="AC34" s="72">
        <v>1</v>
      </c>
      <c r="AD34" s="72">
        <v>1</v>
      </c>
      <c r="AE34" s="72">
        <v>1</v>
      </c>
      <c r="AF34" s="72">
        <v>1</v>
      </c>
      <c r="AG34" s="72">
        <v>1</v>
      </c>
      <c r="AH34" s="72">
        <v>1</v>
      </c>
      <c r="AI34" s="72">
        <v>1</v>
      </c>
      <c r="AJ34" s="72">
        <v>1</v>
      </c>
      <c r="AK34" s="72">
        <v>1</v>
      </c>
      <c r="AL34" s="72">
        <v>1</v>
      </c>
      <c r="AM34" s="72">
        <v>1</v>
      </c>
      <c r="AN34" s="72">
        <v>1</v>
      </c>
      <c r="AO34" s="72">
        <v>1</v>
      </c>
      <c r="AP34" s="72">
        <v>1</v>
      </c>
      <c r="AQ34" s="72">
        <v>1</v>
      </c>
      <c r="AR34" s="72">
        <v>1</v>
      </c>
      <c r="AS34" s="72">
        <v>1</v>
      </c>
      <c r="AT34" s="72">
        <v>1</v>
      </c>
      <c r="AU34" s="72">
        <v>1</v>
      </c>
      <c r="AV34" s="72">
        <v>1</v>
      </c>
      <c r="AW34" s="72">
        <v>1</v>
      </c>
      <c r="AX34" s="72">
        <v>1</v>
      </c>
      <c r="AY34" s="72">
        <v>1</v>
      </c>
      <c r="AZ34" s="72">
        <v>1</v>
      </c>
      <c r="BA34" s="72">
        <v>1</v>
      </c>
      <c r="BB34" s="72">
        <v>1</v>
      </c>
      <c r="BC34" s="72">
        <v>1</v>
      </c>
      <c r="BD34" s="72">
        <v>1</v>
      </c>
      <c r="BE34" s="72">
        <v>1</v>
      </c>
      <c r="BF34" s="72">
        <v>1</v>
      </c>
      <c r="BG34" s="72">
        <v>1</v>
      </c>
      <c r="BH34" s="72">
        <v>1</v>
      </c>
      <c r="BI34" s="72">
        <v>1</v>
      </c>
      <c r="BJ34" s="72">
        <v>1</v>
      </c>
      <c r="BK34" s="72">
        <v>1</v>
      </c>
      <c r="BL34" s="72">
        <v>1</v>
      </c>
      <c r="BM34" s="72">
        <v>1</v>
      </c>
      <c r="BN34" s="72">
        <v>1</v>
      </c>
      <c r="BO34" s="72">
        <v>1</v>
      </c>
      <c r="BP34" s="72">
        <v>1</v>
      </c>
      <c r="BQ34" s="72">
        <v>1</v>
      </c>
      <c r="BR34" s="72">
        <v>1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1</v>
      </c>
      <c r="BZ34" s="72">
        <v>1</v>
      </c>
      <c r="CA34" s="72">
        <v>1</v>
      </c>
      <c r="CB34" s="72">
        <v>1</v>
      </c>
      <c r="CC34" s="72">
        <v>1</v>
      </c>
      <c r="CD34" s="72">
        <v>1</v>
      </c>
      <c r="CE34" s="72">
        <v>1</v>
      </c>
      <c r="CF34" s="72">
        <v>1</v>
      </c>
      <c r="CG34" s="72">
        <v>1</v>
      </c>
      <c r="CH34" s="72">
        <v>1</v>
      </c>
      <c r="CI34" s="72">
        <v>1</v>
      </c>
      <c r="CJ34" s="72">
        <v>1</v>
      </c>
      <c r="CK34" s="72">
        <v>1</v>
      </c>
      <c r="CL34" s="72">
        <v>1</v>
      </c>
      <c r="CM34" s="72">
        <v>1</v>
      </c>
      <c r="CN34" s="72">
        <v>1</v>
      </c>
      <c r="CO34" s="72">
        <v>1</v>
      </c>
      <c r="CP34" s="72">
        <v>1</v>
      </c>
      <c r="CQ34" s="72">
        <v>1</v>
      </c>
      <c r="CR34" s="72">
        <v>1</v>
      </c>
      <c r="CS34" s="72">
        <v>1</v>
      </c>
      <c r="CT34" s="72">
        <v>1</v>
      </c>
      <c r="CU34" s="72">
        <v>1</v>
      </c>
      <c r="CV34" s="72">
        <v>1</v>
      </c>
      <c r="CW34" s="72">
        <v>1</v>
      </c>
      <c r="CX34" s="72">
        <v>1</v>
      </c>
      <c r="CY34" s="72">
        <v>1</v>
      </c>
      <c r="CZ34" s="72">
        <v>1</v>
      </c>
      <c r="DA34" s="72">
        <v>1</v>
      </c>
      <c r="DB34" s="72">
        <v>1</v>
      </c>
      <c r="DC34" s="72">
        <v>1</v>
      </c>
      <c r="DD34" s="72">
        <v>1</v>
      </c>
      <c r="DE34" s="72">
        <v>1</v>
      </c>
      <c r="DF34" s="72">
        <v>1</v>
      </c>
      <c r="DG34" s="72">
        <v>1</v>
      </c>
      <c r="DH34" s="72">
        <v>1</v>
      </c>
      <c r="DI34" s="72">
        <v>1</v>
      </c>
      <c r="DJ34" s="72">
        <v>1</v>
      </c>
      <c r="DK34" s="72">
        <v>1</v>
      </c>
      <c r="DL34" s="72">
        <v>1</v>
      </c>
      <c r="DM34" s="72">
        <v>1</v>
      </c>
      <c r="DN34" s="72">
        <v>1</v>
      </c>
      <c r="DO34" s="72">
        <v>1</v>
      </c>
      <c r="DP34" s="72">
        <v>1</v>
      </c>
      <c r="DQ34" s="72">
        <v>1</v>
      </c>
      <c r="DR34" s="72">
        <v>1</v>
      </c>
      <c r="DS34" s="72">
        <v>1</v>
      </c>
      <c r="DT34" s="72">
        <v>1</v>
      </c>
      <c r="DU34" s="72">
        <v>1</v>
      </c>
      <c r="DV34" s="72">
        <v>1</v>
      </c>
      <c r="DW34" s="72">
        <v>1</v>
      </c>
      <c r="DX34" s="72">
        <v>1</v>
      </c>
      <c r="DY34" s="72">
        <v>1</v>
      </c>
      <c r="DZ34" s="72">
        <v>1</v>
      </c>
      <c r="EA34" s="72">
        <v>1</v>
      </c>
      <c r="EB34" s="72">
        <v>1</v>
      </c>
      <c r="EC34" s="72">
        <v>1</v>
      </c>
      <c r="ED34" s="72">
        <v>1</v>
      </c>
      <c r="EE34" s="72">
        <v>1</v>
      </c>
      <c r="EF34" s="72">
        <v>1</v>
      </c>
      <c r="EG34" s="72">
        <v>1</v>
      </c>
      <c r="EH34" s="72">
        <v>1</v>
      </c>
      <c r="EI34" s="72">
        <v>1</v>
      </c>
      <c r="EJ34" s="72">
        <v>1</v>
      </c>
      <c r="EK34" s="72">
        <v>1</v>
      </c>
      <c r="EL34" s="72">
        <v>1</v>
      </c>
      <c r="EM34" s="72">
        <v>1</v>
      </c>
      <c r="EN34" s="72">
        <v>1</v>
      </c>
      <c r="EO34" s="72">
        <v>1</v>
      </c>
      <c r="EP34" s="72">
        <v>1</v>
      </c>
      <c r="EQ34" s="72">
        <v>1</v>
      </c>
      <c r="ER34" s="72">
        <v>1</v>
      </c>
      <c r="ES34" s="72">
        <v>1</v>
      </c>
      <c r="ET34" s="72">
        <v>1</v>
      </c>
      <c r="EU34" s="72">
        <v>1</v>
      </c>
      <c r="EV34" s="72">
        <v>1</v>
      </c>
      <c r="EW34" s="72">
        <v>1</v>
      </c>
      <c r="EX34" s="72">
        <v>1</v>
      </c>
      <c r="EY34" s="72">
        <v>1</v>
      </c>
      <c r="EZ34" s="72">
        <v>1</v>
      </c>
      <c r="FA34" s="72">
        <v>1</v>
      </c>
      <c r="FB34" s="72">
        <v>1</v>
      </c>
      <c r="FC34" s="72">
        <v>1</v>
      </c>
      <c r="FD34" s="72">
        <v>1</v>
      </c>
      <c r="FE34" s="72">
        <v>1</v>
      </c>
      <c r="FF34" s="72">
        <v>1</v>
      </c>
      <c r="FG34" s="72">
        <v>1</v>
      </c>
      <c r="FH34" s="72">
        <v>1</v>
      </c>
      <c r="FI34" s="72">
        <v>1</v>
      </c>
      <c r="FJ34" s="72">
        <v>1</v>
      </c>
      <c r="FK34" s="72">
        <v>1</v>
      </c>
      <c r="FL34" s="72">
        <v>1</v>
      </c>
      <c r="FM34" s="72">
        <v>1</v>
      </c>
      <c r="FN34" s="72">
        <v>1</v>
      </c>
      <c r="FO34" s="72">
        <v>1</v>
      </c>
      <c r="FP34" s="72">
        <v>1</v>
      </c>
      <c r="FQ34" s="72">
        <v>1</v>
      </c>
      <c r="FR34" s="72">
        <v>1</v>
      </c>
      <c r="FS34" s="72">
        <v>1</v>
      </c>
      <c r="FT34" s="72">
        <v>1</v>
      </c>
      <c r="FU34" s="72">
        <v>1</v>
      </c>
      <c r="FV34" s="72">
        <v>1</v>
      </c>
      <c r="FW34" s="72">
        <v>1</v>
      </c>
      <c r="FX34" s="72">
        <v>1</v>
      </c>
      <c r="FY34" s="72">
        <v>1</v>
      </c>
      <c r="FZ34" s="72">
        <v>1</v>
      </c>
      <c r="GA34" s="72">
        <v>1</v>
      </c>
      <c r="GB34" s="72">
        <v>1</v>
      </c>
      <c r="GC34" s="72">
        <v>1</v>
      </c>
      <c r="GD34" s="72">
        <v>1</v>
      </c>
      <c r="GE34" s="72">
        <v>1</v>
      </c>
      <c r="GF34" s="72">
        <v>1</v>
      </c>
      <c r="GG34" s="72">
        <v>1</v>
      </c>
      <c r="GH34" s="72">
        <v>1</v>
      </c>
      <c r="GI34" s="72">
        <v>1</v>
      </c>
      <c r="GJ34" s="72">
        <v>1</v>
      </c>
      <c r="GK34" s="72">
        <v>1</v>
      </c>
      <c r="GL34" s="72">
        <v>1</v>
      </c>
      <c r="GM34" s="72">
        <v>1</v>
      </c>
      <c r="GN34" s="72">
        <v>1</v>
      </c>
      <c r="GO34" s="72">
        <v>1</v>
      </c>
      <c r="GP34" s="72">
        <v>1</v>
      </c>
      <c r="GQ34" s="72">
        <v>1</v>
      </c>
      <c r="GR34" s="72">
        <v>1</v>
      </c>
      <c r="GS34" s="72">
        <v>1</v>
      </c>
      <c r="GT34" s="72">
        <v>1</v>
      </c>
      <c r="GU34" s="72"/>
    </row>
    <row r="35" spans="1:203" ht="13.5" customHeight="1" x14ac:dyDescent="0.2">
      <c r="A35" s="40" t="s">
        <v>9</v>
      </c>
      <c r="B35" s="90" t="str">
        <f>Setup!B14</f>
        <v>Production</v>
      </c>
      <c r="C35" s="72">
        <v>1</v>
      </c>
      <c r="D35" s="72">
        <v>1</v>
      </c>
      <c r="E35" s="72">
        <v>1</v>
      </c>
      <c r="F35" s="72">
        <v>1</v>
      </c>
      <c r="G35" s="72">
        <v>1</v>
      </c>
      <c r="H35" s="72">
        <v>1</v>
      </c>
      <c r="I35" s="72">
        <v>1</v>
      </c>
      <c r="J35" s="72">
        <v>1</v>
      </c>
      <c r="K35" s="72">
        <v>1</v>
      </c>
      <c r="L35" s="72">
        <v>1</v>
      </c>
      <c r="M35" s="72">
        <v>1</v>
      </c>
      <c r="N35" s="72">
        <v>1</v>
      </c>
      <c r="O35" s="72">
        <v>1</v>
      </c>
      <c r="P35" s="72">
        <v>1</v>
      </c>
      <c r="Q35" s="72">
        <v>1</v>
      </c>
      <c r="R35" s="72">
        <v>1</v>
      </c>
      <c r="S35" s="72">
        <v>1</v>
      </c>
      <c r="T35" s="72">
        <v>1</v>
      </c>
      <c r="U35" s="72">
        <v>1</v>
      </c>
      <c r="V35" s="72">
        <v>1</v>
      </c>
      <c r="W35" s="72">
        <v>1</v>
      </c>
      <c r="X35" s="72">
        <v>1</v>
      </c>
      <c r="Y35" s="72">
        <v>1</v>
      </c>
      <c r="Z35" s="72">
        <v>1</v>
      </c>
      <c r="AA35" s="72">
        <v>1</v>
      </c>
      <c r="AB35" s="72">
        <v>1</v>
      </c>
      <c r="AC35" s="72">
        <v>1</v>
      </c>
      <c r="AD35" s="72">
        <v>1</v>
      </c>
      <c r="AE35" s="72">
        <v>1</v>
      </c>
      <c r="AF35" s="72">
        <v>1</v>
      </c>
      <c r="AG35" s="72">
        <v>1</v>
      </c>
      <c r="AH35" s="72">
        <v>1</v>
      </c>
      <c r="AI35" s="72">
        <v>1</v>
      </c>
      <c r="AJ35" s="72">
        <v>1</v>
      </c>
      <c r="AK35" s="72">
        <v>1</v>
      </c>
      <c r="AL35" s="72">
        <v>1</v>
      </c>
      <c r="AM35" s="72">
        <v>1</v>
      </c>
      <c r="AN35" s="72">
        <v>1</v>
      </c>
      <c r="AO35" s="72">
        <v>1</v>
      </c>
      <c r="AP35" s="72">
        <v>1</v>
      </c>
      <c r="AQ35" s="72">
        <v>1</v>
      </c>
      <c r="AR35" s="72">
        <v>1</v>
      </c>
      <c r="AS35" s="72">
        <v>1</v>
      </c>
      <c r="AT35" s="72">
        <v>1</v>
      </c>
      <c r="AU35" s="72">
        <v>1</v>
      </c>
      <c r="AV35" s="72">
        <v>1</v>
      </c>
      <c r="AW35" s="72">
        <v>1</v>
      </c>
      <c r="AX35" s="72">
        <v>1</v>
      </c>
      <c r="AY35" s="72">
        <v>1</v>
      </c>
      <c r="AZ35" s="72">
        <v>1</v>
      </c>
      <c r="BA35" s="72">
        <v>1</v>
      </c>
      <c r="BB35" s="72">
        <v>1</v>
      </c>
      <c r="BC35" s="72">
        <v>1</v>
      </c>
      <c r="BD35" s="72">
        <v>1</v>
      </c>
      <c r="BE35" s="72">
        <v>1</v>
      </c>
      <c r="BF35" s="72">
        <v>1</v>
      </c>
      <c r="BG35" s="72">
        <v>1</v>
      </c>
      <c r="BH35" s="72">
        <v>1</v>
      </c>
      <c r="BI35" s="72">
        <v>1</v>
      </c>
      <c r="BJ35" s="72">
        <v>1</v>
      </c>
      <c r="BK35" s="72">
        <v>1</v>
      </c>
      <c r="BL35" s="72">
        <v>1</v>
      </c>
      <c r="BM35" s="72">
        <v>1</v>
      </c>
      <c r="BN35" s="72">
        <v>1</v>
      </c>
      <c r="BO35" s="72">
        <v>1</v>
      </c>
      <c r="BP35" s="72">
        <v>1</v>
      </c>
      <c r="BQ35" s="72">
        <v>1</v>
      </c>
      <c r="BR35" s="72">
        <v>1</v>
      </c>
      <c r="BS35" s="72">
        <v>1</v>
      </c>
      <c r="BT35" s="72">
        <v>1</v>
      </c>
      <c r="BU35" s="72">
        <v>1</v>
      </c>
      <c r="BV35" s="72">
        <v>1</v>
      </c>
      <c r="BW35" s="72">
        <v>1</v>
      </c>
      <c r="BX35" s="72">
        <v>1</v>
      </c>
      <c r="BY35" s="72">
        <v>1</v>
      </c>
      <c r="BZ35" s="72">
        <v>1</v>
      </c>
      <c r="CA35" s="72">
        <v>1</v>
      </c>
      <c r="CB35" s="72">
        <v>1</v>
      </c>
      <c r="CC35" s="72">
        <v>1</v>
      </c>
      <c r="CD35" s="72">
        <v>1</v>
      </c>
      <c r="CE35" s="72">
        <v>1</v>
      </c>
      <c r="CF35" s="72">
        <v>1</v>
      </c>
      <c r="CG35" s="72">
        <v>1</v>
      </c>
      <c r="CH35" s="72">
        <v>1</v>
      </c>
      <c r="CI35" s="72">
        <v>1</v>
      </c>
      <c r="CJ35" s="72">
        <v>1</v>
      </c>
      <c r="CK35" s="72">
        <v>1</v>
      </c>
      <c r="CL35" s="72">
        <v>1</v>
      </c>
      <c r="CM35" s="72">
        <v>1</v>
      </c>
      <c r="CN35" s="72">
        <v>1</v>
      </c>
      <c r="CO35" s="72">
        <v>1</v>
      </c>
      <c r="CP35" s="72">
        <v>1</v>
      </c>
      <c r="CQ35" s="72">
        <v>1</v>
      </c>
      <c r="CR35" s="72">
        <v>1</v>
      </c>
      <c r="CS35" s="72">
        <v>1</v>
      </c>
      <c r="CT35" s="72">
        <v>1</v>
      </c>
      <c r="CU35" s="72">
        <v>1</v>
      </c>
      <c r="CV35" s="72">
        <v>1</v>
      </c>
      <c r="CW35" s="72">
        <v>1</v>
      </c>
      <c r="CX35" s="72">
        <v>1</v>
      </c>
      <c r="CY35" s="72">
        <v>1</v>
      </c>
      <c r="CZ35" s="72">
        <v>1</v>
      </c>
      <c r="DA35" s="72">
        <v>1</v>
      </c>
      <c r="DB35" s="72">
        <v>1</v>
      </c>
      <c r="DC35" s="72">
        <v>1</v>
      </c>
      <c r="DD35" s="72">
        <v>1</v>
      </c>
      <c r="DE35" s="72">
        <v>1</v>
      </c>
      <c r="DF35" s="72">
        <v>1</v>
      </c>
      <c r="DG35" s="72">
        <v>1</v>
      </c>
      <c r="DH35" s="72">
        <v>1</v>
      </c>
      <c r="DI35" s="72">
        <v>1</v>
      </c>
      <c r="DJ35" s="72">
        <v>1</v>
      </c>
      <c r="DK35" s="72">
        <v>1</v>
      </c>
      <c r="DL35" s="72">
        <v>1</v>
      </c>
      <c r="DM35" s="72">
        <v>1</v>
      </c>
      <c r="DN35" s="72">
        <v>1</v>
      </c>
      <c r="DO35" s="72">
        <v>1</v>
      </c>
      <c r="DP35" s="72">
        <v>1</v>
      </c>
      <c r="DQ35" s="72">
        <v>1</v>
      </c>
      <c r="DR35" s="72">
        <v>1</v>
      </c>
      <c r="DS35" s="72">
        <v>1</v>
      </c>
      <c r="DT35" s="72">
        <v>1</v>
      </c>
      <c r="DU35" s="72">
        <v>1</v>
      </c>
      <c r="DV35" s="72">
        <v>1</v>
      </c>
      <c r="DW35" s="72">
        <v>1</v>
      </c>
      <c r="DX35" s="72">
        <v>1</v>
      </c>
      <c r="DY35" s="72">
        <v>1</v>
      </c>
      <c r="DZ35" s="72">
        <v>1</v>
      </c>
      <c r="EA35" s="72">
        <v>1</v>
      </c>
      <c r="EB35" s="72">
        <v>1</v>
      </c>
      <c r="EC35" s="72">
        <v>1</v>
      </c>
      <c r="ED35" s="72">
        <v>1</v>
      </c>
      <c r="EE35" s="72">
        <v>1</v>
      </c>
      <c r="EF35" s="72">
        <v>1</v>
      </c>
      <c r="EG35" s="72">
        <v>1</v>
      </c>
      <c r="EH35" s="72">
        <v>1</v>
      </c>
      <c r="EI35" s="72">
        <v>1</v>
      </c>
      <c r="EJ35" s="72">
        <v>1</v>
      </c>
      <c r="EK35" s="72">
        <v>1</v>
      </c>
      <c r="EL35" s="72">
        <v>1</v>
      </c>
      <c r="EM35" s="72">
        <v>1</v>
      </c>
      <c r="EN35" s="72">
        <v>1</v>
      </c>
      <c r="EO35" s="72">
        <v>1</v>
      </c>
      <c r="EP35" s="72">
        <v>1</v>
      </c>
      <c r="EQ35" s="72">
        <v>1</v>
      </c>
      <c r="ER35" s="72">
        <v>1</v>
      </c>
      <c r="ES35" s="72">
        <v>1</v>
      </c>
      <c r="ET35" s="72">
        <v>1</v>
      </c>
      <c r="EU35" s="72">
        <v>1</v>
      </c>
      <c r="EV35" s="72">
        <v>1</v>
      </c>
      <c r="EW35" s="72">
        <v>1</v>
      </c>
      <c r="EX35" s="72">
        <v>1</v>
      </c>
      <c r="EY35" s="72">
        <v>1</v>
      </c>
      <c r="EZ35" s="72">
        <v>1</v>
      </c>
      <c r="FA35" s="72">
        <v>1</v>
      </c>
      <c r="FB35" s="72">
        <v>1</v>
      </c>
      <c r="FC35" s="72">
        <v>1</v>
      </c>
      <c r="FD35" s="72">
        <v>1</v>
      </c>
      <c r="FE35" s="72">
        <v>1</v>
      </c>
      <c r="FF35" s="72">
        <v>1</v>
      </c>
      <c r="FG35" s="72">
        <v>1</v>
      </c>
      <c r="FH35" s="72">
        <v>1</v>
      </c>
      <c r="FI35" s="72">
        <v>1</v>
      </c>
      <c r="FJ35" s="72">
        <v>1</v>
      </c>
      <c r="FK35" s="72">
        <v>1</v>
      </c>
      <c r="FL35" s="72">
        <v>1</v>
      </c>
      <c r="FM35" s="72">
        <v>1</v>
      </c>
      <c r="FN35" s="72">
        <v>1</v>
      </c>
      <c r="FO35" s="72">
        <v>1</v>
      </c>
      <c r="FP35" s="72">
        <v>1</v>
      </c>
      <c r="FQ35" s="72">
        <v>1</v>
      </c>
      <c r="FR35" s="72">
        <v>1</v>
      </c>
      <c r="FS35" s="72">
        <v>1</v>
      </c>
      <c r="FT35" s="72">
        <v>1</v>
      </c>
      <c r="FU35" s="72">
        <v>1</v>
      </c>
      <c r="FV35" s="72">
        <v>1</v>
      </c>
      <c r="FW35" s="72">
        <v>1</v>
      </c>
      <c r="FX35" s="72">
        <v>1</v>
      </c>
      <c r="FY35" s="72">
        <v>1</v>
      </c>
      <c r="FZ35" s="72">
        <v>1</v>
      </c>
      <c r="GA35" s="72">
        <v>1</v>
      </c>
      <c r="GB35" s="72">
        <v>1</v>
      </c>
      <c r="GC35" s="72">
        <v>1</v>
      </c>
      <c r="GD35" s="72">
        <v>1</v>
      </c>
      <c r="GE35" s="72">
        <v>1</v>
      </c>
      <c r="GF35" s="72">
        <v>1</v>
      </c>
      <c r="GG35" s="72">
        <v>1</v>
      </c>
      <c r="GH35" s="72">
        <v>1</v>
      </c>
      <c r="GI35" s="72">
        <v>1</v>
      </c>
      <c r="GJ35" s="72">
        <v>1</v>
      </c>
      <c r="GK35" s="72">
        <v>1</v>
      </c>
      <c r="GL35" s="72">
        <v>1</v>
      </c>
      <c r="GM35" s="72">
        <v>1</v>
      </c>
      <c r="GN35" s="72">
        <v>1</v>
      </c>
      <c r="GO35" s="72">
        <v>1</v>
      </c>
      <c r="GP35" s="72">
        <v>1</v>
      </c>
      <c r="GQ35" s="72">
        <v>1</v>
      </c>
      <c r="GR35" s="72">
        <v>1</v>
      </c>
      <c r="GS35" s="72">
        <v>1</v>
      </c>
      <c r="GT35" s="72">
        <v>1</v>
      </c>
      <c r="GU35" s="72"/>
    </row>
    <row r="36" spans="1:203" ht="13.5" customHeight="1" x14ac:dyDescent="0.2">
      <c r="A36" s="40" t="s">
        <v>10</v>
      </c>
      <c r="B36" s="90" t="str">
        <f>Setup!B15</f>
        <v>Madoonga</v>
      </c>
      <c r="C36" s="72">
        <v>1</v>
      </c>
      <c r="D36" s="72">
        <v>1</v>
      </c>
      <c r="E36" s="72">
        <v>1</v>
      </c>
      <c r="F36" s="72">
        <v>1</v>
      </c>
      <c r="G36" s="72">
        <v>1</v>
      </c>
      <c r="H36" s="72">
        <v>1</v>
      </c>
      <c r="I36" s="72">
        <v>1</v>
      </c>
      <c r="J36" s="72">
        <v>1</v>
      </c>
      <c r="K36" s="72">
        <v>1</v>
      </c>
      <c r="L36" s="72">
        <v>1</v>
      </c>
      <c r="M36" s="72">
        <v>1</v>
      </c>
      <c r="N36" s="72">
        <v>1</v>
      </c>
      <c r="O36" s="72">
        <v>1</v>
      </c>
      <c r="P36" s="72">
        <v>1</v>
      </c>
      <c r="Q36" s="72">
        <v>1</v>
      </c>
      <c r="R36" s="72">
        <v>1</v>
      </c>
      <c r="S36" s="72">
        <v>1</v>
      </c>
      <c r="T36" s="72">
        <v>1</v>
      </c>
      <c r="U36" s="72">
        <v>1</v>
      </c>
      <c r="V36" s="72">
        <v>1</v>
      </c>
      <c r="W36" s="72">
        <v>1</v>
      </c>
      <c r="X36" s="72">
        <v>1</v>
      </c>
      <c r="Y36" s="72">
        <v>1</v>
      </c>
      <c r="Z36" s="72">
        <v>1</v>
      </c>
      <c r="AA36" s="72">
        <v>1</v>
      </c>
      <c r="AB36" s="72">
        <v>1</v>
      </c>
      <c r="AC36" s="72">
        <v>1</v>
      </c>
      <c r="AD36" s="72">
        <v>1</v>
      </c>
      <c r="AE36" s="72">
        <v>1</v>
      </c>
      <c r="AF36" s="72">
        <v>1</v>
      </c>
      <c r="AG36" s="72">
        <v>1</v>
      </c>
      <c r="AH36" s="72">
        <v>1</v>
      </c>
      <c r="AI36" s="72">
        <v>1</v>
      </c>
      <c r="AJ36" s="72">
        <v>1</v>
      </c>
      <c r="AK36" s="72">
        <v>1</v>
      </c>
      <c r="AL36" s="72">
        <v>1</v>
      </c>
      <c r="AM36" s="72">
        <v>1</v>
      </c>
      <c r="AN36" s="72">
        <v>1</v>
      </c>
      <c r="AO36" s="72">
        <v>1</v>
      </c>
      <c r="AP36" s="72">
        <v>1</v>
      </c>
      <c r="AQ36" s="72">
        <v>1</v>
      </c>
      <c r="AR36" s="72">
        <v>1</v>
      </c>
      <c r="AS36" s="72">
        <v>1</v>
      </c>
      <c r="AT36" s="72">
        <v>1</v>
      </c>
      <c r="AU36" s="72">
        <v>1</v>
      </c>
      <c r="AV36" s="72">
        <v>1</v>
      </c>
      <c r="AW36" s="72">
        <v>1</v>
      </c>
      <c r="AX36" s="72">
        <v>1</v>
      </c>
      <c r="AY36" s="72">
        <v>1</v>
      </c>
      <c r="AZ36" s="72">
        <v>1</v>
      </c>
      <c r="BA36" s="72">
        <v>1</v>
      </c>
      <c r="BB36" s="72">
        <v>1</v>
      </c>
      <c r="BC36" s="72">
        <v>1</v>
      </c>
      <c r="BD36" s="72">
        <v>1</v>
      </c>
      <c r="BE36" s="72">
        <v>1</v>
      </c>
      <c r="BF36" s="72">
        <v>1</v>
      </c>
      <c r="BG36" s="72">
        <v>1</v>
      </c>
      <c r="BH36" s="72">
        <v>1</v>
      </c>
      <c r="BI36" s="72">
        <v>1</v>
      </c>
      <c r="BJ36" s="72">
        <v>1</v>
      </c>
      <c r="BK36" s="72">
        <v>1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  <c r="DJ36" s="72">
        <v>1</v>
      </c>
      <c r="DK36" s="72">
        <v>1</v>
      </c>
      <c r="DL36" s="72">
        <v>1</v>
      </c>
      <c r="DM36" s="72">
        <v>1</v>
      </c>
      <c r="DN36" s="72">
        <v>1</v>
      </c>
      <c r="DO36" s="72">
        <v>1</v>
      </c>
      <c r="DP36" s="72">
        <v>1</v>
      </c>
      <c r="DQ36" s="72">
        <v>1</v>
      </c>
      <c r="DR36" s="72">
        <v>1</v>
      </c>
      <c r="DS36" s="72">
        <v>1</v>
      </c>
      <c r="DT36" s="72">
        <v>1</v>
      </c>
      <c r="DU36" s="72">
        <v>1</v>
      </c>
      <c r="DV36" s="72">
        <v>1</v>
      </c>
      <c r="DW36" s="72">
        <v>1</v>
      </c>
      <c r="DX36" s="72">
        <v>1</v>
      </c>
      <c r="DY36" s="72">
        <v>1</v>
      </c>
      <c r="DZ36" s="72">
        <v>1</v>
      </c>
      <c r="EA36" s="72">
        <v>1</v>
      </c>
      <c r="EB36" s="72">
        <v>1</v>
      </c>
      <c r="EC36" s="72">
        <v>1</v>
      </c>
      <c r="ED36" s="72">
        <v>1</v>
      </c>
      <c r="EE36" s="72">
        <v>1</v>
      </c>
      <c r="EF36" s="72">
        <v>1</v>
      </c>
      <c r="EG36" s="72">
        <v>1</v>
      </c>
      <c r="EH36" s="72">
        <v>1</v>
      </c>
      <c r="EI36" s="72">
        <v>1</v>
      </c>
      <c r="EJ36" s="72">
        <v>1</v>
      </c>
      <c r="EK36" s="72">
        <v>1</v>
      </c>
      <c r="EL36" s="72">
        <v>1</v>
      </c>
      <c r="EM36" s="72">
        <v>1</v>
      </c>
      <c r="EN36" s="72">
        <v>1</v>
      </c>
      <c r="EO36" s="72">
        <v>1</v>
      </c>
      <c r="EP36" s="72">
        <v>1</v>
      </c>
      <c r="EQ36" s="72">
        <v>1</v>
      </c>
      <c r="ER36" s="72">
        <v>1</v>
      </c>
      <c r="ES36" s="72">
        <v>1</v>
      </c>
      <c r="ET36" s="72">
        <v>1</v>
      </c>
      <c r="EU36" s="72">
        <v>1</v>
      </c>
      <c r="EV36" s="72">
        <v>1</v>
      </c>
      <c r="EW36" s="72">
        <v>1</v>
      </c>
      <c r="EX36" s="72">
        <v>1</v>
      </c>
      <c r="EY36" s="72">
        <v>1</v>
      </c>
      <c r="EZ36" s="72">
        <v>1</v>
      </c>
      <c r="FA36" s="72">
        <v>1</v>
      </c>
      <c r="FB36" s="72">
        <v>1</v>
      </c>
      <c r="FC36" s="72">
        <v>1</v>
      </c>
      <c r="FD36" s="72">
        <v>1</v>
      </c>
      <c r="FE36" s="72">
        <v>1</v>
      </c>
      <c r="FF36" s="72">
        <v>1</v>
      </c>
      <c r="FG36" s="72">
        <v>1</v>
      </c>
      <c r="FH36" s="72">
        <v>1</v>
      </c>
      <c r="FI36" s="72">
        <v>1</v>
      </c>
      <c r="FJ36" s="72">
        <v>1</v>
      </c>
      <c r="FK36" s="72">
        <v>1</v>
      </c>
      <c r="FL36" s="72">
        <v>1</v>
      </c>
      <c r="FM36" s="72">
        <v>1</v>
      </c>
      <c r="FN36" s="72">
        <v>1</v>
      </c>
      <c r="FO36" s="72">
        <v>1</v>
      </c>
      <c r="FP36" s="72">
        <v>1</v>
      </c>
      <c r="FQ36" s="72">
        <v>1</v>
      </c>
      <c r="FR36" s="72">
        <v>1</v>
      </c>
      <c r="FS36" s="72">
        <v>1</v>
      </c>
      <c r="FT36" s="72">
        <v>1</v>
      </c>
      <c r="FU36" s="72">
        <v>1</v>
      </c>
      <c r="FV36" s="72">
        <v>1</v>
      </c>
      <c r="FW36" s="72">
        <v>1</v>
      </c>
      <c r="FX36" s="72">
        <v>1</v>
      </c>
      <c r="FY36" s="72">
        <v>1</v>
      </c>
      <c r="FZ36" s="72">
        <v>1</v>
      </c>
      <c r="GA36" s="72">
        <v>1</v>
      </c>
      <c r="GB36" s="72">
        <v>1</v>
      </c>
      <c r="GC36" s="72">
        <v>1</v>
      </c>
      <c r="GD36" s="72">
        <v>1</v>
      </c>
      <c r="GE36" s="72">
        <v>1</v>
      </c>
      <c r="GF36" s="72">
        <v>1</v>
      </c>
      <c r="GG36" s="72">
        <v>1</v>
      </c>
      <c r="GH36" s="72">
        <v>1</v>
      </c>
      <c r="GI36" s="72">
        <v>1</v>
      </c>
      <c r="GJ36" s="72">
        <v>1</v>
      </c>
      <c r="GK36" s="72">
        <v>1</v>
      </c>
      <c r="GL36" s="72">
        <v>1</v>
      </c>
      <c r="GM36" s="72">
        <v>1</v>
      </c>
      <c r="GN36" s="72">
        <v>1</v>
      </c>
      <c r="GO36" s="72">
        <v>1</v>
      </c>
      <c r="GP36" s="72">
        <v>1</v>
      </c>
      <c r="GQ36" s="72">
        <v>1</v>
      </c>
      <c r="GR36" s="72">
        <v>1</v>
      </c>
      <c r="GS36" s="72">
        <v>1</v>
      </c>
      <c r="GT36" s="72">
        <v>1</v>
      </c>
      <c r="GU36" s="72"/>
    </row>
    <row r="37" spans="1:203" ht="13.5" customHeight="1" x14ac:dyDescent="0.2">
      <c r="A37" s="40" t="s">
        <v>11</v>
      </c>
      <c r="B37" s="90" t="str">
        <f>Setup!B16</f>
        <v>Beebyn</v>
      </c>
      <c r="C37" s="72">
        <v>1</v>
      </c>
      <c r="D37" s="72">
        <v>1</v>
      </c>
      <c r="E37" s="72">
        <v>1</v>
      </c>
      <c r="F37" s="72">
        <v>1</v>
      </c>
      <c r="G37" s="72">
        <v>1</v>
      </c>
      <c r="H37" s="72">
        <v>1</v>
      </c>
      <c r="I37" s="72">
        <v>1</v>
      </c>
      <c r="J37" s="72">
        <v>1</v>
      </c>
      <c r="K37" s="72">
        <v>1</v>
      </c>
      <c r="L37" s="72">
        <v>1</v>
      </c>
      <c r="M37" s="72">
        <v>1</v>
      </c>
      <c r="N37" s="72">
        <v>1</v>
      </c>
      <c r="O37" s="72">
        <v>1</v>
      </c>
      <c r="P37" s="72">
        <v>1</v>
      </c>
      <c r="Q37" s="72">
        <v>1</v>
      </c>
      <c r="R37" s="72">
        <v>1</v>
      </c>
      <c r="S37" s="72">
        <v>1</v>
      </c>
      <c r="T37" s="72">
        <v>1</v>
      </c>
      <c r="U37" s="72">
        <v>1</v>
      </c>
      <c r="V37" s="72">
        <v>1</v>
      </c>
      <c r="W37" s="72">
        <v>1</v>
      </c>
      <c r="X37" s="72">
        <v>1</v>
      </c>
      <c r="Y37" s="72">
        <v>1</v>
      </c>
      <c r="Z37" s="72">
        <v>1</v>
      </c>
      <c r="AA37" s="72">
        <v>1</v>
      </c>
      <c r="AB37" s="72">
        <v>1</v>
      </c>
      <c r="AC37" s="72">
        <v>1</v>
      </c>
      <c r="AD37" s="72">
        <v>1</v>
      </c>
      <c r="AE37" s="72">
        <v>1</v>
      </c>
      <c r="AF37" s="72">
        <v>1</v>
      </c>
      <c r="AG37" s="72">
        <v>1</v>
      </c>
      <c r="AH37" s="72">
        <v>1</v>
      </c>
      <c r="AI37" s="72">
        <v>1</v>
      </c>
      <c r="AJ37" s="72">
        <v>1</v>
      </c>
      <c r="AK37" s="72">
        <v>1</v>
      </c>
      <c r="AL37" s="72">
        <v>1</v>
      </c>
      <c r="AM37" s="72">
        <v>1</v>
      </c>
      <c r="AN37" s="72">
        <v>1</v>
      </c>
      <c r="AO37" s="72">
        <v>1</v>
      </c>
      <c r="AP37" s="72">
        <v>1</v>
      </c>
      <c r="AQ37" s="72">
        <v>1</v>
      </c>
      <c r="AR37" s="72">
        <v>1</v>
      </c>
      <c r="AS37" s="72">
        <v>1</v>
      </c>
      <c r="AT37" s="72">
        <v>1</v>
      </c>
      <c r="AU37" s="72">
        <v>1</v>
      </c>
      <c r="AV37" s="72">
        <v>1</v>
      </c>
      <c r="AW37" s="72">
        <v>1</v>
      </c>
      <c r="AX37" s="72">
        <v>1</v>
      </c>
      <c r="AY37" s="72">
        <v>1</v>
      </c>
      <c r="AZ37" s="72">
        <v>1</v>
      </c>
      <c r="BA37" s="72">
        <v>1</v>
      </c>
      <c r="BB37" s="72">
        <v>1</v>
      </c>
      <c r="BC37" s="72">
        <v>1</v>
      </c>
      <c r="BD37" s="72">
        <v>1</v>
      </c>
      <c r="BE37" s="72">
        <v>1</v>
      </c>
      <c r="BF37" s="72">
        <v>1</v>
      </c>
      <c r="BG37" s="72">
        <v>1</v>
      </c>
      <c r="BH37" s="72">
        <v>1</v>
      </c>
      <c r="BI37" s="72">
        <v>1</v>
      </c>
      <c r="BJ37" s="72">
        <v>1</v>
      </c>
      <c r="BK37" s="72">
        <v>1</v>
      </c>
      <c r="BL37" s="72">
        <v>1</v>
      </c>
      <c r="BM37" s="72">
        <v>1</v>
      </c>
      <c r="BN37" s="72">
        <v>1</v>
      </c>
      <c r="BO37" s="72">
        <v>1</v>
      </c>
      <c r="BP37" s="72">
        <v>1</v>
      </c>
      <c r="BQ37" s="72">
        <v>1</v>
      </c>
      <c r="BR37" s="72">
        <v>1</v>
      </c>
      <c r="BS37" s="72">
        <v>1</v>
      </c>
      <c r="BT37" s="72">
        <v>1</v>
      </c>
      <c r="BU37" s="72">
        <v>1</v>
      </c>
      <c r="BV37" s="72">
        <v>1</v>
      </c>
      <c r="BW37" s="72">
        <v>1</v>
      </c>
      <c r="BX37" s="72">
        <v>1</v>
      </c>
      <c r="BY37" s="72">
        <v>1</v>
      </c>
      <c r="BZ37" s="72">
        <v>1</v>
      </c>
      <c r="CA37" s="72">
        <v>1</v>
      </c>
      <c r="CB37" s="72">
        <v>1</v>
      </c>
      <c r="CC37" s="72">
        <v>1</v>
      </c>
      <c r="CD37" s="72">
        <v>1</v>
      </c>
      <c r="CE37" s="72">
        <v>1</v>
      </c>
      <c r="CF37" s="72">
        <v>1</v>
      </c>
      <c r="CG37" s="72">
        <v>1</v>
      </c>
      <c r="CH37" s="72">
        <v>1</v>
      </c>
      <c r="CI37" s="72">
        <v>1</v>
      </c>
      <c r="CJ37" s="72">
        <v>1</v>
      </c>
      <c r="CK37" s="72">
        <v>1</v>
      </c>
      <c r="CL37" s="72">
        <v>1</v>
      </c>
      <c r="CM37" s="72">
        <v>1</v>
      </c>
      <c r="CN37" s="72">
        <v>1</v>
      </c>
      <c r="CO37" s="72">
        <v>1</v>
      </c>
      <c r="CP37" s="72">
        <v>1</v>
      </c>
      <c r="CQ37" s="72">
        <v>1</v>
      </c>
      <c r="CR37" s="72">
        <v>1</v>
      </c>
      <c r="CS37" s="72">
        <v>1</v>
      </c>
      <c r="CT37" s="72">
        <v>1</v>
      </c>
      <c r="CU37" s="72">
        <v>1</v>
      </c>
      <c r="CV37" s="72">
        <v>1</v>
      </c>
      <c r="CW37" s="72">
        <v>1</v>
      </c>
      <c r="CX37" s="72">
        <v>1</v>
      </c>
      <c r="CY37" s="72">
        <v>1</v>
      </c>
      <c r="CZ37" s="72">
        <v>1</v>
      </c>
      <c r="DA37" s="72">
        <v>1</v>
      </c>
      <c r="DB37" s="72">
        <v>1</v>
      </c>
      <c r="DC37" s="72">
        <v>1</v>
      </c>
      <c r="DD37" s="72">
        <v>1</v>
      </c>
      <c r="DE37" s="72">
        <v>1</v>
      </c>
      <c r="DF37" s="72">
        <v>1</v>
      </c>
      <c r="DG37" s="72">
        <v>1</v>
      </c>
      <c r="DH37" s="72">
        <v>1</v>
      </c>
      <c r="DI37" s="72">
        <v>1</v>
      </c>
      <c r="DJ37" s="72">
        <v>1</v>
      </c>
      <c r="DK37" s="72">
        <v>1</v>
      </c>
      <c r="DL37" s="72">
        <v>1</v>
      </c>
      <c r="DM37" s="72">
        <v>1</v>
      </c>
      <c r="DN37" s="72">
        <v>1</v>
      </c>
      <c r="DO37" s="72">
        <v>1</v>
      </c>
      <c r="DP37" s="72">
        <v>1</v>
      </c>
      <c r="DQ37" s="72">
        <v>1</v>
      </c>
      <c r="DR37" s="72">
        <v>1</v>
      </c>
      <c r="DS37" s="72">
        <v>1</v>
      </c>
      <c r="DT37" s="72">
        <v>1</v>
      </c>
      <c r="DU37" s="72">
        <v>1</v>
      </c>
      <c r="DV37" s="72">
        <v>1</v>
      </c>
      <c r="DW37" s="72">
        <v>1</v>
      </c>
      <c r="DX37" s="72">
        <v>1</v>
      </c>
      <c r="DY37" s="72">
        <v>1</v>
      </c>
      <c r="DZ37" s="72">
        <v>1</v>
      </c>
      <c r="EA37" s="72">
        <v>1</v>
      </c>
      <c r="EB37" s="72">
        <v>1</v>
      </c>
      <c r="EC37" s="72">
        <v>1</v>
      </c>
      <c r="ED37" s="72">
        <v>1</v>
      </c>
      <c r="EE37" s="72">
        <v>1</v>
      </c>
      <c r="EF37" s="72">
        <v>1</v>
      </c>
      <c r="EG37" s="72">
        <v>1</v>
      </c>
      <c r="EH37" s="72">
        <v>1</v>
      </c>
      <c r="EI37" s="72">
        <v>1</v>
      </c>
      <c r="EJ37" s="72">
        <v>1</v>
      </c>
      <c r="EK37" s="72">
        <v>1</v>
      </c>
      <c r="EL37" s="72">
        <v>1</v>
      </c>
      <c r="EM37" s="72">
        <v>1</v>
      </c>
      <c r="EN37" s="72">
        <v>1</v>
      </c>
      <c r="EO37" s="72">
        <v>1</v>
      </c>
      <c r="EP37" s="72">
        <v>1</v>
      </c>
      <c r="EQ37" s="72">
        <v>1</v>
      </c>
      <c r="ER37" s="72">
        <v>1</v>
      </c>
      <c r="ES37" s="72">
        <v>1</v>
      </c>
      <c r="ET37" s="72">
        <v>1</v>
      </c>
      <c r="EU37" s="72">
        <v>1</v>
      </c>
      <c r="EV37" s="72">
        <v>1</v>
      </c>
      <c r="EW37" s="72">
        <v>1</v>
      </c>
      <c r="EX37" s="72">
        <v>1</v>
      </c>
      <c r="EY37" s="72">
        <v>1</v>
      </c>
      <c r="EZ37" s="72">
        <v>1</v>
      </c>
      <c r="FA37" s="72">
        <v>1</v>
      </c>
      <c r="FB37" s="72">
        <v>1</v>
      </c>
      <c r="FC37" s="72">
        <v>1</v>
      </c>
      <c r="FD37" s="72">
        <v>1</v>
      </c>
      <c r="FE37" s="72">
        <v>1</v>
      </c>
      <c r="FF37" s="72">
        <v>1</v>
      </c>
      <c r="FG37" s="72">
        <v>1</v>
      </c>
      <c r="FH37" s="72">
        <v>1</v>
      </c>
      <c r="FI37" s="72">
        <v>1</v>
      </c>
      <c r="FJ37" s="72">
        <v>1</v>
      </c>
      <c r="FK37" s="72">
        <v>1</v>
      </c>
      <c r="FL37" s="72">
        <v>1</v>
      </c>
      <c r="FM37" s="72">
        <v>1</v>
      </c>
      <c r="FN37" s="72">
        <v>1</v>
      </c>
      <c r="FO37" s="72">
        <v>1</v>
      </c>
      <c r="FP37" s="72">
        <v>1</v>
      </c>
      <c r="FQ37" s="72">
        <v>1</v>
      </c>
      <c r="FR37" s="72">
        <v>1</v>
      </c>
      <c r="FS37" s="72">
        <v>1</v>
      </c>
      <c r="FT37" s="72">
        <v>1</v>
      </c>
      <c r="FU37" s="72">
        <v>1</v>
      </c>
      <c r="FV37" s="72">
        <v>1</v>
      </c>
      <c r="FW37" s="72">
        <v>1</v>
      </c>
      <c r="FX37" s="72">
        <v>1</v>
      </c>
      <c r="FY37" s="72">
        <v>1</v>
      </c>
      <c r="FZ37" s="72">
        <v>1</v>
      </c>
      <c r="GA37" s="72">
        <v>1</v>
      </c>
      <c r="GB37" s="72">
        <v>1</v>
      </c>
      <c r="GC37" s="72">
        <v>1</v>
      </c>
      <c r="GD37" s="72">
        <v>1</v>
      </c>
      <c r="GE37" s="72">
        <v>1</v>
      </c>
      <c r="GF37" s="72">
        <v>1</v>
      </c>
      <c r="GG37" s="72">
        <v>1</v>
      </c>
      <c r="GH37" s="72">
        <v>1</v>
      </c>
      <c r="GI37" s="72">
        <v>1</v>
      </c>
      <c r="GJ37" s="72">
        <v>1</v>
      </c>
      <c r="GK37" s="72">
        <v>1</v>
      </c>
      <c r="GL37" s="72">
        <v>1</v>
      </c>
      <c r="GM37" s="72">
        <v>1</v>
      </c>
      <c r="GN37" s="72">
        <v>1</v>
      </c>
      <c r="GO37" s="72">
        <v>1</v>
      </c>
      <c r="GP37" s="72">
        <v>1</v>
      </c>
      <c r="GQ37" s="72">
        <v>1</v>
      </c>
      <c r="GR37" s="72">
        <v>1</v>
      </c>
      <c r="GS37" s="72">
        <v>1</v>
      </c>
      <c r="GT37" s="72">
        <v>1</v>
      </c>
      <c r="GU37" s="72"/>
    </row>
    <row r="38" spans="1:203" ht="13.5" customHeight="1" x14ac:dyDescent="0.2">
      <c r="A38" s="40"/>
      <c r="B38" s="87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</row>
    <row r="39" spans="1:203" ht="13.5" customHeight="1" x14ac:dyDescent="0.2">
      <c r="A39" s="40"/>
      <c r="B39" s="87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  <c r="DA39" s="72"/>
      <c r="DB39" s="72"/>
      <c r="DC39" s="72"/>
      <c r="DD39" s="72"/>
      <c r="DE39" s="72"/>
      <c r="DF39" s="72"/>
      <c r="DG39" s="72"/>
      <c r="DH39" s="72"/>
      <c r="DI39" s="72"/>
      <c r="DJ39" s="72"/>
      <c r="DK39" s="72"/>
      <c r="DL39" s="72"/>
      <c r="DM39" s="72"/>
      <c r="DN39" s="72"/>
      <c r="DO39" s="72"/>
      <c r="DP39" s="72"/>
      <c r="DQ39" s="72"/>
      <c r="DR39" s="72"/>
      <c r="DS39" s="72"/>
      <c r="DT39" s="72"/>
      <c r="DU39" s="72"/>
      <c r="DV39" s="72"/>
      <c r="DW39" s="72"/>
      <c r="DX39" s="72"/>
      <c r="DY39" s="72"/>
      <c r="DZ39" s="72"/>
      <c r="EA39" s="72"/>
      <c r="EB39" s="72"/>
      <c r="EC39" s="72"/>
      <c r="ED39" s="72"/>
      <c r="EE39" s="72"/>
      <c r="EF39" s="72"/>
      <c r="EG39" s="72"/>
      <c r="EH39" s="72"/>
      <c r="EI39" s="72"/>
      <c r="EJ39" s="72"/>
      <c r="EK39" s="72"/>
      <c r="EL39" s="72"/>
      <c r="EM39" s="72"/>
      <c r="EN39" s="72"/>
      <c r="EO39" s="72"/>
      <c r="EP39" s="72"/>
      <c r="EQ39" s="72"/>
      <c r="ER39" s="72"/>
      <c r="ES39" s="72"/>
      <c r="ET39" s="72"/>
      <c r="EU39" s="72"/>
      <c r="EV39" s="72"/>
      <c r="EW39" s="72"/>
      <c r="EX39" s="72"/>
      <c r="EY39" s="72"/>
      <c r="EZ39" s="72"/>
      <c r="FA39" s="72"/>
      <c r="FB39" s="72"/>
      <c r="FC39" s="72"/>
      <c r="FD39" s="72"/>
      <c r="FE39" s="72"/>
      <c r="FF39" s="72"/>
      <c r="FG39" s="72"/>
      <c r="FH39" s="72"/>
      <c r="FI39" s="72"/>
      <c r="FJ39" s="72"/>
      <c r="FK39" s="7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72"/>
      <c r="GB39" s="72"/>
      <c r="GC39" s="72"/>
      <c r="GD39" s="72"/>
      <c r="GE39" s="72"/>
      <c r="GF39" s="72"/>
      <c r="GG39" s="72"/>
      <c r="GH39" s="72"/>
      <c r="GI39" s="72"/>
      <c r="GJ39" s="72"/>
      <c r="GK39" s="72"/>
      <c r="GL39" s="72"/>
      <c r="GM39" s="72"/>
      <c r="GN39" s="72"/>
      <c r="GO39" s="72"/>
      <c r="GP39" s="72"/>
      <c r="GQ39" s="72"/>
      <c r="GR39" s="72"/>
      <c r="GS39" s="72"/>
      <c r="GT39" s="72"/>
      <c r="GU39" s="72"/>
    </row>
    <row r="40" spans="1:203" ht="13.5" customHeight="1" x14ac:dyDescent="0.2">
      <c r="A40" s="38"/>
      <c r="B40" s="73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DT40" s="72"/>
      <c r="DU40" s="72"/>
      <c r="DV40" s="72"/>
      <c r="DW40" s="72"/>
      <c r="DX40" s="72"/>
      <c r="DY40" s="72"/>
      <c r="DZ40" s="72"/>
      <c r="EA40" s="72"/>
      <c r="EB40" s="72"/>
      <c r="EC40" s="72"/>
      <c r="ED40" s="72"/>
      <c r="EE40" s="72"/>
      <c r="EF40" s="72"/>
      <c r="EG40" s="72"/>
      <c r="EH40" s="72"/>
      <c r="EI40" s="72"/>
      <c r="EJ40" s="72"/>
      <c r="EK40" s="72"/>
      <c r="EL40" s="72"/>
      <c r="EM40" s="72"/>
      <c r="EN40" s="72"/>
      <c r="EO40" s="72"/>
      <c r="EP40" s="72"/>
      <c r="EQ40" s="72"/>
      <c r="ER40" s="72"/>
      <c r="ES40" s="72"/>
      <c r="ET40" s="72"/>
      <c r="EU40" s="72"/>
      <c r="EV40" s="72"/>
      <c r="EW40" s="72"/>
      <c r="EX40" s="72"/>
      <c r="EY40" s="72"/>
      <c r="EZ40" s="72"/>
      <c r="FA40" s="72"/>
      <c r="FB40" s="72"/>
      <c r="FC40" s="72"/>
      <c r="FD40" s="72"/>
      <c r="FE40" s="72"/>
      <c r="FF40" s="72"/>
      <c r="FG40" s="72"/>
      <c r="FH40" s="72"/>
      <c r="FI40" s="72"/>
      <c r="FJ40" s="72"/>
      <c r="FK40" s="7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72"/>
      <c r="GB40" s="72"/>
      <c r="GC40" s="72"/>
      <c r="GD40" s="72"/>
      <c r="GE40" s="72"/>
      <c r="GF40" s="72"/>
      <c r="GG40" s="72"/>
      <c r="GH40" s="72"/>
      <c r="GI40" s="72"/>
      <c r="GJ40" s="72"/>
      <c r="GK40" s="72"/>
      <c r="GL40" s="72"/>
      <c r="GM40" s="72"/>
      <c r="GN40" s="72"/>
      <c r="GO40" s="72"/>
      <c r="GP40" s="72"/>
      <c r="GQ40" s="72"/>
      <c r="GR40" s="72"/>
      <c r="GS40" s="72"/>
      <c r="GT40" s="72"/>
      <c r="GU40" s="72"/>
    </row>
    <row r="41" spans="1:203" s="24" customFormat="1" ht="13.5" customHeight="1" x14ac:dyDescent="0.2">
      <c r="A41" s="39" t="s">
        <v>28</v>
      </c>
      <c r="C41" s="14">
        <f>C$25</f>
        <v>1</v>
      </c>
      <c r="D41" s="14">
        <f t="shared" ref="D41:GT41" si="15">D$25</f>
        <v>2</v>
      </c>
      <c r="E41" s="14">
        <f t="shared" si="15"/>
        <v>3</v>
      </c>
      <c r="F41" s="14">
        <f t="shared" si="15"/>
        <v>4</v>
      </c>
      <c r="G41" s="14">
        <f t="shared" si="15"/>
        <v>5</v>
      </c>
      <c r="H41" s="14">
        <f t="shared" si="15"/>
        <v>6</v>
      </c>
      <c r="I41" s="14">
        <f t="shared" si="15"/>
        <v>7</v>
      </c>
      <c r="J41" s="14">
        <f t="shared" si="15"/>
        <v>8</v>
      </c>
      <c r="K41" s="14">
        <f t="shared" si="15"/>
        <v>9</v>
      </c>
      <c r="L41" s="14">
        <f t="shared" si="15"/>
        <v>10</v>
      </c>
      <c r="M41" s="14">
        <f t="shared" si="15"/>
        <v>11</v>
      </c>
      <c r="N41" s="14">
        <f t="shared" si="15"/>
        <v>12</v>
      </c>
      <c r="O41" s="14">
        <f t="shared" si="15"/>
        <v>13</v>
      </c>
      <c r="P41" s="14">
        <f t="shared" si="15"/>
        <v>14</v>
      </c>
      <c r="Q41" s="14">
        <f t="shared" si="15"/>
        <v>15</v>
      </c>
      <c r="R41" s="14">
        <f t="shared" si="15"/>
        <v>16</v>
      </c>
      <c r="S41" s="14">
        <f t="shared" si="15"/>
        <v>17</v>
      </c>
      <c r="T41" s="14">
        <f t="shared" si="15"/>
        <v>18</v>
      </c>
      <c r="U41" s="14">
        <f t="shared" si="15"/>
        <v>19</v>
      </c>
      <c r="V41" s="14">
        <f t="shared" si="15"/>
        <v>20</v>
      </c>
      <c r="W41" s="14">
        <f t="shared" si="15"/>
        <v>21</v>
      </c>
      <c r="X41" s="14">
        <f t="shared" si="15"/>
        <v>22</v>
      </c>
      <c r="Y41" s="14">
        <f t="shared" si="15"/>
        <v>23</v>
      </c>
      <c r="Z41" s="14">
        <f t="shared" si="15"/>
        <v>24</v>
      </c>
      <c r="AA41" s="14">
        <f t="shared" si="15"/>
        <v>25</v>
      </c>
      <c r="AB41" s="14">
        <f t="shared" si="15"/>
        <v>26</v>
      </c>
      <c r="AC41" s="14">
        <f t="shared" si="15"/>
        <v>27</v>
      </c>
      <c r="AD41" s="14">
        <f t="shared" si="15"/>
        <v>28</v>
      </c>
      <c r="AE41" s="14">
        <f t="shared" si="15"/>
        <v>29</v>
      </c>
      <c r="AF41" s="14">
        <f t="shared" si="15"/>
        <v>30</v>
      </c>
      <c r="AG41" s="14">
        <f t="shared" si="15"/>
        <v>31</v>
      </c>
      <c r="AH41" s="14">
        <f t="shared" si="15"/>
        <v>32</v>
      </c>
      <c r="AI41" s="14">
        <f t="shared" si="15"/>
        <v>33</v>
      </c>
      <c r="AJ41" s="14">
        <f t="shared" si="15"/>
        <v>34</v>
      </c>
      <c r="AK41" s="14">
        <f t="shared" si="15"/>
        <v>35</v>
      </c>
      <c r="AL41" s="14">
        <f t="shared" si="15"/>
        <v>36</v>
      </c>
      <c r="AM41" s="14">
        <f t="shared" si="15"/>
        <v>37</v>
      </c>
      <c r="AN41" s="14">
        <f t="shared" si="15"/>
        <v>38</v>
      </c>
      <c r="AO41" s="14">
        <f t="shared" si="15"/>
        <v>39</v>
      </c>
      <c r="AP41" s="14">
        <f t="shared" si="15"/>
        <v>40</v>
      </c>
      <c r="AQ41" s="14">
        <f t="shared" si="15"/>
        <v>41</v>
      </c>
      <c r="AR41" s="14">
        <f t="shared" si="15"/>
        <v>42</v>
      </c>
      <c r="AS41" s="14">
        <f t="shared" si="15"/>
        <v>43</v>
      </c>
      <c r="AT41" s="14">
        <f t="shared" si="15"/>
        <v>44</v>
      </c>
      <c r="AU41" s="14">
        <f t="shared" si="15"/>
        <v>45</v>
      </c>
      <c r="AV41" s="14">
        <f t="shared" si="15"/>
        <v>46</v>
      </c>
      <c r="AW41" s="14">
        <f t="shared" si="15"/>
        <v>47</v>
      </c>
      <c r="AX41" s="14">
        <f t="shared" si="15"/>
        <v>48</v>
      </c>
      <c r="AY41" s="14">
        <f t="shared" si="15"/>
        <v>49</v>
      </c>
      <c r="AZ41" s="14">
        <f t="shared" si="15"/>
        <v>50</v>
      </c>
      <c r="BA41" s="14">
        <f t="shared" si="15"/>
        <v>51</v>
      </c>
      <c r="BB41" s="14">
        <f t="shared" si="15"/>
        <v>52</v>
      </c>
      <c r="BC41" s="14">
        <f t="shared" si="15"/>
        <v>53</v>
      </c>
      <c r="BD41" s="14">
        <f t="shared" si="15"/>
        <v>54</v>
      </c>
      <c r="BE41" s="14">
        <f t="shared" si="15"/>
        <v>55</v>
      </c>
      <c r="BF41" s="14">
        <f t="shared" si="15"/>
        <v>56</v>
      </c>
      <c r="BG41" s="14">
        <f t="shared" si="15"/>
        <v>57</v>
      </c>
      <c r="BH41" s="14">
        <f t="shared" si="15"/>
        <v>58</v>
      </c>
      <c r="BI41" s="14">
        <f t="shared" si="15"/>
        <v>59</v>
      </c>
      <c r="BJ41" s="14">
        <f t="shared" si="15"/>
        <v>60</v>
      </c>
      <c r="BK41" s="14">
        <f t="shared" si="15"/>
        <v>61</v>
      </c>
      <c r="BL41" s="14">
        <f t="shared" si="15"/>
        <v>62</v>
      </c>
      <c r="BM41" s="14">
        <f t="shared" si="15"/>
        <v>63</v>
      </c>
      <c r="BN41" s="14">
        <f t="shared" si="15"/>
        <v>64</v>
      </c>
      <c r="BO41" s="14">
        <f t="shared" si="15"/>
        <v>65</v>
      </c>
      <c r="BP41" s="14">
        <f t="shared" si="15"/>
        <v>66</v>
      </c>
      <c r="BQ41" s="14">
        <f t="shared" si="15"/>
        <v>67</v>
      </c>
      <c r="BR41" s="14">
        <f t="shared" si="15"/>
        <v>68</v>
      </c>
      <c r="BS41" s="14">
        <f t="shared" si="15"/>
        <v>69</v>
      </c>
      <c r="BT41" s="14">
        <f t="shared" si="15"/>
        <v>70</v>
      </c>
      <c r="BU41" s="14">
        <f t="shared" si="15"/>
        <v>71</v>
      </c>
      <c r="BV41" s="14">
        <f t="shared" si="15"/>
        <v>72</v>
      </c>
      <c r="BW41" s="14">
        <f t="shared" si="15"/>
        <v>73</v>
      </c>
      <c r="BX41" s="14">
        <f t="shared" si="15"/>
        <v>74</v>
      </c>
      <c r="BY41" s="14">
        <f t="shared" si="15"/>
        <v>75</v>
      </c>
      <c r="BZ41" s="14">
        <f t="shared" si="15"/>
        <v>76</v>
      </c>
      <c r="CA41" s="14">
        <f t="shared" si="15"/>
        <v>77</v>
      </c>
      <c r="CB41" s="14">
        <f t="shared" si="15"/>
        <v>78</v>
      </c>
      <c r="CC41" s="14">
        <f t="shared" si="15"/>
        <v>79</v>
      </c>
      <c r="CD41" s="14">
        <f t="shared" si="15"/>
        <v>80</v>
      </c>
      <c r="CE41" s="14">
        <f t="shared" si="15"/>
        <v>81</v>
      </c>
      <c r="CF41" s="14">
        <f t="shared" si="15"/>
        <v>82</v>
      </c>
      <c r="CG41" s="14">
        <f t="shared" si="15"/>
        <v>83</v>
      </c>
      <c r="CH41" s="14">
        <f t="shared" si="15"/>
        <v>84</v>
      </c>
      <c r="CI41" s="14">
        <f t="shared" si="15"/>
        <v>85</v>
      </c>
      <c r="CJ41" s="14">
        <f t="shared" si="15"/>
        <v>86</v>
      </c>
      <c r="CK41" s="14">
        <f t="shared" si="15"/>
        <v>87</v>
      </c>
      <c r="CL41" s="14">
        <f t="shared" si="15"/>
        <v>88</v>
      </c>
      <c r="CM41" s="14">
        <f t="shared" si="15"/>
        <v>89</v>
      </c>
      <c r="CN41" s="14">
        <f t="shared" si="15"/>
        <v>90</v>
      </c>
      <c r="CO41" s="14">
        <f t="shared" si="15"/>
        <v>91</v>
      </c>
      <c r="CP41" s="14">
        <f t="shared" si="15"/>
        <v>92</v>
      </c>
      <c r="CQ41" s="14">
        <f t="shared" si="15"/>
        <v>93</v>
      </c>
      <c r="CR41" s="14">
        <f t="shared" si="15"/>
        <v>94</v>
      </c>
      <c r="CS41" s="14">
        <f t="shared" si="15"/>
        <v>95</v>
      </c>
      <c r="CT41" s="14">
        <f t="shared" si="15"/>
        <v>96</v>
      </c>
      <c r="CU41" s="14">
        <f t="shared" si="15"/>
        <v>97</v>
      </c>
      <c r="CV41" s="14">
        <f t="shared" si="15"/>
        <v>98</v>
      </c>
      <c r="CW41" s="14">
        <f t="shared" si="15"/>
        <v>99</v>
      </c>
      <c r="CX41" s="14">
        <f t="shared" si="15"/>
        <v>100</v>
      </c>
      <c r="CY41" s="14">
        <f t="shared" si="15"/>
        <v>101</v>
      </c>
      <c r="CZ41" s="14">
        <f t="shared" si="15"/>
        <v>102</v>
      </c>
      <c r="DA41" s="14">
        <f t="shared" si="15"/>
        <v>103</v>
      </c>
      <c r="DB41" s="14">
        <f t="shared" si="15"/>
        <v>104</v>
      </c>
      <c r="DC41" s="14">
        <f t="shared" si="15"/>
        <v>105</v>
      </c>
      <c r="DD41" s="14">
        <f t="shared" si="15"/>
        <v>106</v>
      </c>
      <c r="DE41" s="14">
        <f t="shared" si="15"/>
        <v>107</v>
      </c>
      <c r="DF41" s="14">
        <f t="shared" si="15"/>
        <v>108</v>
      </c>
      <c r="DG41" s="14">
        <f t="shared" si="15"/>
        <v>109</v>
      </c>
      <c r="DH41" s="14">
        <f t="shared" si="15"/>
        <v>110</v>
      </c>
      <c r="DI41" s="14">
        <f t="shared" si="15"/>
        <v>111</v>
      </c>
      <c r="DJ41" s="14">
        <f t="shared" si="15"/>
        <v>112</v>
      </c>
      <c r="DK41" s="14">
        <f t="shared" si="15"/>
        <v>113</v>
      </c>
      <c r="DL41" s="14">
        <f t="shared" si="15"/>
        <v>114</v>
      </c>
      <c r="DM41" s="14">
        <f t="shared" si="15"/>
        <v>115</v>
      </c>
      <c r="DN41" s="14">
        <f t="shared" si="15"/>
        <v>116</v>
      </c>
      <c r="DO41" s="14">
        <f t="shared" si="15"/>
        <v>117</v>
      </c>
      <c r="DP41" s="14">
        <f t="shared" si="15"/>
        <v>118</v>
      </c>
      <c r="DQ41" s="14">
        <f t="shared" si="15"/>
        <v>119</v>
      </c>
      <c r="DR41" s="14">
        <f t="shared" si="15"/>
        <v>120</v>
      </c>
      <c r="DS41" s="14">
        <f t="shared" si="15"/>
        <v>121</v>
      </c>
      <c r="DT41" s="14">
        <f t="shared" si="15"/>
        <v>122</v>
      </c>
      <c r="DU41" s="14">
        <f t="shared" si="15"/>
        <v>123</v>
      </c>
      <c r="DV41" s="14">
        <f t="shared" si="15"/>
        <v>124</v>
      </c>
      <c r="DW41" s="14">
        <f t="shared" si="15"/>
        <v>125</v>
      </c>
      <c r="DX41" s="14">
        <f t="shared" si="15"/>
        <v>126</v>
      </c>
      <c r="DY41" s="14">
        <f t="shared" si="15"/>
        <v>127</v>
      </c>
      <c r="DZ41" s="14">
        <f t="shared" si="15"/>
        <v>128</v>
      </c>
      <c r="EA41" s="14">
        <f t="shared" si="15"/>
        <v>129</v>
      </c>
      <c r="EB41" s="14">
        <f t="shared" si="15"/>
        <v>130</v>
      </c>
      <c r="EC41" s="14">
        <f t="shared" si="15"/>
        <v>131</v>
      </c>
      <c r="ED41" s="14">
        <f t="shared" si="15"/>
        <v>132</v>
      </c>
      <c r="EE41" s="14">
        <f t="shared" si="15"/>
        <v>133</v>
      </c>
      <c r="EF41" s="14">
        <f t="shared" si="15"/>
        <v>134</v>
      </c>
      <c r="EG41" s="14">
        <f t="shared" si="15"/>
        <v>135</v>
      </c>
      <c r="EH41" s="14">
        <f t="shared" si="15"/>
        <v>136</v>
      </c>
      <c r="EI41" s="14">
        <f t="shared" si="15"/>
        <v>137</v>
      </c>
      <c r="EJ41" s="14">
        <f t="shared" si="15"/>
        <v>138</v>
      </c>
      <c r="EK41" s="14">
        <f t="shared" si="15"/>
        <v>139</v>
      </c>
      <c r="EL41" s="14">
        <f t="shared" si="15"/>
        <v>140</v>
      </c>
      <c r="EM41" s="14">
        <f t="shared" si="15"/>
        <v>141</v>
      </c>
      <c r="EN41" s="14">
        <f t="shared" si="15"/>
        <v>142</v>
      </c>
      <c r="EO41" s="14">
        <f t="shared" si="15"/>
        <v>143</v>
      </c>
      <c r="EP41" s="14">
        <f t="shared" si="15"/>
        <v>144</v>
      </c>
      <c r="EQ41" s="14">
        <f t="shared" si="15"/>
        <v>145</v>
      </c>
      <c r="ER41" s="14">
        <f t="shared" si="15"/>
        <v>146</v>
      </c>
      <c r="ES41" s="14">
        <f t="shared" si="15"/>
        <v>147</v>
      </c>
      <c r="ET41" s="14">
        <f t="shared" si="15"/>
        <v>148</v>
      </c>
      <c r="EU41" s="14">
        <f t="shared" si="15"/>
        <v>149</v>
      </c>
      <c r="EV41" s="14">
        <f t="shared" si="15"/>
        <v>150</v>
      </c>
      <c r="EW41" s="14">
        <f t="shared" si="15"/>
        <v>151</v>
      </c>
      <c r="EX41" s="14">
        <f t="shared" si="15"/>
        <v>152</v>
      </c>
      <c r="EY41" s="14">
        <f t="shared" si="15"/>
        <v>153</v>
      </c>
      <c r="EZ41" s="14">
        <f t="shared" si="15"/>
        <v>154</v>
      </c>
      <c r="FA41" s="14">
        <f t="shared" si="15"/>
        <v>155</v>
      </c>
      <c r="FB41" s="14">
        <f t="shared" si="15"/>
        <v>156</v>
      </c>
      <c r="FC41" s="14">
        <f t="shared" si="15"/>
        <v>157</v>
      </c>
      <c r="FD41" s="14">
        <f t="shared" si="15"/>
        <v>158</v>
      </c>
      <c r="FE41" s="14">
        <f t="shared" si="15"/>
        <v>159</v>
      </c>
      <c r="FF41" s="14">
        <f t="shared" si="15"/>
        <v>160</v>
      </c>
      <c r="FG41" s="14">
        <f t="shared" si="15"/>
        <v>161</v>
      </c>
      <c r="FH41" s="14">
        <f t="shared" si="15"/>
        <v>162</v>
      </c>
      <c r="FI41" s="14">
        <f t="shared" si="15"/>
        <v>163</v>
      </c>
      <c r="FJ41" s="14">
        <f t="shared" si="15"/>
        <v>164</v>
      </c>
      <c r="FK41" s="14">
        <f t="shared" si="15"/>
        <v>165</v>
      </c>
      <c r="FL41" s="14">
        <f t="shared" si="15"/>
        <v>166</v>
      </c>
      <c r="FM41" s="14">
        <f t="shared" si="15"/>
        <v>167</v>
      </c>
      <c r="FN41" s="14">
        <f t="shared" si="15"/>
        <v>168</v>
      </c>
      <c r="FO41" s="14">
        <f t="shared" si="15"/>
        <v>169</v>
      </c>
      <c r="FP41" s="14">
        <f t="shared" si="15"/>
        <v>170</v>
      </c>
      <c r="FQ41" s="14">
        <f t="shared" si="15"/>
        <v>171</v>
      </c>
      <c r="FR41" s="14">
        <f t="shared" si="15"/>
        <v>172</v>
      </c>
      <c r="FS41" s="14">
        <f t="shared" si="15"/>
        <v>173</v>
      </c>
      <c r="FT41" s="14">
        <f t="shared" si="15"/>
        <v>174</v>
      </c>
      <c r="FU41" s="14">
        <f t="shared" si="15"/>
        <v>175</v>
      </c>
      <c r="FV41" s="14">
        <f t="shared" si="15"/>
        <v>176</v>
      </c>
      <c r="FW41" s="14">
        <f t="shared" si="15"/>
        <v>177</v>
      </c>
      <c r="FX41" s="14">
        <f t="shared" si="15"/>
        <v>178</v>
      </c>
      <c r="FY41" s="14">
        <f t="shared" si="15"/>
        <v>179</v>
      </c>
      <c r="FZ41" s="14">
        <f t="shared" si="15"/>
        <v>180</v>
      </c>
      <c r="GA41" s="14">
        <f t="shared" si="15"/>
        <v>181</v>
      </c>
      <c r="GB41" s="14">
        <f t="shared" si="15"/>
        <v>182</v>
      </c>
      <c r="GC41" s="14">
        <f t="shared" si="15"/>
        <v>183</v>
      </c>
      <c r="GD41" s="14">
        <f t="shared" si="15"/>
        <v>184</v>
      </c>
      <c r="GE41" s="14">
        <f t="shared" si="15"/>
        <v>185</v>
      </c>
      <c r="GF41" s="14">
        <f t="shared" si="15"/>
        <v>186</v>
      </c>
      <c r="GG41" s="14">
        <f t="shared" si="15"/>
        <v>187</v>
      </c>
      <c r="GH41" s="14">
        <f t="shared" si="15"/>
        <v>188</v>
      </c>
      <c r="GI41" s="14">
        <f t="shared" si="15"/>
        <v>189</v>
      </c>
      <c r="GJ41" s="14">
        <f t="shared" si="15"/>
        <v>190</v>
      </c>
      <c r="GK41" s="14">
        <f t="shared" si="15"/>
        <v>191</v>
      </c>
      <c r="GL41" s="14">
        <f t="shared" si="15"/>
        <v>192</v>
      </c>
      <c r="GM41" s="14">
        <f t="shared" si="15"/>
        <v>193</v>
      </c>
      <c r="GN41" s="14">
        <f t="shared" si="15"/>
        <v>194</v>
      </c>
      <c r="GO41" s="14">
        <f t="shared" si="15"/>
        <v>195</v>
      </c>
      <c r="GP41" s="14">
        <f t="shared" si="15"/>
        <v>196</v>
      </c>
      <c r="GQ41" s="14">
        <f t="shared" si="15"/>
        <v>197</v>
      </c>
      <c r="GR41" s="14">
        <f t="shared" si="15"/>
        <v>198</v>
      </c>
      <c r="GS41" s="14">
        <f t="shared" si="15"/>
        <v>199</v>
      </c>
      <c r="GT41" s="14">
        <f t="shared" si="15"/>
        <v>200</v>
      </c>
      <c r="GU41" s="14"/>
    </row>
    <row r="42" spans="1:203" ht="13.5" customHeight="1" x14ac:dyDescent="0.2">
      <c r="A42" s="38" t="s">
        <v>16</v>
      </c>
      <c r="B42" s="73"/>
      <c r="C42" s="15">
        <v>4</v>
      </c>
      <c r="D42" s="15">
        <v>15</v>
      </c>
      <c r="E42" s="15">
        <v>15</v>
      </c>
      <c r="F42" s="15">
        <v>15</v>
      </c>
      <c r="G42" s="15">
        <v>15</v>
      </c>
      <c r="H42" s="15">
        <v>15</v>
      </c>
      <c r="I42" s="15">
        <v>15</v>
      </c>
      <c r="J42" s="15">
        <v>15</v>
      </c>
      <c r="K42" s="15">
        <v>15</v>
      </c>
      <c r="L42" s="15">
        <v>15</v>
      </c>
      <c r="M42" s="15">
        <v>15</v>
      </c>
      <c r="N42" s="15">
        <v>15</v>
      </c>
      <c r="O42" s="15">
        <v>15</v>
      </c>
      <c r="P42" s="15">
        <v>15</v>
      </c>
      <c r="Q42" s="15">
        <v>15</v>
      </c>
      <c r="R42" s="15">
        <v>15</v>
      </c>
      <c r="S42" s="15">
        <v>15</v>
      </c>
      <c r="T42" s="15">
        <v>15</v>
      </c>
      <c r="U42" s="15">
        <v>15</v>
      </c>
      <c r="V42" s="15">
        <v>15</v>
      </c>
      <c r="W42" s="15">
        <v>15</v>
      </c>
      <c r="X42" s="15">
        <v>15</v>
      </c>
      <c r="Y42" s="15">
        <v>15</v>
      </c>
      <c r="Z42" s="15">
        <v>15</v>
      </c>
      <c r="AA42" s="15">
        <v>15</v>
      </c>
      <c r="AB42" s="15">
        <v>15</v>
      </c>
      <c r="AC42" s="15">
        <v>15</v>
      </c>
      <c r="AD42" s="15">
        <v>15</v>
      </c>
      <c r="AE42" s="15">
        <v>15</v>
      </c>
      <c r="AF42" s="15">
        <v>15</v>
      </c>
      <c r="AG42" s="15">
        <v>15</v>
      </c>
      <c r="AH42" s="15">
        <v>15</v>
      </c>
      <c r="AI42" s="15">
        <v>15</v>
      </c>
      <c r="AJ42" s="15">
        <v>15</v>
      </c>
      <c r="AK42" s="15">
        <v>15</v>
      </c>
      <c r="AL42" s="15">
        <v>15</v>
      </c>
      <c r="AM42" s="15">
        <v>15</v>
      </c>
      <c r="AN42" s="15">
        <v>15</v>
      </c>
      <c r="AO42" s="15">
        <v>15</v>
      </c>
      <c r="AP42" s="15">
        <v>15</v>
      </c>
      <c r="AQ42" s="15">
        <v>15</v>
      </c>
      <c r="AR42" s="15">
        <v>15</v>
      </c>
      <c r="AS42" s="15">
        <v>15</v>
      </c>
      <c r="AT42" s="15">
        <v>15</v>
      </c>
      <c r="AU42" s="15">
        <v>15</v>
      </c>
      <c r="AV42" s="15">
        <v>15</v>
      </c>
      <c r="AW42" s="15">
        <v>15</v>
      </c>
      <c r="AX42" s="15">
        <v>15</v>
      </c>
      <c r="AY42" s="15">
        <v>15</v>
      </c>
      <c r="AZ42" s="15">
        <v>15</v>
      </c>
      <c r="BA42" s="15">
        <v>15</v>
      </c>
      <c r="BB42" s="15">
        <v>15</v>
      </c>
      <c r="BC42" s="15">
        <v>15</v>
      </c>
      <c r="BD42" s="15">
        <v>15</v>
      </c>
      <c r="BE42" s="15">
        <v>15</v>
      </c>
      <c r="BF42" s="15">
        <v>15</v>
      </c>
      <c r="BG42" s="15">
        <v>15</v>
      </c>
      <c r="BH42" s="15">
        <v>15</v>
      </c>
      <c r="BI42" s="15">
        <v>15</v>
      </c>
      <c r="BJ42" s="15">
        <v>15</v>
      </c>
      <c r="BK42" s="15">
        <v>15</v>
      </c>
      <c r="BL42" s="15">
        <v>15</v>
      </c>
      <c r="BM42" s="15">
        <v>15</v>
      </c>
      <c r="BN42" s="15">
        <v>15</v>
      </c>
      <c r="BO42" s="15">
        <v>15</v>
      </c>
      <c r="BP42" s="15">
        <v>15</v>
      </c>
      <c r="BQ42" s="15">
        <v>15</v>
      </c>
      <c r="BR42" s="15">
        <v>15</v>
      </c>
      <c r="BS42" s="15">
        <v>15</v>
      </c>
      <c r="BT42" s="15">
        <v>15</v>
      </c>
      <c r="BU42" s="15">
        <v>15</v>
      </c>
      <c r="BV42" s="15">
        <v>15</v>
      </c>
      <c r="BW42" s="15">
        <v>15</v>
      </c>
      <c r="BX42" s="15">
        <v>15</v>
      </c>
      <c r="BY42" s="15">
        <v>15</v>
      </c>
      <c r="BZ42" s="15">
        <v>15</v>
      </c>
      <c r="CA42" s="15">
        <v>15</v>
      </c>
      <c r="CB42" s="15">
        <v>15</v>
      </c>
      <c r="CC42" s="15">
        <v>15</v>
      </c>
      <c r="CD42" s="15">
        <v>15</v>
      </c>
      <c r="CE42" s="15">
        <v>15</v>
      </c>
      <c r="CF42" s="15">
        <v>15</v>
      </c>
      <c r="CG42" s="15">
        <v>15</v>
      </c>
      <c r="CH42" s="15">
        <v>15</v>
      </c>
      <c r="CI42" s="15">
        <v>15</v>
      </c>
      <c r="CJ42" s="15">
        <v>15</v>
      </c>
      <c r="CK42" s="15">
        <v>15</v>
      </c>
      <c r="CL42" s="15">
        <v>15</v>
      </c>
      <c r="CM42" s="15">
        <v>15</v>
      </c>
      <c r="CN42" s="15">
        <v>15</v>
      </c>
      <c r="CO42" s="15">
        <v>15</v>
      </c>
      <c r="CP42" s="15">
        <v>15</v>
      </c>
      <c r="CQ42" s="15">
        <v>15</v>
      </c>
      <c r="CR42" s="15">
        <v>15</v>
      </c>
      <c r="CS42" s="15">
        <v>15</v>
      </c>
      <c r="CT42" s="15">
        <v>15</v>
      </c>
      <c r="CU42" s="15">
        <v>15</v>
      </c>
      <c r="CV42" s="15">
        <v>15</v>
      </c>
      <c r="CW42" s="15">
        <v>15</v>
      </c>
      <c r="CX42" s="15">
        <v>15</v>
      </c>
      <c r="CY42" s="15">
        <v>15</v>
      </c>
      <c r="CZ42" s="15">
        <v>15</v>
      </c>
      <c r="DA42" s="15">
        <v>15</v>
      </c>
      <c r="DB42" s="15">
        <v>15</v>
      </c>
      <c r="DC42" s="15">
        <v>15</v>
      </c>
      <c r="DD42" s="15">
        <v>15</v>
      </c>
      <c r="DE42" s="15">
        <v>15</v>
      </c>
      <c r="DF42" s="15">
        <v>15</v>
      </c>
      <c r="DG42" s="15">
        <v>15</v>
      </c>
      <c r="DH42" s="15">
        <v>15</v>
      </c>
      <c r="DI42" s="15">
        <v>15</v>
      </c>
      <c r="DJ42" s="15">
        <v>15</v>
      </c>
      <c r="DK42" s="15">
        <v>15</v>
      </c>
      <c r="DL42" s="15">
        <v>15</v>
      </c>
      <c r="DM42" s="15">
        <v>15</v>
      </c>
      <c r="DN42" s="15">
        <v>15</v>
      </c>
      <c r="DO42" s="15">
        <v>15</v>
      </c>
      <c r="DP42" s="15">
        <v>15</v>
      </c>
      <c r="DQ42" s="15">
        <v>15</v>
      </c>
      <c r="DR42" s="15">
        <v>15</v>
      </c>
      <c r="DS42" s="15">
        <v>15</v>
      </c>
      <c r="DT42" s="15">
        <v>15</v>
      </c>
      <c r="DU42" s="15">
        <v>15</v>
      </c>
      <c r="DV42" s="15">
        <v>15</v>
      </c>
      <c r="DW42" s="15">
        <v>15</v>
      </c>
      <c r="DX42" s="15">
        <v>15</v>
      </c>
      <c r="DY42" s="15">
        <v>15</v>
      </c>
      <c r="DZ42" s="15">
        <v>15</v>
      </c>
      <c r="EA42" s="15">
        <v>15</v>
      </c>
      <c r="EB42" s="15">
        <v>15</v>
      </c>
      <c r="EC42" s="15">
        <v>15</v>
      </c>
      <c r="ED42" s="15">
        <v>15</v>
      </c>
      <c r="EE42" s="15">
        <v>15</v>
      </c>
      <c r="EF42" s="15">
        <v>15</v>
      </c>
      <c r="EG42" s="15">
        <v>15</v>
      </c>
      <c r="EH42" s="15">
        <v>15</v>
      </c>
      <c r="EI42" s="15">
        <v>15</v>
      </c>
      <c r="EJ42" s="15">
        <v>15</v>
      </c>
      <c r="EK42" s="15">
        <v>15</v>
      </c>
      <c r="EL42" s="15">
        <v>15</v>
      </c>
      <c r="EM42" s="15">
        <v>15</v>
      </c>
      <c r="EN42" s="15">
        <v>15</v>
      </c>
      <c r="EO42" s="15">
        <v>15</v>
      </c>
      <c r="EP42" s="15">
        <v>15</v>
      </c>
      <c r="EQ42" s="15">
        <v>15</v>
      </c>
      <c r="ER42" s="15">
        <v>15</v>
      </c>
      <c r="ES42" s="15">
        <v>15</v>
      </c>
      <c r="ET42" s="15">
        <v>15</v>
      </c>
      <c r="EU42" s="15">
        <v>15</v>
      </c>
      <c r="EV42" s="15">
        <v>15</v>
      </c>
      <c r="EW42" s="15">
        <v>15</v>
      </c>
      <c r="EX42" s="15">
        <v>15</v>
      </c>
      <c r="EY42" s="15">
        <v>15</v>
      </c>
      <c r="EZ42" s="15">
        <v>15</v>
      </c>
      <c r="FA42" s="15">
        <v>15</v>
      </c>
      <c r="FB42" s="15">
        <v>15</v>
      </c>
      <c r="FC42" s="15">
        <v>15</v>
      </c>
      <c r="FD42" s="15">
        <v>15</v>
      </c>
      <c r="FE42" s="15">
        <v>15</v>
      </c>
      <c r="FF42" s="15">
        <v>15</v>
      </c>
      <c r="FG42" s="15">
        <v>15</v>
      </c>
      <c r="FH42" s="15">
        <v>15</v>
      </c>
      <c r="FI42" s="15">
        <v>15</v>
      </c>
      <c r="FJ42" s="15">
        <v>15</v>
      </c>
      <c r="FK42" s="15">
        <v>15</v>
      </c>
      <c r="FL42" s="15">
        <v>15</v>
      </c>
      <c r="FM42" s="15">
        <v>15</v>
      </c>
      <c r="FN42" s="15">
        <v>15</v>
      </c>
      <c r="FO42" s="15">
        <v>15</v>
      </c>
      <c r="FP42" s="15">
        <v>15</v>
      </c>
      <c r="FQ42" s="15">
        <v>15</v>
      </c>
      <c r="FR42" s="15">
        <v>15</v>
      </c>
      <c r="FS42" s="15">
        <v>15</v>
      </c>
      <c r="FT42" s="15">
        <v>15</v>
      </c>
      <c r="FU42" s="15">
        <v>15</v>
      </c>
      <c r="FV42" s="15">
        <v>15</v>
      </c>
      <c r="FW42" s="15">
        <v>15</v>
      </c>
      <c r="FX42" s="15">
        <v>15</v>
      </c>
      <c r="FY42" s="15">
        <v>15</v>
      </c>
      <c r="FZ42" s="15">
        <v>15</v>
      </c>
      <c r="GA42" s="15">
        <v>15</v>
      </c>
      <c r="GB42" s="15">
        <v>15</v>
      </c>
      <c r="GC42" s="15">
        <v>15</v>
      </c>
      <c r="GD42" s="15">
        <v>15</v>
      </c>
      <c r="GE42" s="15">
        <v>15</v>
      </c>
      <c r="GF42" s="15">
        <v>15</v>
      </c>
      <c r="GG42" s="15">
        <v>15</v>
      </c>
      <c r="GH42" s="15">
        <v>15</v>
      </c>
      <c r="GI42" s="15">
        <v>15</v>
      </c>
      <c r="GJ42" s="15">
        <v>15</v>
      </c>
      <c r="GK42" s="15">
        <v>15</v>
      </c>
      <c r="GL42" s="15">
        <v>15</v>
      </c>
      <c r="GM42" s="15">
        <v>15</v>
      </c>
      <c r="GN42" s="15">
        <v>15</v>
      </c>
      <c r="GO42" s="15">
        <v>15</v>
      </c>
      <c r="GP42" s="15">
        <v>15</v>
      </c>
      <c r="GQ42" s="15">
        <v>15</v>
      </c>
      <c r="GR42" s="15">
        <v>15</v>
      </c>
      <c r="GS42" s="15">
        <v>15</v>
      </c>
      <c r="GT42" s="15">
        <v>15</v>
      </c>
      <c r="GU42" s="15"/>
    </row>
    <row r="43" spans="1:203" s="48" customFormat="1" ht="13.5" customHeight="1" x14ac:dyDescent="0.2">
      <c r="A43" s="18"/>
      <c r="B43" s="4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17"/>
      <c r="GA43" s="17"/>
      <c r="GB43" s="17"/>
      <c r="GC43" s="17"/>
      <c r="GD43" s="17"/>
      <c r="GE43" s="17"/>
      <c r="GF43" s="17"/>
      <c r="GG43" s="17"/>
      <c r="GH43" s="17"/>
      <c r="GI43" s="17"/>
      <c r="GJ43" s="17"/>
      <c r="GK43" s="17"/>
      <c r="GL43" s="17"/>
      <c r="GM43" s="17"/>
      <c r="GN43" s="17"/>
      <c r="GO43" s="17"/>
      <c r="GP43" s="17"/>
      <c r="GQ43" s="17"/>
      <c r="GR43" s="17"/>
      <c r="GS43" s="17"/>
      <c r="GT43" s="17"/>
      <c r="GU43" s="17"/>
    </row>
    <row r="44" spans="1:203" ht="13.5" customHeight="1" x14ac:dyDescent="0.2">
      <c r="A44" s="40"/>
      <c r="GU44" s="7"/>
    </row>
    <row r="45" spans="1:203" ht="13.5" customHeight="1" x14ac:dyDescent="0.2">
      <c r="A45" s="39" t="s">
        <v>33</v>
      </c>
      <c r="B45" s="46" t="s">
        <v>17</v>
      </c>
      <c r="C45" s="19">
        <f>C$25</f>
        <v>1</v>
      </c>
      <c r="D45" s="19">
        <f t="shared" ref="D45:GT45" si="16">D$25</f>
        <v>2</v>
      </c>
      <c r="E45" s="19">
        <f t="shared" si="16"/>
        <v>3</v>
      </c>
      <c r="F45" s="19">
        <f t="shared" si="16"/>
        <v>4</v>
      </c>
      <c r="G45" s="19">
        <f t="shared" si="16"/>
        <v>5</v>
      </c>
      <c r="H45" s="19">
        <f t="shared" si="16"/>
        <v>6</v>
      </c>
      <c r="I45" s="19">
        <f t="shared" si="16"/>
        <v>7</v>
      </c>
      <c r="J45" s="19">
        <f t="shared" si="16"/>
        <v>8</v>
      </c>
      <c r="K45" s="19">
        <f t="shared" si="16"/>
        <v>9</v>
      </c>
      <c r="L45" s="19">
        <f t="shared" si="16"/>
        <v>10</v>
      </c>
      <c r="M45" s="19">
        <f t="shared" si="16"/>
        <v>11</v>
      </c>
      <c r="N45" s="19">
        <f t="shared" si="16"/>
        <v>12</v>
      </c>
      <c r="O45" s="19">
        <f t="shared" si="16"/>
        <v>13</v>
      </c>
      <c r="P45" s="19">
        <f t="shared" si="16"/>
        <v>14</v>
      </c>
      <c r="Q45" s="19">
        <f t="shared" si="16"/>
        <v>15</v>
      </c>
      <c r="R45" s="19">
        <f t="shared" si="16"/>
        <v>16</v>
      </c>
      <c r="S45" s="19">
        <f t="shared" si="16"/>
        <v>17</v>
      </c>
      <c r="T45" s="19">
        <f t="shared" si="16"/>
        <v>18</v>
      </c>
      <c r="U45" s="19">
        <f t="shared" si="16"/>
        <v>19</v>
      </c>
      <c r="V45" s="19">
        <f t="shared" si="16"/>
        <v>20</v>
      </c>
      <c r="W45" s="19">
        <f t="shared" si="16"/>
        <v>21</v>
      </c>
      <c r="X45" s="19">
        <f t="shared" si="16"/>
        <v>22</v>
      </c>
      <c r="Y45" s="19">
        <f t="shared" si="16"/>
        <v>23</v>
      </c>
      <c r="Z45" s="19">
        <f t="shared" si="16"/>
        <v>24</v>
      </c>
      <c r="AA45" s="19">
        <f t="shared" si="16"/>
        <v>25</v>
      </c>
      <c r="AB45" s="19">
        <f t="shared" si="16"/>
        <v>26</v>
      </c>
      <c r="AC45" s="19">
        <f t="shared" si="16"/>
        <v>27</v>
      </c>
      <c r="AD45" s="19">
        <f t="shared" si="16"/>
        <v>28</v>
      </c>
      <c r="AE45" s="19">
        <f t="shared" si="16"/>
        <v>29</v>
      </c>
      <c r="AF45" s="19">
        <f t="shared" si="16"/>
        <v>30</v>
      </c>
      <c r="AG45" s="19">
        <f t="shared" si="16"/>
        <v>31</v>
      </c>
      <c r="AH45" s="19">
        <f t="shared" si="16"/>
        <v>32</v>
      </c>
      <c r="AI45" s="19">
        <f t="shared" si="16"/>
        <v>33</v>
      </c>
      <c r="AJ45" s="19">
        <f t="shared" si="16"/>
        <v>34</v>
      </c>
      <c r="AK45" s="19">
        <f t="shared" si="16"/>
        <v>35</v>
      </c>
      <c r="AL45" s="19">
        <f t="shared" si="16"/>
        <v>36</v>
      </c>
      <c r="AM45" s="19">
        <f t="shared" si="16"/>
        <v>37</v>
      </c>
      <c r="AN45" s="19">
        <f t="shared" si="16"/>
        <v>38</v>
      </c>
      <c r="AO45" s="19">
        <f t="shared" si="16"/>
        <v>39</v>
      </c>
      <c r="AP45" s="19">
        <f t="shared" si="16"/>
        <v>40</v>
      </c>
      <c r="AQ45" s="19">
        <f t="shared" si="16"/>
        <v>41</v>
      </c>
      <c r="AR45" s="19">
        <f t="shared" si="16"/>
        <v>42</v>
      </c>
      <c r="AS45" s="19">
        <f t="shared" si="16"/>
        <v>43</v>
      </c>
      <c r="AT45" s="19">
        <f t="shared" si="16"/>
        <v>44</v>
      </c>
      <c r="AU45" s="19">
        <f t="shared" si="16"/>
        <v>45</v>
      </c>
      <c r="AV45" s="19">
        <f t="shared" si="16"/>
        <v>46</v>
      </c>
      <c r="AW45" s="19">
        <f t="shared" si="16"/>
        <v>47</v>
      </c>
      <c r="AX45" s="19">
        <f t="shared" si="16"/>
        <v>48</v>
      </c>
      <c r="AY45" s="19">
        <f t="shared" si="16"/>
        <v>49</v>
      </c>
      <c r="AZ45" s="19">
        <f t="shared" si="16"/>
        <v>50</v>
      </c>
      <c r="BA45" s="19">
        <f t="shared" si="16"/>
        <v>51</v>
      </c>
      <c r="BB45" s="19">
        <f t="shared" si="16"/>
        <v>52</v>
      </c>
      <c r="BC45" s="19">
        <f t="shared" si="16"/>
        <v>53</v>
      </c>
      <c r="BD45" s="19">
        <f t="shared" si="16"/>
        <v>54</v>
      </c>
      <c r="BE45" s="19">
        <f t="shared" si="16"/>
        <v>55</v>
      </c>
      <c r="BF45" s="19">
        <f t="shared" si="16"/>
        <v>56</v>
      </c>
      <c r="BG45" s="19">
        <f t="shared" si="16"/>
        <v>57</v>
      </c>
      <c r="BH45" s="19">
        <f t="shared" si="16"/>
        <v>58</v>
      </c>
      <c r="BI45" s="19">
        <f t="shared" si="16"/>
        <v>59</v>
      </c>
      <c r="BJ45" s="19">
        <f t="shared" si="16"/>
        <v>60</v>
      </c>
      <c r="BK45" s="19">
        <f t="shared" si="16"/>
        <v>61</v>
      </c>
      <c r="BL45" s="19">
        <f t="shared" si="16"/>
        <v>62</v>
      </c>
      <c r="BM45" s="19">
        <f t="shared" si="16"/>
        <v>63</v>
      </c>
      <c r="BN45" s="19">
        <f t="shared" si="16"/>
        <v>64</v>
      </c>
      <c r="BO45" s="19">
        <f t="shared" si="16"/>
        <v>65</v>
      </c>
      <c r="BP45" s="19">
        <f t="shared" si="16"/>
        <v>66</v>
      </c>
      <c r="BQ45" s="19">
        <f t="shared" si="16"/>
        <v>67</v>
      </c>
      <c r="BR45" s="19">
        <f t="shared" si="16"/>
        <v>68</v>
      </c>
      <c r="BS45" s="19">
        <f t="shared" si="16"/>
        <v>69</v>
      </c>
      <c r="BT45" s="19">
        <f t="shared" si="16"/>
        <v>70</v>
      </c>
      <c r="BU45" s="19">
        <f t="shared" si="16"/>
        <v>71</v>
      </c>
      <c r="BV45" s="19">
        <f t="shared" si="16"/>
        <v>72</v>
      </c>
      <c r="BW45" s="19">
        <f t="shared" si="16"/>
        <v>73</v>
      </c>
      <c r="BX45" s="19">
        <f t="shared" si="16"/>
        <v>74</v>
      </c>
      <c r="BY45" s="19">
        <f t="shared" si="16"/>
        <v>75</v>
      </c>
      <c r="BZ45" s="19">
        <f t="shared" si="16"/>
        <v>76</v>
      </c>
      <c r="CA45" s="19">
        <f t="shared" si="16"/>
        <v>77</v>
      </c>
      <c r="CB45" s="19">
        <f t="shared" si="16"/>
        <v>78</v>
      </c>
      <c r="CC45" s="19">
        <f t="shared" si="16"/>
        <v>79</v>
      </c>
      <c r="CD45" s="19">
        <f t="shared" si="16"/>
        <v>80</v>
      </c>
      <c r="CE45" s="19">
        <f t="shared" si="16"/>
        <v>81</v>
      </c>
      <c r="CF45" s="19">
        <f t="shared" si="16"/>
        <v>82</v>
      </c>
      <c r="CG45" s="19">
        <f t="shared" si="16"/>
        <v>83</v>
      </c>
      <c r="CH45" s="19">
        <f t="shared" si="16"/>
        <v>84</v>
      </c>
      <c r="CI45" s="19">
        <f t="shared" si="16"/>
        <v>85</v>
      </c>
      <c r="CJ45" s="19">
        <f t="shared" si="16"/>
        <v>86</v>
      </c>
      <c r="CK45" s="19">
        <f t="shared" si="16"/>
        <v>87</v>
      </c>
      <c r="CL45" s="19">
        <f t="shared" si="16"/>
        <v>88</v>
      </c>
      <c r="CM45" s="19">
        <f t="shared" si="16"/>
        <v>89</v>
      </c>
      <c r="CN45" s="19">
        <f t="shared" si="16"/>
        <v>90</v>
      </c>
      <c r="CO45" s="19">
        <f t="shared" si="16"/>
        <v>91</v>
      </c>
      <c r="CP45" s="19">
        <f t="shared" si="16"/>
        <v>92</v>
      </c>
      <c r="CQ45" s="19">
        <f t="shared" si="16"/>
        <v>93</v>
      </c>
      <c r="CR45" s="19">
        <f t="shared" si="16"/>
        <v>94</v>
      </c>
      <c r="CS45" s="19">
        <f t="shared" si="16"/>
        <v>95</v>
      </c>
      <c r="CT45" s="19">
        <f t="shared" si="16"/>
        <v>96</v>
      </c>
      <c r="CU45" s="19">
        <f t="shared" si="16"/>
        <v>97</v>
      </c>
      <c r="CV45" s="19">
        <f t="shared" si="16"/>
        <v>98</v>
      </c>
      <c r="CW45" s="19">
        <f t="shared" si="16"/>
        <v>99</v>
      </c>
      <c r="CX45" s="19">
        <f t="shared" si="16"/>
        <v>100</v>
      </c>
      <c r="CY45" s="19">
        <f t="shared" si="16"/>
        <v>101</v>
      </c>
      <c r="CZ45" s="19">
        <f t="shared" si="16"/>
        <v>102</v>
      </c>
      <c r="DA45" s="19">
        <f t="shared" si="16"/>
        <v>103</v>
      </c>
      <c r="DB45" s="19">
        <f t="shared" si="16"/>
        <v>104</v>
      </c>
      <c r="DC45" s="19">
        <f t="shared" si="16"/>
        <v>105</v>
      </c>
      <c r="DD45" s="19">
        <f t="shared" si="16"/>
        <v>106</v>
      </c>
      <c r="DE45" s="19">
        <f t="shared" si="16"/>
        <v>107</v>
      </c>
      <c r="DF45" s="19">
        <f t="shared" si="16"/>
        <v>108</v>
      </c>
      <c r="DG45" s="19">
        <f t="shared" si="16"/>
        <v>109</v>
      </c>
      <c r="DH45" s="19">
        <f t="shared" si="16"/>
        <v>110</v>
      </c>
      <c r="DI45" s="19">
        <f t="shared" si="16"/>
        <v>111</v>
      </c>
      <c r="DJ45" s="19">
        <f t="shared" si="16"/>
        <v>112</v>
      </c>
      <c r="DK45" s="19">
        <f t="shared" si="16"/>
        <v>113</v>
      </c>
      <c r="DL45" s="19">
        <f t="shared" si="16"/>
        <v>114</v>
      </c>
      <c r="DM45" s="19">
        <f t="shared" si="16"/>
        <v>115</v>
      </c>
      <c r="DN45" s="19">
        <f t="shared" si="16"/>
        <v>116</v>
      </c>
      <c r="DO45" s="19">
        <f t="shared" si="16"/>
        <v>117</v>
      </c>
      <c r="DP45" s="19">
        <f t="shared" si="16"/>
        <v>118</v>
      </c>
      <c r="DQ45" s="19">
        <f t="shared" si="16"/>
        <v>119</v>
      </c>
      <c r="DR45" s="19">
        <f t="shared" si="16"/>
        <v>120</v>
      </c>
      <c r="DS45" s="19">
        <f t="shared" si="16"/>
        <v>121</v>
      </c>
      <c r="DT45" s="19">
        <f t="shared" si="16"/>
        <v>122</v>
      </c>
      <c r="DU45" s="19">
        <f t="shared" si="16"/>
        <v>123</v>
      </c>
      <c r="DV45" s="19">
        <f t="shared" si="16"/>
        <v>124</v>
      </c>
      <c r="DW45" s="19">
        <f t="shared" si="16"/>
        <v>125</v>
      </c>
      <c r="DX45" s="19">
        <f t="shared" si="16"/>
        <v>126</v>
      </c>
      <c r="DY45" s="19">
        <f t="shared" si="16"/>
        <v>127</v>
      </c>
      <c r="DZ45" s="19">
        <f t="shared" si="16"/>
        <v>128</v>
      </c>
      <c r="EA45" s="19">
        <f t="shared" si="16"/>
        <v>129</v>
      </c>
      <c r="EB45" s="19">
        <f t="shared" si="16"/>
        <v>130</v>
      </c>
      <c r="EC45" s="19">
        <f t="shared" si="16"/>
        <v>131</v>
      </c>
      <c r="ED45" s="19">
        <f t="shared" si="16"/>
        <v>132</v>
      </c>
      <c r="EE45" s="19">
        <f t="shared" si="16"/>
        <v>133</v>
      </c>
      <c r="EF45" s="19">
        <f t="shared" si="16"/>
        <v>134</v>
      </c>
      <c r="EG45" s="19">
        <f t="shared" si="16"/>
        <v>135</v>
      </c>
      <c r="EH45" s="19">
        <f t="shared" si="16"/>
        <v>136</v>
      </c>
      <c r="EI45" s="19">
        <f t="shared" si="16"/>
        <v>137</v>
      </c>
      <c r="EJ45" s="19">
        <f t="shared" si="16"/>
        <v>138</v>
      </c>
      <c r="EK45" s="19">
        <f t="shared" si="16"/>
        <v>139</v>
      </c>
      <c r="EL45" s="19">
        <f t="shared" si="16"/>
        <v>140</v>
      </c>
      <c r="EM45" s="19">
        <f t="shared" si="16"/>
        <v>141</v>
      </c>
      <c r="EN45" s="19">
        <f t="shared" si="16"/>
        <v>142</v>
      </c>
      <c r="EO45" s="19">
        <f t="shared" si="16"/>
        <v>143</v>
      </c>
      <c r="EP45" s="19">
        <f t="shared" si="16"/>
        <v>144</v>
      </c>
      <c r="EQ45" s="19">
        <f t="shared" si="16"/>
        <v>145</v>
      </c>
      <c r="ER45" s="19">
        <f t="shared" si="16"/>
        <v>146</v>
      </c>
      <c r="ES45" s="19">
        <f t="shared" si="16"/>
        <v>147</v>
      </c>
      <c r="ET45" s="19">
        <f t="shared" si="16"/>
        <v>148</v>
      </c>
      <c r="EU45" s="19">
        <f t="shared" si="16"/>
        <v>149</v>
      </c>
      <c r="EV45" s="19">
        <f t="shared" si="16"/>
        <v>150</v>
      </c>
      <c r="EW45" s="19">
        <f t="shared" si="16"/>
        <v>151</v>
      </c>
      <c r="EX45" s="19">
        <f t="shared" si="16"/>
        <v>152</v>
      </c>
      <c r="EY45" s="19">
        <f t="shared" si="16"/>
        <v>153</v>
      </c>
      <c r="EZ45" s="19">
        <f t="shared" si="16"/>
        <v>154</v>
      </c>
      <c r="FA45" s="19">
        <f t="shared" si="16"/>
        <v>155</v>
      </c>
      <c r="FB45" s="19">
        <f t="shared" si="16"/>
        <v>156</v>
      </c>
      <c r="FC45" s="19">
        <f t="shared" si="16"/>
        <v>157</v>
      </c>
      <c r="FD45" s="19">
        <f t="shared" si="16"/>
        <v>158</v>
      </c>
      <c r="FE45" s="19">
        <f t="shared" si="16"/>
        <v>159</v>
      </c>
      <c r="FF45" s="19">
        <f t="shared" si="16"/>
        <v>160</v>
      </c>
      <c r="FG45" s="19">
        <f t="shared" si="16"/>
        <v>161</v>
      </c>
      <c r="FH45" s="19">
        <f t="shared" si="16"/>
        <v>162</v>
      </c>
      <c r="FI45" s="19">
        <f t="shared" si="16"/>
        <v>163</v>
      </c>
      <c r="FJ45" s="19">
        <f t="shared" si="16"/>
        <v>164</v>
      </c>
      <c r="FK45" s="19">
        <f t="shared" si="16"/>
        <v>165</v>
      </c>
      <c r="FL45" s="19">
        <f t="shared" si="16"/>
        <v>166</v>
      </c>
      <c r="FM45" s="19">
        <f t="shared" si="16"/>
        <v>167</v>
      </c>
      <c r="FN45" s="19">
        <f t="shared" si="16"/>
        <v>168</v>
      </c>
      <c r="FO45" s="19">
        <f t="shared" si="16"/>
        <v>169</v>
      </c>
      <c r="FP45" s="19">
        <f t="shared" si="16"/>
        <v>170</v>
      </c>
      <c r="FQ45" s="19">
        <f t="shared" si="16"/>
        <v>171</v>
      </c>
      <c r="FR45" s="19">
        <f t="shared" si="16"/>
        <v>172</v>
      </c>
      <c r="FS45" s="19">
        <f t="shared" si="16"/>
        <v>173</v>
      </c>
      <c r="FT45" s="19">
        <f t="shared" si="16"/>
        <v>174</v>
      </c>
      <c r="FU45" s="19">
        <f t="shared" si="16"/>
        <v>175</v>
      </c>
      <c r="FV45" s="19">
        <f t="shared" si="16"/>
        <v>176</v>
      </c>
      <c r="FW45" s="19">
        <f t="shared" si="16"/>
        <v>177</v>
      </c>
      <c r="FX45" s="19">
        <f t="shared" si="16"/>
        <v>178</v>
      </c>
      <c r="FY45" s="19">
        <f t="shared" si="16"/>
        <v>179</v>
      </c>
      <c r="FZ45" s="19">
        <f t="shared" si="16"/>
        <v>180</v>
      </c>
      <c r="GA45" s="19">
        <f t="shared" si="16"/>
        <v>181</v>
      </c>
      <c r="GB45" s="19">
        <f t="shared" si="16"/>
        <v>182</v>
      </c>
      <c r="GC45" s="19">
        <f t="shared" si="16"/>
        <v>183</v>
      </c>
      <c r="GD45" s="19">
        <f t="shared" si="16"/>
        <v>184</v>
      </c>
      <c r="GE45" s="19">
        <f t="shared" si="16"/>
        <v>185</v>
      </c>
      <c r="GF45" s="19">
        <f t="shared" si="16"/>
        <v>186</v>
      </c>
      <c r="GG45" s="19">
        <f t="shared" si="16"/>
        <v>187</v>
      </c>
      <c r="GH45" s="19">
        <f t="shared" si="16"/>
        <v>188</v>
      </c>
      <c r="GI45" s="19">
        <f t="shared" si="16"/>
        <v>189</v>
      </c>
      <c r="GJ45" s="19">
        <f t="shared" si="16"/>
        <v>190</v>
      </c>
      <c r="GK45" s="19">
        <f t="shared" si="16"/>
        <v>191</v>
      </c>
      <c r="GL45" s="19">
        <f t="shared" si="16"/>
        <v>192</v>
      </c>
      <c r="GM45" s="19">
        <f t="shared" si="16"/>
        <v>193</v>
      </c>
      <c r="GN45" s="19">
        <f t="shared" si="16"/>
        <v>194</v>
      </c>
      <c r="GO45" s="19">
        <f t="shared" si="16"/>
        <v>195</v>
      </c>
      <c r="GP45" s="19">
        <f t="shared" si="16"/>
        <v>196</v>
      </c>
      <c r="GQ45" s="19">
        <f t="shared" si="16"/>
        <v>197</v>
      </c>
      <c r="GR45" s="19">
        <f t="shared" si="16"/>
        <v>198</v>
      </c>
      <c r="GS45" s="19">
        <f t="shared" si="16"/>
        <v>199</v>
      </c>
      <c r="GT45" s="19">
        <f t="shared" si="16"/>
        <v>200</v>
      </c>
      <c r="GU45" s="24">
        <f>GT45+1</f>
        <v>201</v>
      </c>
    </row>
    <row r="46" spans="1:203" ht="13.5" customHeight="1" x14ac:dyDescent="0.2">
      <c r="A46" s="40">
        <v>1</v>
      </c>
      <c r="B46" s="6">
        <f t="shared" ref="B46:B66" si="17">SUM(C46:GU46)</f>
        <v>0.25869999999999999</v>
      </c>
      <c r="C46" s="6">
        <f>SUMPRODUCT((Results!$A$2:$A$5001=Schedule!C$45)*(Results!$B$2:$B$5001=Schedule!$A46)*(Results!$D$2:$D$5001))</f>
        <v>0.25869999999999999</v>
      </c>
      <c r="D46" s="6">
        <f>SUMPRODUCT((Results!$A$2:$A$5001=Schedule!D$45)*(Results!$B$2:$B$5001=Schedule!$A46)*(Results!$D$2:$D$5001))</f>
        <v>0</v>
      </c>
      <c r="E46" s="6">
        <f>SUMPRODUCT((Results!$A$2:$A$5001=Schedule!E$45)*(Results!$B$2:$B$5001=Schedule!$A46)*(Results!$D$2:$D$5001))</f>
        <v>0</v>
      </c>
      <c r="F46" s="6">
        <f>SUMPRODUCT((Results!$A$2:$A$5001=Schedule!F$45)*(Results!$B$2:$B$5001=Schedule!$A46)*(Results!$D$2:$D$5001))</f>
        <v>0</v>
      </c>
      <c r="G46" s="6">
        <f>SUMPRODUCT((Results!$A$2:$A$5001=Schedule!G$45)*(Results!$B$2:$B$5001=Schedule!$A46)*(Results!$D$2:$D$5001))</f>
        <v>0</v>
      </c>
      <c r="H46" s="6">
        <f>SUMPRODUCT((Results!$A$2:$A$5001=Schedule!H$45)*(Results!$B$2:$B$5001=Schedule!$A46)*(Results!$D$2:$D$5001))</f>
        <v>0</v>
      </c>
      <c r="I46" s="6">
        <f>SUMPRODUCT((Results!$A$2:$A$5001=Schedule!I$45)*(Results!$B$2:$B$5001=Schedule!$A46)*(Results!$D$2:$D$5001))</f>
        <v>0</v>
      </c>
      <c r="J46" s="6">
        <f>SUMPRODUCT((Results!$A$2:$A$5001=Schedule!J$45)*(Results!$B$2:$B$5001=Schedule!$A46)*(Results!$D$2:$D$5001))</f>
        <v>0</v>
      </c>
      <c r="K46" s="6">
        <f>SUMPRODUCT((Results!$A$2:$A$5001=Schedule!K$45)*(Results!$B$2:$B$5001=Schedule!$A46)*(Results!$D$2:$D$5001))</f>
        <v>0</v>
      </c>
      <c r="L46" s="6">
        <f>SUMPRODUCT((Results!$A$2:$A$5001=Schedule!L$45)*(Results!$B$2:$B$5001=Schedule!$A46)*(Results!$D$2:$D$5001))</f>
        <v>0</v>
      </c>
      <c r="M46" s="6">
        <f>SUMPRODUCT((Results!$A$2:$A$5001=Schedule!M$45)*(Results!$B$2:$B$5001=Schedule!$A46)*(Results!$D$2:$D$5001))</f>
        <v>0</v>
      </c>
      <c r="N46" s="6">
        <f>SUMPRODUCT((Results!$A$2:$A$5001=Schedule!N$45)*(Results!$B$2:$B$5001=Schedule!$A46)*(Results!$D$2:$D$5001))</f>
        <v>0</v>
      </c>
      <c r="O46" s="6">
        <f>SUMPRODUCT((Results!$A$2:$A$5001=Schedule!O$45)*(Results!$B$2:$B$5001=Schedule!$A46)*(Results!$D$2:$D$5001))</f>
        <v>0</v>
      </c>
      <c r="P46" s="6">
        <f>SUMPRODUCT((Results!$A$2:$A$5001=Schedule!P$45)*(Results!$B$2:$B$5001=Schedule!$A46)*(Results!$D$2:$D$5001))</f>
        <v>0</v>
      </c>
      <c r="Q46" s="6">
        <f>SUMPRODUCT((Results!$A$2:$A$5001=Schedule!Q$45)*(Results!$B$2:$B$5001=Schedule!$A46)*(Results!$D$2:$D$5001))</f>
        <v>0</v>
      </c>
      <c r="R46" s="6">
        <f>SUMPRODUCT((Results!$A$2:$A$5001=Schedule!R$45)*(Results!$B$2:$B$5001=Schedule!$A46)*(Results!$D$2:$D$5001))</f>
        <v>0</v>
      </c>
      <c r="S46" s="6">
        <f>SUMPRODUCT((Results!$A$2:$A$5001=Schedule!S$45)*(Results!$B$2:$B$5001=Schedule!$A46)*(Results!$D$2:$D$5001))</f>
        <v>0</v>
      </c>
      <c r="T46" s="6">
        <f>SUMPRODUCT((Results!$A$2:$A$5001=Schedule!T$45)*(Results!$B$2:$B$5001=Schedule!$A46)*(Results!$D$2:$D$5001))</f>
        <v>0</v>
      </c>
      <c r="U46" s="6">
        <f>SUMPRODUCT((Results!$A$2:$A$5001=Schedule!U$45)*(Results!$B$2:$B$5001=Schedule!$A46)*(Results!$D$2:$D$5001))</f>
        <v>0</v>
      </c>
      <c r="V46" s="6">
        <f>SUMPRODUCT((Results!$A$2:$A$5001=Schedule!V$45)*(Results!$B$2:$B$5001=Schedule!$A46)*(Results!$D$2:$D$5001))</f>
        <v>0</v>
      </c>
      <c r="W46" s="6">
        <f>SUMPRODUCT((Results!$A$2:$A$5001=Schedule!W$45)*(Results!$B$2:$B$5001=Schedule!$A46)*(Results!$D$2:$D$5001))</f>
        <v>0</v>
      </c>
      <c r="X46" s="6">
        <f>SUMPRODUCT((Results!$A$2:$A$5001=Schedule!X$45)*(Results!$B$2:$B$5001=Schedule!$A46)*(Results!$D$2:$D$5001))</f>
        <v>0</v>
      </c>
      <c r="Y46" s="6">
        <f>SUMPRODUCT((Results!$A$2:$A$5001=Schedule!Y$45)*(Results!$B$2:$B$5001=Schedule!$A46)*(Results!$D$2:$D$5001))</f>
        <v>0</v>
      </c>
      <c r="Z46" s="6">
        <f>SUMPRODUCT((Results!$A$2:$A$5001=Schedule!Z$45)*(Results!$B$2:$B$5001=Schedule!$A46)*(Results!$D$2:$D$5001))</f>
        <v>0</v>
      </c>
      <c r="AA46" s="6">
        <f>SUMPRODUCT((Results!$A$2:$A$5001=Schedule!AA$45)*(Results!$B$2:$B$5001=Schedule!$A46)*(Results!$D$2:$D$5001))</f>
        <v>0</v>
      </c>
      <c r="AB46" s="6">
        <f>SUMPRODUCT((Results!$A$2:$A$5001=Schedule!AB$45)*(Results!$B$2:$B$5001=Schedule!$A46)*(Results!$D$2:$D$5001))</f>
        <v>0</v>
      </c>
      <c r="AC46" s="6">
        <f>SUMPRODUCT((Results!$A$2:$A$5001=Schedule!AC$45)*(Results!$B$2:$B$5001=Schedule!$A46)*(Results!$D$2:$D$5001))</f>
        <v>0</v>
      </c>
      <c r="AD46" s="6">
        <f>SUMPRODUCT((Results!$A$2:$A$5001=Schedule!AD$45)*(Results!$B$2:$B$5001=Schedule!$A46)*(Results!$D$2:$D$5001))</f>
        <v>0</v>
      </c>
      <c r="AE46" s="6">
        <f>SUMPRODUCT((Results!$A$2:$A$5001=Schedule!AE$45)*(Results!$B$2:$B$5001=Schedule!$A46)*(Results!$D$2:$D$5001))</f>
        <v>0</v>
      </c>
      <c r="AF46" s="6">
        <f>SUMPRODUCT((Results!$A$2:$A$5001=Schedule!AF$45)*(Results!$B$2:$B$5001=Schedule!$A46)*(Results!$D$2:$D$5001))</f>
        <v>0</v>
      </c>
      <c r="AG46" s="6">
        <f>SUMPRODUCT((Results!$A$2:$A$5001=Schedule!AG$45)*(Results!$B$2:$B$5001=Schedule!$A46)*(Results!$D$2:$D$5001))</f>
        <v>0</v>
      </c>
      <c r="AH46" s="6">
        <f>SUMPRODUCT((Results!$A$2:$A$5001=Schedule!AH$45)*(Results!$B$2:$B$5001=Schedule!$A46)*(Results!$D$2:$D$5001))</f>
        <v>0</v>
      </c>
      <c r="AI46" s="6">
        <f>SUMPRODUCT((Results!$A$2:$A$5001=Schedule!AI$45)*(Results!$B$2:$B$5001=Schedule!$A46)*(Results!$D$2:$D$5001))</f>
        <v>0</v>
      </c>
      <c r="AJ46" s="6">
        <f>SUMPRODUCT((Results!$A$2:$A$5001=Schedule!AJ$45)*(Results!$B$2:$B$5001=Schedule!$A46)*(Results!$D$2:$D$5001))</f>
        <v>0</v>
      </c>
      <c r="AK46" s="6">
        <f>SUMPRODUCT((Results!$A$2:$A$5001=Schedule!AK$45)*(Results!$B$2:$B$5001=Schedule!$A46)*(Results!$D$2:$D$5001))</f>
        <v>0</v>
      </c>
      <c r="AL46" s="6">
        <f>SUMPRODUCT((Results!$A$2:$A$5001=Schedule!AL$45)*(Results!$B$2:$B$5001=Schedule!$A46)*(Results!$D$2:$D$5001))</f>
        <v>0</v>
      </c>
      <c r="AM46" s="6">
        <f>SUMPRODUCT((Results!$A$2:$A$5001=Schedule!AM$45)*(Results!$B$2:$B$5001=Schedule!$A46)*(Results!$D$2:$D$5001))</f>
        <v>0</v>
      </c>
      <c r="AN46" s="6">
        <f>SUMPRODUCT((Results!$A$2:$A$5001=Schedule!AN$45)*(Results!$B$2:$B$5001=Schedule!$A46)*(Results!$D$2:$D$5001))</f>
        <v>0</v>
      </c>
      <c r="AO46" s="6">
        <f>SUMPRODUCT((Results!$A$2:$A$5001=Schedule!AO$45)*(Results!$B$2:$B$5001=Schedule!$A46)*(Results!$D$2:$D$5001))</f>
        <v>0</v>
      </c>
      <c r="AP46" s="6">
        <f>SUMPRODUCT((Results!$A$2:$A$5001=Schedule!AP$45)*(Results!$B$2:$B$5001=Schedule!$A46)*(Results!$D$2:$D$5001))</f>
        <v>0</v>
      </c>
      <c r="AQ46" s="6">
        <f>SUMPRODUCT((Results!$A$2:$A$5001=Schedule!AQ$45)*(Results!$B$2:$B$5001=Schedule!$A46)*(Results!$D$2:$D$5001))</f>
        <v>0</v>
      </c>
      <c r="AR46" s="6">
        <f>SUMPRODUCT((Results!$A$2:$A$5001=Schedule!AR$45)*(Results!$B$2:$B$5001=Schedule!$A46)*(Results!$D$2:$D$5001))</f>
        <v>0</v>
      </c>
      <c r="AS46" s="6">
        <f>SUMPRODUCT((Results!$A$2:$A$5001=Schedule!AS$45)*(Results!$B$2:$B$5001=Schedule!$A46)*(Results!$D$2:$D$5001))</f>
        <v>0</v>
      </c>
      <c r="AT46" s="6">
        <f>SUMPRODUCT((Results!$A$2:$A$5001=Schedule!AT$45)*(Results!$B$2:$B$5001=Schedule!$A46)*(Results!$D$2:$D$5001))</f>
        <v>0</v>
      </c>
      <c r="AU46" s="6">
        <f>SUMPRODUCT((Results!$A$2:$A$5001=Schedule!AU$45)*(Results!$B$2:$B$5001=Schedule!$A46)*(Results!$D$2:$D$5001))</f>
        <v>0</v>
      </c>
      <c r="AV46" s="6">
        <f>SUMPRODUCT((Results!$A$2:$A$5001=Schedule!AV$45)*(Results!$B$2:$B$5001=Schedule!$A46)*(Results!$D$2:$D$5001))</f>
        <v>0</v>
      </c>
      <c r="AW46" s="6">
        <f>SUMPRODUCT((Results!$A$2:$A$5001=Schedule!AW$45)*(Results!$B$2:$B$5001=Schedule!$A46)*(Results!$D$2:$D$5001))</f>
        <v>0</v>
      </c>
      <c r="AX46" s="6">
        <f>SUMPRODUCT((Results!$A$2:$A$5001=Schedule!AX$45)*(Results!$B$2:$B$5001=Schedule!$A46)*(Results!$D$2:$D$5001))</f>
        <v>0</v>
      </c>
      <c r="AY46" s="6">
        <f>SUMPRODUCT((Results!$A$2:$A$5001=Schedule!AY$45)*(Results!$B$2:$B$5001=Schedule!$A46)*(Results!$D$2:$D$5001))</f>
        <v>0</v>
      </c>
      <c r="AZ46" s="6">
        <f>SUMPRODUCT((Results!$A$2:$A$5001=Schedule!AZ$45)*(Results!$B$2:$B$5001=Schedule!$A46)*(Results!$D$2:$D$5001))</f>
        <v>0</v>
      </c>
      <c r="BA46" s="6">
        <f>SUMPRODUCT((Results!$A$2:$A$5001=Schedule!BA$45)*(Results!$B$2:$B$5001=Schedule!$A46)*(Results!$D$2:$D$5001))</f>
        <v>0</v>
      </c>
      <c r="BB46" s="6">
        <f>SUMPRODUCT((Results!$A$2:$A$5001=Schedule!BB$45)*(Results!$B$2:$B$5001=Schedule!$A46)*(Results!$D$2:$D$5001))</f>
        <v>0</v>
      </c>
      <c r="BC46" s="6">
        <f>SUMPRODUCT((Results!$A$2:$A$5001=Schedule!BC$45)*(Results!$B$2:$B$5001=Schedule!$A46)*(Results!$D$2:$D$5001))</f>
        <v>0</v>
      </c>
      <c r="BD46" s="6">
        <f>SUMPRODUCT((Results!$A$2:$A$5001=Schedule!BD$45)*(Results!$B$2:$B$5001=Schedule!$A46)*(Results!$D$2:$D$5001))</f>
        <v>0</v>
      </c>
      <c r="BE46" s="6">
        <f>SUMPRODUCT((Results!$A$2:$A$5001=Schedule!BE$45)*(Results!$B$2:$B$5001=Schedule!$A46)*(Results!$D$2:$D$5001))</f>
        <v>0</v>
      </c>
      <c r="BF46" s="6">
        <f>SUMPRODUCT((Results!$A$2:$A$5001=Schedule!BF$45)*(Results!$B$2:$B$5001=Schedule!$A46)*(Results!$D$2:$D$5001))</f>
        <v>0</v>
      </c>
      <c r="BG46" s="6">
        <f>SUMPRODUCT((Results!$A$2:$A$5001=Schedule!BG$45)*(Results!$B$2:$B$5001=Schedule!$A46)*(Results!$D$2:$D$5001))</f>
        <v>0</v>
      </c>
      <c r="BH46" s="6">
        <f>SUMPRODUCT((Results!$A$2:$A$5001=Schedule!BH$45)*(Results!$B$2:$B$5001=Schedule!$A46)*(Results!$D$2:$D$5001))</f>
        <v>0</v>
      </c>
      <c r="BI46" s="6">
        <f>SUMPRODUCT((Results!$A$2:$A$5001=Schedule!BI$45)*(Results!$B$2:$B$5001=Schedule!$A46)*(Results!$D$2:$D$5001))</f>
        <v>0</v>
      </c>
      <c r="BJ46" s="6">
        <f>SUMPRODUCT((Results!$A$2:$A$5001=Schedule!BJ$45)*(Results!$B$2:$B$5001=Schedule!$A46)*(Results!$D$2:$D$5001))</f>
        <v>0</v>
      </c>
      <c r="BK46" s="6">
        <f>SUMPRODUCT((Results!$A$2:$A$5001=Schedule!BK$45)*(Results!$B$2:$B$5001=Schedule!$A46)*(Results!$D$2:$D$5001))</f>
        <v>0</v>
      </c>
      <c r="BL46" s="6">
        <f>SUMPRODUCT((Results!$A$2:$A$5001=Schedule!BL$45)*(Results!$B$2:$B$5001=Schedule!$A46)*(Results!$D$2:$D$5001))</f>
        <v>0</v>
      </c>
      <c r="BM46" s="6">
        <f>SUMPRODUCT((Results!$A$2:$A$5001=Schedule!BM$45)*(Results!$B$2:$B$5001=Schedule!$A46)*(Results!$D$2:$D$5001))</f>
        <v>0</v>
      </c>
      <c r="BN46" s="6">
        <f>SUMPRODUCT((Results!$A$2:$A$5001=Schedule!BN$45)*(Results!$B$2:$B$5001=Schedule!$A46)*(Results!$D$2:$D$5001))</f>
        <v>0</v>
      </c>
      <c r="BO46" s="6">
        <f>SUMPRODUCT((Results!$A$2:$A$5001=Schedule!BO$45)*(Results!$B$2:$B$5001=Schedule!$A46)*(Results!$D$2:$D$5001))</f>
        <v>0</v>
      </c>
      <c r="BP46" s="6">
        <f>SUMPRODUCT((Results!$A$2:$A$5001=Schedule!BP$45)*(Results!$B$2:$B$5001=Schedule!$A46)*(Results!$D$2:$D$5001))</f>
        <v>0</v>
      </c>
      <c r="BQ46" s="6">
        <f>SUMPRODUCT((Results!$A$2:$A$5001=Schedule!BQ$45)*(Results!$B$2:$B$5001=Schedule!$A46)*(Results!$D$2:$D$5001))</f>
        <v>0</v>
      </c>
      <c r="BR46" s="6">
        <f>SUMPRODUCT((Results!$A$2:$A$5001=Schedule!BR$45)*(Results!$B$2:$B$5001=Schedule!$A46)*(Results!$D$2:$D$5001))</f>
        <v>0</v>
      </c>
      <c r="BS46" s="6">
        <f>SUMPRODUCT((Results!$A$2:$A$5001=Schedule!BS$45)*(Results!$B$2:$B$5001=Schedule!$A46)*(Results!$D$2:$D$5001))</f>
        <v>0</v>
      </c>
      <c r="BT46" s="6">
        <f>SUMPRODUCT((Results!$A$2:$A$5001=Schedule!BT$45)*(Results!$B$2:$B$5001=Schedule!$A46)*(Results!$D$2:$D$5001))</f>
        <v>0</v>
      </c>
      <c r="BU46" s="6">
        <f>SUMPRODUCT((Results!$A$2:$A$5001=Schedule!BU$45)*(Results!$B$2:$B$5001=Schedule!$A46)*(Results!$D$2:$D$5001))</f>
        <v>0</v>
      </c>
      <c r="BV46" s="6">
        <f>SUMPRODUCT((Results!$A$2:$A$5001=Schedule!BV$45)*(Results!$B$2:$B$5001=Schedule!$A46)*(Results!$D$2:$D$5001))</f>
        <v>0</v>
      </c>
      <c r="BW46" s="6">
        <f>SUMPRODUCT((Results!$A$2:$A$5001=Schedule!BW$45)*(Results!$B$2:$B$5001=Schedule!$A46)*(Results!$D$2:$D$5001))</f>
        <v>0</v>
      </c>
      <c r="BX46" s="6">
        <f>SUMPRODUCT((Results!$A$2:$A$5001=Schedule!BX$45)*(Results!$B$2:$B$5001=Schedule!$A46)*(Results!$D$2:$D$5001))</f>
        <v>0</v>
      </c>
      <c r="BY46" s="6">
        <f>SUMPRODUCT((Results!$A$2:$A$5001=Schedule!BY$45)*(Results!$B$2:$B$5001=Schedule!$A46)*(Results!$D$2:$D$5001))</f>
        <v>0</v>
      </c>
      <c r="BZ46" s="6">
        <f>SUMPRODUCT((Results!$A$2:$A$5001=Schedule!BZ$45)*(Results!$B$2:$B$5001=Schedule!$A46)*(Results!$D$2:$D$5001))</f>
        <v>0</v>
      </c>
      <c r="CA46" s="6">
        <f>SUMPRODUCT((Results!$A$2:$A$5001=Schedule!CA$45)*(Results!$B$2:$B$5001=Schedule!$A46)*(Results!$D$2:$D$5001))</f>
        <v>0</v>
      </c>
      <c r="CB46" s="6">
        <f>SUMPRODUCT((Results!$A$2:$A$5001=Schedule!CB$45)*(Results!$B$2:$B$5001=Schedule!$A46)*(Results!$D$2:$D$5001))</f>
        <v>0</v>
      </c>
      <c r="CC46" s="6">
        <f>SUMPRODUCT((Results!$A$2:$A$5001=Schedule!CC$45)*(Results!$B$2:$B$5001=Schedule!$A46)*(Results!$D$2:$D$5001))</f>
        <v>0</v>
      </c>
      <c r="CD46" s="6">
        <f>SUMPRODUCT((Results!$A$2:$A$5001=Schedule!CD$45)*(Results!$B$2:$B$5001=Schedule!$A46)*(Results!$D$2:$D$5001))</f>
        <v>0</v>
      </c>
      <c r="CE46" s="6">
        <f>SUMPRODUCT((Results!$A$2:$A$5001=Schedule!CE$45)*(Results!$B$2:$B$5001=Schedule!$A46)*(Results!$D$2:$D$5001))</f>
        <v>0</v>
      </c>
      <c r="CF46" s="6">
        <f>SUMPRODUCT((Results!$A$2:$A$5001=Schedule!CF$45)*(Results!$B$2:$B$5001=Schedule!$A46)*(Results!$D$2:$D$5001))</f>
        <v>0</v>
      </c>
      <c r="CG46" s="6">
        <f>SUMPRODUCT((Results!$A$2:$A$5001=Schedule!CG$45)*(Results!$B$2:$B$5001=Schedule!$A46)*(Results!$D$2:$D$5001))</f>
        <v>0</v>
      </c>
      <c r="CH46" s="6">
        <f>SUMPRODUCT((Results!$A$2:$A$5001=Schedule!CH$45)*(Results!$B$2:$B$5001=Schedule!$A46)*(Results!$D$2:$D$5001))</f>
        <v>0</v>
      </c>
      <c r="CI46" s="6">
        <f>SUMPRODUCT((Results!$A$2:$A$5001=Schedule!CI$45)*(Results!$B$2:$B$5001=Schedule!$A46)*(Results!$D$2:$D$5001))</f>
        <v>0</v>
      </c>
      <c r="CJ46" s="6">
        <f>SUMPRODUCT((Results!$A$2:$A$5001=Schedule!CJ$45)*(Results!$B$2:$B$5001=Schedule!$A46)*(Results!$D$2:$D$5001))</f>
        <v>0</v>
      </c>
      <c r="CK46" s="6">
        <f>SUMPRODUCT((Results!$A$2:$A$5001=Schedule!CK$45)*(Results!$B$2:$B$5001=Schedule!$A46)*(Results!$D$2:$D$5001))</f>
        <v>0</v>
      </c>
      <c r="CL46" s="6">
        <f>SUMPRODUCT((Results!$A$2:$A$5001=Schedule!CL$45)*(Results!$B$2:$B$5001=Schedule!$A46)*(Results!$D$2:$D$5001))</f>
        <v>0</v>
      </c>
      <c r="CM46" s="6">
        <f>SUMPRODUCT((Results!$A$2:$A$5001=Schedule!CM$45)*(Results!$B$2:$B$5001=Schedule!$A46)*(Results!$D$2:$D$5001))</f>
        <v>0</v>
      </c>
      <c r="CN46" s="6">
        <f>SUMPRODUCT((Results!$A$2:$A$5001=Schedule!CN$45)*(Results!$B$2:$B$5001=Schedule!$A46)*(Results!$D$2:$D$5001))</f>
        <v>0</v>
      </c>
      <c r="CO46" s="6">
        <f>SUMPRODUCT((Results!$A$2:$A$5001=Schedule!CO$45)*(Results!$B$2:$B$5001=Schedule!$A46)*(Results!$D$2:$D$5001))</f>
        <v>0</v>
      </c>
      <c r="CP46" s="6">
        <f>SUMPRODUCT((Results!$A$2:$A$5001=Schedule!CP$45)*(Results!$B$2:$B$5001=Schedule!$A46)*(Results!$D$2:$D$5001))</f>
        <v>0</v>
      </c>
      <c r="CQ46" s="6">
        <f>SUMPRODUCT((Results!$A$2:$A$5001=Schedule!CQ$45)*(Results!$B$2:$B$5001=Schedule!$A46)*(Results!$D$2:$D$5001))</f>
        <v>0</v>
      </c>
      <c r="CR46" s="6">
        <f>SUMPRODUCT((Results!$A$2:$A$5001=Schedule!CR$45)*(Results!$B$2:$B$5001=Schedule!$A46)*(Results!$D$2:$D$5001))</f>
        <v>0</v>
      </c>
      <c r="CS46" s="6">
        <f>SUMPRODUCT((Results!$A$2:$A$5001=Schedule!CS$45)*(Results!$B$2:$B$5001=Schedule!$A46)*(Results!$D$2:$D$5001))</f>
        <v>0</v>
      </c>
      <c r="CT46" s="6">
        <f>SUMPRODUCT((Results!$A$2:$A$5001=Schedule!CT$45)*(Results!$B$2:$B$5001=Schedule!$A46)*(Results!$D$2:$D$5001))</f>
        <v>0</v>
      </c>
      <c r="CU46" s="6">
        <f>SUMPRODUCT((Results!$A$2:$A$5001=Schedule!CU$45)*(Results!$B$2:$B$5001=Schedule!$A46)*(Results!$D$2:$D$5001))</f>
        <v>0</v>
      </c>
      <c r="CV46" s="6">
        <f>SUMPRODUCT((Results!$A$2:$A$5001=Schedule!CV$45)*(Results!$B$2:$B$5001=Schedule!$A46)*(Results!$D$2:$D$5001))</f>
        <v>0</v>
      </c>
      <c r="CW46" s="6">
        <f>SUMPRODUCT((Results!$A$2:$A$5001=Schedule!CW$45)*(Results!$B$2:$B$5001=Schedule!$A46)*(Results!$D$2:$D$5001))</f>
        <v>0</v>
      </c>
      <c r="CX46" s="6">
        <f>SUMPRODUCT((Results!$A$2:$A$5001=Schedule!CX$45)*(Results!$B$2:$B$5001=Schedule!$A46)*(Results!$D$2:$D$5001))</f>
        <v>0</v>
      </c>
      <c r="CY46" s="6">
        <f>SUMPRODUCT((Results!$A$2:$A$5001=Schedule!CY$45)*(Results!$B$2:$B$5001=Schedule!$A46)*(Results!$D$2:$D$5001))</f>
        <v>0</v>
      </c>
      <c r="CZ46" s="6">
        <f>SUMPRODUCT((Results!$A$2:$A$5001=Schedule!CZ$45)*(Results!$B$2:$B$5001=Schedule!$A46)*(Results!$D$2:$D$5001))</f>
        <v>0</v>
      </c>
      <c r="DA46" s="6">
        <f>SUMPRODUCT((Results!$A$2:$A$5001=Schedule!DA$45)*(Results!$B$2:$B$5001=Schedule!$A46)*(Results!$D$2:$D$5001))</f>
        <v>0</v>
      </c>
      <c r="DB46" s="6">
        <f>SUMPRODUCT((Results!$A$2:$A$5001=Schedule!DB$45)*(Results!$B$2:$B$5001=Schedule!$A46)*(Results!$D$2:$D$5001))</f>
        <v>0</v>
      </c>
      <c r="DC46" s="6">
        <f>SUMPRODUCT((Results!$A$2:$A$5001=Schedule!DC$45)*(Results!$B$2:$B$5001=Schedule!$A46)*(Results!$D$2:$D$5001))</f>
        <v>0</v>
      </c>
      <c r="DD46" s="6">
        <f>SUMPRODUCT((Results!$A$2:$A$5001=Schedule!DD$45)*(Results!$B$2:$B$5001=Schedule!$A46)*(Results!$D$2:$D$5001))</f>
        <v>0</v>
      </c>
      <c r="DE46" s="6">
        <f>SUMPRODUCT((Results!$A$2:$A$5001=Schedule!DE$45)*(Results!$B$2:$B$5001=Schedule!$A46)*(Results!$D$2:$D$5001))</f>
        <v>0</v>
      </c>
      <c r="DF46" s="6">
        <f>SUMPRODUCT((Results!$A$2:$A$5001=Schedule!DF$45)*(Results!$B$2:$B$5001=Schedule!$A46)*(Results!$D$2:$D$5001))</f>
        <v>0</v>
      </c>
      <c r="DG46" s="6">
        <f>SUMPRODUCT((Results!$A$2:$A$5001=Schedule!DG$45)*(Results!$B$2:$B$5001=Schedule!$A46)*(Results!$D$2:$D$5001))</f>
        <v>0</v>
      </c>
      <c r="DH46" s="6">
        <f>SUMPRODUCT((Results!$A$2:$A$5001=Schedule!DH$45)*(Results!$B$2:$B$5001=Schedule!$A46)*(Results!$D$2:$D$5001))</f>
        <v>0</v>
      </c>
      <c r="DI46" s="6">
        <f>SUMPRODUCT((Results!$A$2:$A$5001=Schedule!DI$45)*(Results!$B$2:$B$5001=Schedule!$A46)*(Results!$D$2:$D$5001))</f>
        <v>0</v>
      </c>
      <c r="DJ46" s="6">
        <f>SUMPRODUCT((Results!$A$2:$A$5001=Schedule!DJ$45)*(Results!$B$2:$B$5001=Schedule!$A46)*(Results!$D$2:$D$5001))</f>
        <v>0</v>
      </c>
      <c r="DK46" s="6">
        <f>SUMPRODUCT((Results!$A$2:$A$5001=Schedule!DK$45)*(Results!$B$2:$B$5001=Schedule!$A46)*(Results!$D$2:$D$5001))</f>
        <v>0</v>
      </c>
      <c r="DL46" s="6">
        <f>SUMPRODUCT((Results!$A$2:$A$5001=Schedule!DL$45)*(Results!$B$2:$B$5001=Schedule!$A46)*(Results!$D$2:$D$5001))</f>
        <v>0</v>
      </c>
      <c r="DM46" s="6">
        <f>SUMPRODUCT((Results!$A$2:$A$5001=Schedule!DM$45)*(Results!$B$2:$B$5001=Schedule!$A46)*(Results!$D$2:$D$5001))</f>
        <v>0</v>
      </c>
      <c r="DN46" s="6">
        <f>SUMPRODUCT((Results!$A$2:$A$5001=Schedule!DN$45)*(Results!$B$2:$B$5001=Schedule!$A46)*(Results!$D$2:$D$5001))</f>
        <v>0</v>
      </c>
      <c r="DO46" s="6">
        <f>SUMPRODUCT((Results!$A$2:$A$5001=Schedule!DO$45)*(Results!$B$2:$B$5001=Schedule!$A46)*(Results!$D$2:$D$5001))</f>
        <v>0</v>
      </c>
      <c r="DP46" s="6">
        <f>SUMPRODUCT((Results!$A$2:$A$5001=Schedule!DP$45)*(Results!$B$2:$B$5001=Schedule!$A46)*(Results!$D$2:$D$5001))</f>
        <v>0</v>
      </c>
      <c r="DQ46" s="6">
        <f>SUMPRODUCT((Results!$A$2:$A$5001=Schedule!DQ$45)*(Results!$B$2:$B$5001=Schedule!$A46)*(Results!$D$2:$D$5001))</f>
        <v>0</v>
      </c>
      <c r="DR46" s="6">
        <f>SUMPRODUCT((Results!$A$2:$A$5001=Schedule!DR$45)*(Results!$B$2:$B$5001=Schedule!$A46)*(Results!$D$2:$D$5001))</f>
        <v>0</v>
      </c>
      <c r="DS46" s="6">
        <f>SUMPRODUCT((Results!$A$2:$A$5001=Schedule!DS$45)*(Results!$B$2:$B$5001=Schedule!$A46)*(Results!$D$2:$D$5001))</f>
        <v>0</v>
      </c>
      <c r="DT46" s="6">
        <f>SUMPRODUCT((Results!$A$2:$A$5001=Schedule!DT$45)*(Results!$B$2:$B$5001=Schedule!$A46)*(Results!$D$2:$D$5001))</f>
        <v>0</v>
      </c>
      <c r="DU46" s="6">
        <f>SUMPRODUCT((Results!$A$2:$A$5001=Schedule!DU$45)*(Results!$B$2:$B$5001=Schedule!$A46)*(Results!$D$2:$D$5001))</f>
        <v>0</v>
      </c>
      <c r="DV46" s="6">
        <f>SUMPRODUCT((Results!$A$2:$A$5001=Schedule!DV$45)*(Results!$B$2:$B$5001=Schedule!$A46)*(Results!$D$2:$D$5001))</f>
        <v>0</v>
      </c>
      <c r="DW46" s="6">
        <f>SUMPRODUCT((Results!$A$2:$A$5001=Schedule!DW$45)*(Results!$B$2:$B$5001=Schedule!$A46)*(Results!$D$2:$D$5001))</f>
        <v>0</v>
      </c>
      <c r="DX46" s="6">
        <f>SUMPRODUCT((Results!$A$2:$A$5001=Schedule!DX$45)*(Results!$B$2:$B$5001=Schedule!$A46)*(Results!$D$2:$D$5001))</f>
        <v>0</v>
      </c>
      <c r="DY46" s="6">
        <f>SUMPRODUCT((Results!$A$2:$A$5001=Schedule!DY$45)*(Results!$B$2:$B$5001=Schedule!$A46)*(Results!$D$2:$D$5001))</f>
        <v>0</v>
      </c>
      <c r="DZ46" s="6">
        <f>SUMPRODUCT((Results!$A$2:$A$5001=Schedule!DZ$45)*(Results!$B$2:$B$5001=Schedule!$A46)*(Results!$D$2:$D$5001))</f>
        <v>0</v>
      </c>
      <c r="EA46" s="6">
        <f>SUMPRODUCT((Results!$A$2:$A$5001=Schedule!EA$45)*(Results!$B$2:$B$5001=Schedule!$A46)*(Results!$D$2:$D$5001))</f>
        <v>0</v>
      </c>
      <c r="EB46" s="6">
        <f>SUMPRODUCT((Results!$A$2:$A$5001=Schedule!EB$45)*(Results!$B$2:$B$5001=Schedule!$A46)*(Results!$D$2:$D$5001))</f>
        <v>0</v>
      </c>
      <c r="EC46" s="6">
        <f>SUMPRODUCT((Results!$A$2:$A$5001=Schedule!EC$45)*(Results!$B$2:$B$5001=Schedule!$A46)*(Results!$D$2:$D$5001))</f>
        <v>0</v>
      </c>
      <c r="ED46" s="6">
        <f>SUMPRODUCT((Results!$A$2:$A$5001=Schedule!ED$45)*(Results!$B$2:$B$5001=Schedule!$A46)*(Results!$D$2:$D$5001))</f>
        <v>0</v>
      </c>
      <c r="EE46" s="6">
        <f>SUMPRODUCT((Results!$A$2:$A$5001=Schedule!EE$45)*(Results!$B$2:$B$5001=Schedule!$A46)*(Results!$D$2:$D$5001))</f>
        <v>0</v>
      </c>
      <c r="EF46" s="6">
        <f>SUMPRODUCT((Results!$A$2:$A$5001=Schedule!EF$45)*(Results!$B$2:$B$5001=Schedule!$A46)*(Results!$D$2:$D$5001))</f>
        <v>0</v>
      </c>
      <c r="EG46" s="6">
        <f>SUMPRODUCT((Results!$A$2:$A$5001=Schedule!EG$45)*(Results!$B$2:$B$5001=Schedule!$A46)*(Results!$D$2:$D$5001))</f>
        <v>0</v>
      </c>
      <c r="EH46" s="6">
        <f>SUMPRODUCT((Results!$A$2:$A$5001=Schedule!EH$45)*(Results!$B$2:$B$5001=Schedule!$A46)*(Results!$D$2:$D$5001))</f>
        <v>0</v>
      </c>
      <c r="EI46" s="6">
        <f>SUMPRODUCT((Results!$A$2:$A$5001=Schedule!EI$45)*(Results!$B$2:$B$5001=Schedule!$A46)*(Results!$D$2:$D$5001))</f>
        <v>0</v>
      </c>
      <c r="EJ46" s="6">
        <f>SUMPRODUCT((Results!$A$2:$A$5001=Schedule!EJ$45)*(Results!$B$2:$B$5001=Schedule!$A46)*(Results!$D$2:$D$5001))</f>
        <v>0</v>
      </c>
      <c r="EK46" s="6">
        <f>SUMPRODUCT((Results!$A$2:$A$5001=Schedule!EK$45)*(Results!$B$2:$B$5001=Schedule!$A46)*(Results!$D$2:$D$5001))</f>
        <v>0</v>
      </c>
      <c r="EL46" s="6">
        <f>SUMPRODUCT((Results!$A$2:$A$5001=Schedule!EL$45)*(Results!$B$2:$B$5001=Schedule!$A46)*(Results!$D$2:$D$5001))</f>
        <v>0</v>
      </c>
      <c r="EM46" s="6">
        <f>SUMPRODUCT((Results!$A$2:$A$5001=Schedule!EM$45)*(Results!$B$2:$B$5001=Schedule!$A46)*(Results!$D$2:$D$5001))</f>
        <v>0</v>
      </c>
      <c r="EN46" s="6">
        <f>SUMPRODUCT((Results!$A$2:$A$5001=Schedule!EN$45)*(Results!$B$2:$B$5001=Schedule!$A46)*(Results!$D$2:$D$5001))</f>
        <v>0</v>
      </c>
      <c r="EO46" s="6">
        <f>SUMPRODUCT((Results!$A$2:$A$5001=Schedule!EO$45)*(Results!$B$2:$B$5001=Schedule!$A46)*(Results!$D$2:$D$5001))</f>
        <v>0</v>
      </c>
      <c r="EP46" s="6">
        <f>SUMPRODUCT((Results!$A$2:$A$5001=Schedule!EP$45)*(Results!$B$2:$B$5001=Schedule!$A46)*(Results!$D$2:$D$5001))</f>
        <v>0</v>
      </c>
      <c r="EQ46" s="6">
        <f>SUMPRODUCT((Results!$A$2:$A$5001=Schedule!EQ$45)*(Results!$B$2:$B$5001=Schedule!$A46)*(Results!$D$2:$D$5001))</f>
        <v>0</v>
      </c>
      <c r="ER46" s="6">
        <f>SUMPRODUCT((Results!$A$2:$A$5001=Schedule!ER$45)*(Results!$B$2:$B$5001=Schedule!$A46)*(Results!$D$2:$D$5001))</f>
        <v>0</v>
      </c>
      <c r="ES46" s="6">
        <f>SUMPRODUCT((Results!$A$2:$A$5001=Schedule!ES$45)*(Results!$B$2:$B$5001=Schedule!$A46)*(Results!$D$2:$D$5001))</f>
        <v>0</v>
      </c>
      <c r="ET46" s="6">
        <f>SUMPRODUCT((Results!$A$2:$A$5001=Schedule!ET$45)*(Results!$B$2:$B$5001=Schedule!$A46)*(Results!$D$2:$D$5001))</f>
        <v>0</v>
      </c>
      <c r="EU46" s="6">
        <f>SUMPRODUCT((Results!$A$2:$A$5001=Schedule!EU$45)*(Results!$B$2:$B$5001=Schedule!$A46)*(Results!$D$2:$D$5001))</f>
        <v>0</v>
      </c>
      <c r="EV46" s="6">
        <f>SUMPRODUCT((Results!$A$2:$A$5001=Schedule!EV$45)*(Results!$B$2:$B$5001=Schedule!$A46)*(Results!$D$2:$D$5001))</f>
        <v>0</v>
      </c>
      <c r="EW46" s="6">
        <f>SUMPRODUCT((Results!$A$2:$A$5001=Schedule!EW$45)*(Results!$B$2:$B$5001=Schedule!$A46)*(Results!$D$2:$D$5001))</f>
        <v>0</v>
      </c>
      <c r="EX46" s="6">
        <f>SUMPRODUCT((Results!$A$2:$A$5001=Schedule!EX$45)*(Results!$B$2:$B$5001=Schedule!$A46)*(Results!$D$2:$D$5001))</f>
        <v>0</v>
      </c>
      <c r="EY46" s="6">
        <f>SUMPRODUCT((Results!$A$2:$A$5001=Schedule!EY$45)*(Results!$B$2:$B$5001=Schedule!$A46)*(Results!$D$2:$D$5001))</f>
        <v>0</v>
      </c>
      <c r="EZ46" s="6">
        <f>SUMPRODUCT((Results!$A$2:$A$5001=Schedule!EZ$45)*(Results!$B$2:$B$5001=Schedule!$A46)*(Results!$D$2:$D$5001))</f>
        <v>0</v>
      </c>
      <c r="FA46" s="6">
        <f>SUMPRODUCT((Results!$A$2:$A$5001=Schedule!FA$45)*(Results!$B$2:$B$5001=Schedule!$A46)*(Results!$D$2:$D$5001))</f>
        <v>0</v>
      </c>
      <c r="FB46" s="6">
        <f>SUMPRODUCT((Results!$A$2:$A$5001=Schedule!FB$45)*(Results!$B$2:$B$5001=Schedule!$A46)*(Results!$D$2:$D$5001))</f>
        <v>0</v>
      </c>
      <c r="FC46" s="6">
        <f>SUMPRODUCT((Results!$A$2:$A$5001=Schedule!FC$45)*(Results!$B$2:$B$5001=Schedule!$A46)*(Results!$D$2:$D$5001))</f>
        <v>0</v>
      </c>
      <c r="FD46" s="6">
        <f>SUMPRODUCT((Results!$A$2:$A$5001=Schedule!FD$45)*(Results!$B$2:$B$5001=Schedule!$A46)*(Results!$D$2:$D$5001))</f>
        <v>0</v>
      </c>
      <c r="FE46" s="6">
        <f>SUMPRODUCT((Results!$A$2:$A$5001=Schedule!FE$45)*(Results!$B$2:$B$5001=Schedule!$A46)*(Results!$D$2:$D$5001))</f>
        <v>0</v>
      </c>
      <c r="FF46" s="6">
        <f>SUMPRODUCT((Results!$A$2:$A$5001=Schedule!FF$45)*(Results!$B$2:$B$5001=Schedule!$A46)*(Results!$D$2:$D$5001))</f>
        <v>0</v>
      </c>
      <c r="FG46" s="6">
        <f>SUMPRODUCT((Results!$A$2:$A$5001=Schedule!FG$45)*(Results!$B$2:$B$5001=Schedule!$A46)*(Results!$D$2:$D$5001))</f>
        <v>0</v>
      </c>
      <c r="FH46" s="6">
        <f>SUMPRODUCT((Results!$A$2:$A$5001=Schedule!FH$45)*(Results!$B$2:$B$5001=Schedule!$A46)*(Results!$D$2:$D$5001))</f>
        <v>0</v>
      </c>
      <c r="FI46" s="6">
        <f>SUMPRODUCT((Results!$A$2:$A$5001=Schedule!FI$45)*(Results!$B$2:$B$5001=Schedule!$A46)*(Results!$D$2:$D$5001))</f>
        <v>0</v>
      </c>
      <c r="FJ46" s="6">
        <f>SUMPRODUCT((Results!$A$2:$A$5001=Schedule!FJ$45)*(Results!$B$2:$B$5001=Schedule!$A46)*(Results!$D$2:$D$5001))</f>
        <v>0</v>
      </c>
      <c r="FK46" s="6">
        <f>SUMPRODUCT((Results!$A$2:$A$5001=Schedule!FK$45)*(Results!$B$2:$B$5001=Schedule!$A46)*(Results!$D$2:$D$5001))</f>
        <v>0</v>
      </c>
      <c r="FL46" s="6">
        <f>SUMPRODUCT((Results!$A$2:$A$5001=Schedule!FL$45)*(Results!$B$2:$B$5001=Schedule!$A46)*(Results!$D$2:$D$5001))</f>
        <v>0</v>
      </c>
      <c r="FM46" s="6">
        <f>SUMPRODUCT((Results!$A$2:$A$5001=Schedule!FM$45)*(Results!$B$2:$B$5001=Schedule!$A46)*(Results!$D$2:$D$5001))</f>
        <v>0</v>
      </c>
      <c r="FN46" s="6">
        <f>SUMPRODUCT((Results!$A$2:$A$5001=Schedule!FN$45)*(Results!$B$2:$B$5001=Schedule!$A46)*(Results!$D$2:$D$5001))</f>
        <v>0</v>
      </c>
      <c r="FO46" s="6">
        <f>SUMPRODUCT((Results!$A$2:$A$5001=Schedule!FO$45)*(Results!$B$2:$B$5001=Schedule!$A46)*(Results!$D$2:$D$5001))</f>
        <v>0</v>
      </c>
      <c r="FP46" s="6">
        <f>SUMPRODUCT((Results!$A$2:$A$5001=Schedule!FP$45)*(Results!$B$2:$B$5001=Schedule!$A46)*(Results!$D$2:$D$5001))</f>
        <v>0</v>
      </c>
      <c r="FQ46" s="6">
        <f>SUMPRODUCT((Results!$A$2:$A$5001=Schedule!FQ$45)*(Results!$B$2:$B$5001=Schedule!$A46)*(Results!$D$2:$D$5001))</f>
        <v>0</v>
      </c>
      <c r="FR46" s="6">
        <f>SUMPRODUCT((Results!$A$2:$A$5001=Schedule!FR$45)*(Results!$B$2:$B$5001=Schedule!$A46)*(Results!$D$2:$D$5001))</f>
        <v>0</v>
      </c>
      <c r="FS46" s="6">
        <f>SUMPRODUCT((Results!$A$2:$A$5001=Schedule!FS$45)*(Results!$B$2:$B$5001=Schedule!$A46)*(Results!$D$2:$D$5001))</f>
        <v>0</v>
      </c>
      <c r="FT46" s="6">
        <f>SUMPRODUCT((Results!$A$2:$A$5001=Schedule!FT$45)*(Results!$B$2:$B$5001=Schedule!$A46)*(Results!$D$2:$D$5001))</f>
        <v>0</v>
      </c>
      <c r="FU46" s="6">
        <f>SUMPRODUCT((Results!$A$2:$A$5001=Schedule!FU$45)*(Results!$B$2:$B$5001=Schedule!$A46)*(Results!$D$2:$D$5001))</f>
        <v>0</v>
      </c>
      <c r="FV46" s="6">
        <f>SUMPRODUCT((Results!$A$2:$A$5001=Schedule!FV$45)*(Results!$B$2:$B$5001=Schedule!$A46)*(Results!$D$2:$D$5001))</f>
        <v>0</v>
      </c>
      <c r="FW46" s="6">
        <f>SUMPRODUCT((Results!$A$2:$A$5001=Schedule!FW$45)*(Results!$B$2:$B$5001=Schedule!$A46)*(Results!$D$2:$D$5001))</f>
        <v>0</v>
      </c>
      <c r="FX46" s="6">
        <f>SUMPRODUCT((Results!$A$2:$A$5001=Schedule!FX$45)*(Results!$B$2:$B$5001=Schedule!$A46)*(Results!$D$2:$D$5001))</f>
        <v>0</v>
      </c>
      <c r="FY46" s="6">
        <f>SUMPRODUCT((Results!$A$2:$A$5001=Schedule!FY$45)*(Results!$B$2:$B$5001=Schedule!$A46)*(Results!$D$2:$D$5001))</f>
        <v>0</v>
      </c>
      <c r="FZ46" s="6">
        <f>SUMPRODUCT((Results!$A$2:$A$5001=Schedule!FZ$45)*(Results!$B$2:$B$5001=Schedule!$A46)*(Results!$D$2:$D$5001))</f>
        <v>0</v>
      </c>
      <c r="GA46" s="6">
        <f>SUMPRODUCT((Results!$A$2:$A$5001=Schedule!GA$45)*(Results!$B$2:$B$5001=Schedule!$A46)*(Results!$D$2:$D$5001))</f>
        <v>0</v>
      </c>
      <c r="GB46" s="6">
        <f>SUMPRODUCT((Results!$A$2:$A$5001=Schedule!GB$45)*(Results!$B$2:$B$5001=Schedule!$A46)*(Results!$D$2:$D$5001))</f>
        <v>0</v>
      </c>
      <c r="GC46" s="6">
        <f>SUMPRODUCT((Results!$A$2:$A$5001=Schedule!GC$45)*(Results!$B$2:$B$5001=Schedule!$A46)*(Results!$D$2:$D$5001))</f>
        <v>0</v>
      </c>
      <c r="GD46" s="6">
        <f>SUMPRODUCT((Results!$A$2:$A$5001=Schedule!GD$45)*(Results!$B$2:$B$5001=Schedule!$A46)*(Results!$D$2:$D$5001))</f>
        <v>0</v>
      </c>
      <c r="GE46" s="6">
        <f>SUMPRODUCT((Results!$A$2:$A$5001=Schedule!GE$45)*(Results!$B$2:$B$5001=Schedule!$A46)*(Results!$D$2:$D$5001))</f>
        <v>0</v>
      </c>
      <c r="GF46" s="6">
        <f>SUMPRODUCT((Results!$A$2:$A$5001=Schedule!GF$45)*(Results!$B$2:$B$5001=Schedule!$A46)*(Results!$D$2:$D$5001))</f>
        <v>0</v>
      </c>
      <c r="GG46" s="6">
        <f>SUMPRODUCT((Results!$A$2:$A$5001=Schedule!GG$45)*(Results!$B$2:$B$5001=Schedule!$A46)*(Results!$D$2:$D$5001))</f>
        <v>0</v>
      </c>
      <c r="GH46" s="6">
        <f>SUMPRODUCT((Results!$A$2:$A$5001=Schedule!GH$45)*(Results!$B$2:$B$5001=Schedule!$A46)*(Results!$D$2:$D$5001))</f>
        <v>0</v>
      </c>
      <c r="GI46" s="6">
        <f>SUMPRODUCT((Results!$A$2:$A$5001=Schedule!GI$45)*(Results!$B$2:$B$5001=Schedule!$A46)*(Results!$D$2:$D$5001))</f>
        <v>0</v>
      </c>
      <c r="GJ46" s="6">
        <f>SUMPRODUCT((Results!$A$2:$A$5001=Schedule!GJ$45)*(Results!$B$2:$B$5001=Schedule!$A46)*(Results!$D$2:$D$5001))</f>
        <v>0</v>
      </c>
      <c r="GK46" s="6">
        <f>SUMPRODUCT((Results!$A$2:$A$5001=Schedule!GK$45)*(Results!$B$2:$B$5001=Schedule!$A46)*(Results!$D$2:$D$5001))</f>
        <v>0</v>
      </c>
      <c r="GL46" s="6">
        <f>SUMPRODUCT((Results!$A$2:$A$5001=Schedule!GL$45)*(Results!$B$2:$B$5001=Schedule!$A46)*(Results!$D$2:$D$5001))</f>
        <v>0</v>
      </c>
      <c r="GM46" s="6">
        <f>SUMPRODUCT((Results!$A$2:$A$5001=Schedule!GM$45)*(Results!$B$2:$B$5001=Schedule!$A46)*(Results!$D$2:$D$5001))</f>
        <v>0</v>
      </c>
      <c r="GN46" s="6">
        <f>SUMPRODUCT((Results!$A$2:$A$5001=Schedule!GN$45)*(Results!$B$2:$B$5001=Schedule!$A46)*(Results!$D$2:$D$5001))</f>
        <v>0</v>
      </c>
      <c r="GO46" s="6">
        <f>SUMPRODUCT((Results!$A$2:$A$5001=Schedule!GO$45)*(Results!$B$2:$B$5001=Schedule!$A46)*(Results!$D$2:$D$5001))</f>
        <v>0</v>
      </c>
      <c r="GP46" s="6">
        <f>SUMPRODUCT((Results!$A$2:$A$5001=Schedule!GP$45)*(Results!$B$2:$B$5001=Schedule!$A46)*(Results!$D$2:$D$5001))</f>
        <v>0</v>
      </c>
      <c r="GQ46" s="6">
        <f>SUMPRODUCT((Results!$A$2:$A$5001=Schedule!GQ$45)*(Results!$B$2:$B$5001=Schedule!$A46)*(Results!$D$2:$D$5001))</f>
        <v>0</v>
      </c>
      <c r="GR46" s="6">
        <f>SUMPRODUCT((Results!$A$2:$A$5001=Schedule!GR$45)*(Results!$B$2:$B$5001=Schedule!$A46)*(Results!$D$2:$D$5001))</f>
        <v>0</v>
      </c>
      <c r="GS46" s="6">
        <f>SUMPRODUCT((Results!$A$2:$A$5001=Schedule!GS$45)*(Results!$B$2:$B$5001=Schedule!$A46)*(Results!$D$2:$D$5001))</f>
        <v>0</v>
      </c>
      <c r="GT46" s="6">
        <f>SUMPRODUCT((Results!$A$2:$A$5001=Schedule!GT$45)*(Results!$B$2:$B$5001=Schedule!$A46)*(Results!$D$2:$D$5001))</f>
        <v>0</v>
      </c>
      <c r="GU46" s="6">
        <f>SUMPRODUCT((Results!$A$2:$A$5001=Schedule!GU$45)*(Results!$B$2:$B$5001=Schedule!$A46)*(Results!$D$2:$D$5001))</f>
        <v>0</v>
      </c>
    </row>
    <row r="47" spans="1:203" ht="13.5" customHeight="1" x14ac:dyDescent="0.2">
      <c r="A47" s="40">
        <v>2</v>
      </c>
      <c r="B47" s="6">
        <f t="shared" si="17"/>
        <v>90.703000000000003</v>
      </c>
      <c r="C47" s="6">
        <f>SUMPRODUCT((Results!$A$2:$A$5001=Schedule!C$45)*(Results!$B$2:$B$5001=Schedule!$A47)*(Results!$D$2:$D$5001))</f>
        <v>38.899099999999997</v>
      </c>
      <c r="D47" s="6">
        <f>SUMPRODUCT((Results!$A$2:$A$5001=Schedule!D$45)*(Results!$B$2:$B$5001=Schedule!$A47)*(Results!$D$2:$D$5001))</f>
        <v>37.137</v>
      </c>
      <c r="E47" s="6">
        <f>SUMPRODUCT((Results!$A$2:$A$5001=Schedule!E$45)*(Results!$B$2:$B$5001=Schedule!$A47)*(Results!$D$2:$D$5001))</f>
        <v>0</v>
      </c>
      <c r="F47" s="6">
        <f>SUMPRODUCT((Results!$A$2:$A$5001=Schedule!F$45)*(Results!$B$2:$B$5001=Schedule!$A47)*(Results!$D$2:$D$5001))</f>
        <v>13.676399999999999</v>
      </c>
      <c r="G47" s="6">
        <f>SUMPRODUCT((Results!$A$2:$A$5001=Schedule!G$45)*(Results!$B$2:$B$5001=Schedule!$A47)*(Results!$D$2:$D$5001))</f>
        <v>0.99049999999999994</v>
      </c>
      <c r="H47" s="6">
        <f>SUMPRODUCT((Results!$A$2:$A$5001=Schedule!H$45)*(Results!$B$2:$B$5001=Schedule!$A47)*(Results!$D$2:$D$5001))</f>
        <v>0</v>
      </c>
      <c r="I47" s="6">
        <f>SUMPRODUCT((Results!$A$2:$A$5001=Schedule!I$45)*(Results!$B$2:$B$5001=Schedule!$A47)*(Results!$D$2:$D$5001))</f>
        <v>0</v>
      </c>
      <c r="J47" s="6">
        <f>SUMPRODUCT((Results!$A$2:$A$5001=Schedule!J$45)*(Results!$B$2:$B$5001=Schedule!$A47)*(Results!$D$2:$D$5001))</f>
        <v>0</v>
      </c>
      <c r="K47" s="6">
        <f>SUMPRODUCT((Results!$A$2:$A$5001=Schedule!K$45)*(Results!$B$2:$B$5001=Schedule!$A47)*(Results!$D$2:$D$5001))</f>
        <v>0</v>
      </c>
      <c r="L47" s="6">
        <f>SUMPRODUCT((Results!$A$2:$A$5001=Schedule!L$45)*(Results!$B$2:$B$5001=Schedule!$A47)*(Results!$D$2:$D$5001))</f>
        <v>0</v>
      </c>
      <c r="M47" s="6">
        <f>SUMPRODUCT((Results!$A$2:$A$5001=Schedule!M$45)*(Results!$B$2:$B$5001=Schedule!$A47)*(Results!$D$2:$D$5001))</f>
        <v>0</v>
      </c>
      <c r="N47" s="6">
        <f>SUMPRODUCT((Results!$A$2:$A$5001=Schedule!N$45)*(Results!$B$2:$B$5001=Schedule!$A47)*(Results!$D$2:$D$5001))</f>
        <v>0</v>
      </c>
      <c r="O47" s="6">
        <f>SUMPRODUCT((Results!$A$2:$A$5001=Schedule!O$45)*(Results!$B$2:$B$5001=Schedule!$A47)*(Results!$D$2:$D$5001))</f>
        <v>0</v>
      </c>
      <c r="P47" s="6">
        <f>SUMPRODUCT((Results!$A$2:$A$5001=Schedule!P$45)*(Results!$B$2:$B$5001=Schedule!$A47)*(Results!$D$2:$D$5001))</f>
        <v>0</v>
      </c>
      <c r="Q47" s="6">
        <f>SUMPRODUCT((Results!$A$2:$A$5001=Schedule!Q$45)*(Results!$B$2:$B$5001=Schedule!$A47)*(Results!$D$2:$D$5001))</f>
        <v>0</v>
      </c>
      <c r="R47" s="6">
        <f>SUMPRODUCT((Results!$A$2:$A$5001=Schedule!R$45)*(Results!$B$2:$B$5001=Schedule!$A47)*(Results!$D$2:$D$5001))</f>
        <v>0</v>
      </c>
      <c r="S47" s="6">
        <f>SUMPRODUCT((Results!$A$2:$A$5001=Schedule!S$45)*(Results!$B$2:$B$5001=Schedule!$A47)*(Results!$D$2:$D$5001))</f>
        <v>0</v>
      </c>
      <c r="T47" s="6">
        <f>SUMPRODUCT((Results!$A$2:$A$5001=Schedule!T$45)*(Results!$B$2:$B$5001=Schedule!$A47)*(Results!$D$2:$D$5001))</f>
        <v>0</v>
      </c>
      <c r="U47" s="6">
        <f>SUMPRODUCT((Results!$A$2:$A$5001=Schedule!U$45)*(Results!$B$2:$B$5001=Schedule!$A47)*(Results!$D$2:$D$5001))</f>
        <v>0</v>
      </c>
      <c r="V47" s="6">
        <f>SUMPRODUCT((Results!$A$2:$A$5001=Schedule!V$45)*(Results!$B$2:$B$5001=Schedule!$A47)*(Results!$D$2:$D$5001))</f>
        <v>0</v>
      </c>
      <c r="W47" s="6">
        <f>SUMPRODUCT((Results!$A$2:$A$5001=Schedule!W$45)*(Results!$B$2:$B$5001=Schedule!$A47)*(Results!$D$2:$D$5001))</f>
        <v>0</v>
      </c>
      <c r="X47" s="6">
        <f>SUMPRODUCT((Results!$A$2:$A$5001=Schedule!X$45)*(Results!$B$2:$B$5001=Schedule!$A47)*(Results!$D$2:$D$5001))</f>
        <v>0</v>
      </c>
      <c r="Y47" s="6">
        <f>SUMPRODUCT((Results!$A$2:$A$5001=Schedule!Y$45)*(Results!$B$2:$B$5001=Schedule!$A47)*(Results!$D$2:$D$5001))</f>
        <v>0</v>
      </c>
      <c r="Z47" s="6">
        <f>SUMPRODUCT((Results!$A$2:$A$5001=Schedule!Z$45)*(Results!$B$2:$B$5001=Schedule!$A47)*(Results!$D$2:$D$5001))</f>
        <v>0</v>
      </c>
      <c r="AA47" s="6">
        <f>SUMPRODUCT((Results!$A$2:$A$5001=Schedule!AA$45)*(Results!$B$2:$B$5001=Schedule!$A47)*(Results!$D$2:$D$5001))</f>
        <v>0</v>
      </c>
      <c r="AB47" s="6">
        <f>SUMPRODUCT((Results!$A$2:$A$5001=Schedule!AB$45)*(Results!$B$2:$B$5001=Schedule!$A47)*(Results!$D$2:$D$5001))</f>
        <v>0</v>
      </c>
      <c r="AC47" s="6">
        <f>SUMPRODUCT((Results!$A$2:$A$5001=Schedule!AC$45)*(Results!$B$2:$B$5001=Schedule!$A47)*(Results!$D$2:$D$5001))</f>
        <v>0</v>
      </c>
      <c r="AD47" s="6">
        <f>SUMPRODUCT((Results!$A$2:$A$5001=Schedule!AD$45)*(Results!$B$2:$B$5001=Schedule!$A47)*(Results!$D$2:$D$5001))</f>
        <v>0</v>
      </c>
      <c r="AE47" s="6">
        <f>SUMPRODUCT((Results!$A$2:$A$5001=Schedule!AE$45)*(Results!$B$2:$B$5001=Schedule!$A47)*(Results!$D$2:$D$5001))</f>
        <v>0</v>
      </c>
      <c r="AF47" s="6">
        <f>SUMPRODUCT((Results!$A$2:$A$5001=Schedule!AF$45)*(Results!$B$2:$B$5001=Schedule!$A47)*(Results!$D$2:$D$5001))</f>
        <v>0</v>
      </c>
      <c r="AG47" s="6">
        <f>SUMPRODUCT((Results!$A$2:$A$5001=Schedule!AG$45)*(Results!$B$2:$B$5001=Schedule!$A47)*(Results!$D$2:$D$5001))</f>
        <v>0</v>
      </c>
      <c r="AH47" s="6">
        <f>SUMPRODUCT((Results!$A$2:$A$5001=Schedule!AH$45)*(Results!$B$2:$B$5001=Schedule!$A47)*(Results!$D$2:$D$5001))</f>
        <v>0</v>
      </c>
      <c r="AI47" s="6">
        <f>SUMPRODUCT((Results!$A$2:$A$5001=Schedule!AI$45)*(Results!$B$2:$B$5001=Schedule!$A47)*(Results!$D$2:$D$5001))</f>
        <v>0</v>
      </c>
      <c r="AJ47" s="6">
        <f>SUMPRODUCT((Results!$A$2:$A$5001=Schedule!AJ$45)*(Results!$B$2:$B$5001=Schedule!$A47)*(Results!$D$2:$D$5001))</f>
        <v>0</v>
      </c>
      <c r="AK47" s="6">
        <f>SUMPRODUCT((Results!$A$2:$A$5001=Schedule!AK$45)*(Results!$B$2:$B$5001=Schedule!$A47)*(Results!$D$2:$D$5001))</f>
        <v>0</v>
      </c>
      <c r="AL47" s="6">
        <f>SUMPRODUCT((Results!$A$2:$A$5001=Schedule!AL$45)*(Results!$B$2:$B$5001=Schedule!$A47)*(Results!$D$2:$D$5001))</f>
        <v>0</v>
      </c>
      <c r="AM47" s="6">
        <f>SUMPRODUCT((Results!$A$2:$A$5001=Schedule!AM$45)*(Results!$B$2:$B$5001=Schedule!$A47)*(Results!$D$2:$D$5001))</f>
        <v>0</v>
      </c>
      <c r="AN47" s="6">
        <f>SUMPRODUCT((Results!$A$2:$A$5001=Schedule!AN$45)*(Results!$B$2:$B$5001=Schedule!$A47)*(Results!$D$2:$D$5001))</f>
        <v>0</v>
      </c>
      <c r="AO47" s="6">
        <f>SUMPRODUCT((Results!$A$2:$A$5001=Schedule!AO$45)*(Results!$B$2:$B$5001=Schedule!$A47)*(Results!$D$2:$D$5001))</f>
        <v>0</v>
      </c>
      <c r="AP47" s="6">
        <f>SUMPRODUCT((Results!$A$2:$A$5001=Schedule!AP$45)*(Results!$B$2:$B$5001=Schedule!$A47)*(Results!$D$2:$D$5001))</f>
        <v>0</v>
      </c>
      <c r="AQ47" s="6">
        <f>SUMPRODUCT((Results!$A$2:$A$5001=Schedule!AQ$45)*(Results!$B$2:$B$5001=Schedule!$A47)*(Results!$D$2:$D$5001))</f>
        <v>0</v>
      </c>
      <c r="AR47" s="6">
        <f>SUMPRODUCT((Results!$A$2:$A$5001=Schedule!AR$45)*(Results!$B$2:$B$5001=Schedule!$A47)*(Results!$D$2:$D$5001))</f>
        <v>0</v>
      </c>
      <c r="AS47" s="6">
        <f>SUMPRODUCT((Results!$A$2:$A$5001=Schedule!AS$45)*(Results!$B$2:$B$5001=Schedule!$A47)*(Results!$D$2:$D$5001))</f>
        <v>0</v>
      </c>
      <c r="AT47" s="6">
        <f>SUMPRODUCT((Results!$A$2:$A$5001=Schedule!AT$45)*(Results!$B$2:$B$5001=Schedule!$A47)*(Results!$D$2:$D$5001))</f>
        <v>0</v>
      </c>
      <c r="AU47" s="6">
        <f>SUMPRODUCT((Results!$A$2:$A$5001=Schedule!AU$45)*(Results!$B$2:$B$5001=Schedule!$A47)*(Results!$D$2:$D$5001))</f>
        <v>0</v>
      </c>
      <c r="AV47" s="6">
        <f>SUMPRODUCT((Results!$A$2:$A$5001=Schedule!AV$45)*(Results!$B$2:$B$5001=Schedule!$A47)*(Results!$D$2:$D$5001))</f>
        <v>0</v>
      </c>
      <c r="AW47" s="6">
        <f>SUMPRODUCT((Results!$A$2:$A$5001=Schedule!AW$45)*(Results!$B$2:$B$5001=Schedule!$A47)*(Results!$D$2:$D$5001))</f>
        <v>0</v>
      </c>
      <c r="AX47" s="6">
        <f>SUMPRODUCT((Results!$A$2:$A$5001=Schedule!AX$45)*(Results!$B$2:$B$5001=Schedule!$A47)*(Results!$D$2:$D$5001))</f>
        <v>0</v>
      </c>
      <c r="AY47" s="6">
        <f>SUMPRODUCT((Results!$A$2:$A$5001=Schedule!AY$45)*(Results!$B$2:$B$5001=Schedule!$A47)*(Results!$D$2:$D$5001))</f>
        <v>0</v>
      </c>
      <c r="AZ47" s="6">
        <f>SUMPRODUCT((Results!$A$2:$A$5001=Schedule!AZ$45)*(Results!$B$2:$B$5001=Schedule!$A47)*(Results!$D$2:$D$5001))</f>
        <v>0</v>
      </c>
      <c r="BA47" s="6">
        <f>SUMPRODUCT((Results!$A$2:$A$5001=Schedule!BA$45)*(Results!$B$2:$B$5001=Schedule!$A47)*(Results!$D$2:$D$5001))</f>
        <v>0</v>
      </c>
      <c r="BB47" s="6">
        <f>SUMPRODUCT((Results!$A$2:$A$5001=Schedule!BB$45)*(Results!$B$2:$B$5001=Schedule!$A47)*(Results!$D$2:$D$5001))</f>
        <v>0</v>
      </c>
      <c r="BC47" s="6">
        <f>SUMPRODUCT((Results!$A$2:$A$5001=Schedule!BC$45)*(Results!$B$2:$B$5001=Schedule!$A47)*(Results!$D$2:$D$5001))</f>
        <v>0</v>
      </c>
      <c r="BD47" s="6">
        <f>SUMPRODUCT((Results!$A$2:$A$5001=Schedule!BD$45)*(Results!$B$2:$B$5001=Schedule!$A47)*(Results!$D$2:$D$5001))</f>
        <v>0</v>
      </c>
      <c r="BE47" s="6">
        <f>SUMPRODUCT((Results!$A$2:$A$5001=Schedule!BE$45)*(Results!$B$2:$B$5001=Schedule!$A47)*(Results!$D$2:$D$5001))</f>
        <v>0</v>
      </c>
      <c r="BF47" s="6">
        <f>SUMPRODUCT((Results!$A$2:$A$5001=Schedule!BF$45)*(Results!$B$2:$B$5001=Schedule!$A47)*(Results!$D$2:$D$5001))</f>
        <v>0</v>
      </c>
      <c r="BG47" s="6">
        <f>SUMPRODUCT((Results!$A$2:$A$5001=Schedule!BG$45)*(Results!$B$2:$B$5001=Schedule!$A47)*(Results!$D$2:$D$5001))</f>
        <v>0</v>
      </c>
      <c r="BH47" s="6">
        <f>SUMPRODUCT((Results!$A$2:$A$5001=Schedule!BH$45)*(Results!$B$2:$B$5001=Schedule!$A47)*(Results!$D$2:$D$5001))</f>
        <v>0</v>
      </c>
      <c r="BI47" s="6">
        <f>SUMPRODUCT((Results!$A$2:$A$5001=Schedule!BI$45)*(Results!$B$2:$B$5001=Schedule!$A47)*(Results!$D$2:$D$5001))</f>
        <v>0</v>
      </c>
      <c r="BJ47" s="6">
        <f>SUMPRODUCT((Results!$A$2:$A$5001=Schedule!BJ$45)*(Results!$B$2:$B$5001=Schedule!$A47)*(Results!$D$2:$D$5001))</f>
        <v>0</v>
      </c>
      <c r="BK47" s="6">
        <f>SUMPRODUCT((Results!$A$2:$A$5001=Schedule!BK$45)*(Results!$B$2:$B$5001=Schedule!$A47)*(Results!$D$2:$D$5001))</f>
        <v>0</v>
      </c>
      <c r="BL47" s="6">
        <f>SUMPRODUCT((Results!$A$2:$A$5001=Schedule!BL$45)*(Results!$B$2:$B$5001=Schedule!$A47)*(Results!$D$2:$D$5001))</f>
        <v>0</v>
      </c>
      <c r="BM47" s="6">
        <f>SUMPRODUCT((Results!$A$2:$A$5001=Schedule!BM$45)*(Results!$B$2:$B$5001=Schedule!$A47)*(Results!$D$2:$D$5001))</f>
        <v>0</v>
      </c>
      <c r="BN47" s="6">
        <f>SUMPRODUCT((Results!$A$2:$A$5001=Schedule!BN$45)*(Results!$B$2:$B$5001=Schedule!$A47)*(Results!$D$2:$D$5001))</f>
        <v>0</v>
      </c>
      <c r="BO47" s="6">
        <f>SUMPRODUCT((Results!$A$2:$A$5001=Schedule!BO$45)*(Results!$B$2:$B$5001=Schedule!$A47)*(Results!$D$2:$D$5001))</f>
        <v>0</v>
      </c>
      <c r="BP47" s="6">
        <f>SUMPRODUCT((Results!$A$2:$A$5001=Schedule!BP$45)*(Results!$B$2:$B$5001=Schedule!$A47)*(Results!$D$2:$D$5001))</f>
        <v>0</v>
      </c>
      <c r="BQ47" s="6">
        <f>SUMPRODUCT((Results!$A$2:$A$5001=Schedule!BQ$45)*(Results!$B$2:$B$5001=Schedule!$A47)*(Results!$D$2:$D$5001))</f>
        <v>0</v>
      </c>
      <c r="BR47" s="6">
        <f>SUMPRODUCT((Results!$A$2:$A$5001=Schedule!BR$45)*(Results!$B$2:$B$5001=Schedule!$A47)*(Results!$D$2:$D$5001))</f>
        <v>0</v>
      </c>
      <c r="BS47" s="6">
        <f>SUMPRODUCT((Results!$A$2:$A$5001=Schedule!BS$45)*(Results!$B$2:$B$5001=Schedule!$A47)*(Results!$D$2:$D$5001))</f>
        <v>0</v>
      </c>
      <c r="BT47" s="6">
        <f>SUMPRODUCT((Results!$A$2:$A$5001=Schedule!BT$45)*(Results!$B$2:$B$5001=Schedule!$A47)*(Results!$D$2:$D$5001))</f>
        <v>0</v>
      </c>
      <c r="BU47" s="6">
        <f>SUMPRODUCT((Results!$A$2:$A$5001=Schedule!BU$45)*(Results!$B$2:$B$5001=Schedule!$A47)*(Results!$D$2:$D$5001))</f>
        <v>0</v>
      </c>
      <c r="BV47" s="6">
        <f>SUMPRODUCT((Results!$A$2:$A$5001=Schedule!BV$45)*(Results!$B$2:$B$5001=Schedule!$A47)*(Results!$D$2:$D$5001))</f>
        <v>0</v>
      </c>
      <c r="BW47" s="6">
        <f>SUMPRODUCT((Results!$A$2:$A$5001=Schedule!BW$45)*(Results!$B$2:$B$5001=Schedule!$A47)*(Results!$D$2:$D$5001))</f>
        <v>0</v>
      </c>
      <c r="BX47" s="6">
        <f>SUMPRODUCT((Results!$A$2:$A$5001=Schedule!BX$45)*(Results!$B$2:$B$5001=Schedule!$A47)*(Results!$D$2:$D$5001))</f>
        <v>0</v>
      </c>
      <c r="BY47" s="6">
        <f>SUMPRODUCT((Results!$A$2:$A$5001=Schedule!BY$45)*(Results!$B$2:$B$5001=Schedule!$A47)*(Results!$D$2:$D$5001))</f>
        <v>0</v>
      </c>
      <c r="BZ47" s="6">
        <f>SUMPRODUCT((Results!$A$2:$A$5001=Schedule!BZ$45)*(Results!$B$2:$B$5001=Schedule!$A47)*(Results!$D$2:$D$5001))</f>
        <v>0</v>
      </c>
      <c r="CA47" s="6">
        <f>SUMPRODUCT((Results!$A$2:$A$5001=Schedule!CA$45)*(Results!$B$2:$B$5001=Schedule!$A47)*(Results!$D$2:$D$5001))</f>
        <v>0</v>
      </c>
      <c r="CB47" s="6">
        <f>SUMPRODUCT((Results!$A$2:$A$5001=Schedule!CB$45)*(Results!$B$2:$B$5001=Schedule!$A47)*(Results!$D$2:$D$5001))</f>
        <v>0</v>
      </c>
      <c r="CC47" s="6">
        <f>SUMPRODUCT((Results!$A$2:$A$5001=Schedule!CC$45)*(Results!$B$2:$B$5001=Schedule!$A47)*(Results!$D$2:$D$5001))</f>
        <v>0</v>
      </c>
      <c r="CD47" s="6">
        <f>SUMPRODUCT((Results!$A$2:$A$5001=Schedule!CD$45)*(Results!$B$2:$B$5001=Schedule!$A47)*(Results!$D$2:$D$5001))</f>
        <v>0</v>
      </c>
      <c r="CE47" s="6">
        <f>SUMPRODUCT((Results!$A$2:$A$5001=Schedule!CE$45)*(Results!$B$2:$B$5001=Schedule!$A47)*(Results!$D$2:$D$5001))</f>
        <v>0</v>
      </c>
      <c r="CF47" s="6">
        <f>SUMPRODUCT((Results!$A$2:$A$5001=Schedule!CF$45)*(Results!$B$2:$B$5001=Schedule!$A47)*(Results!$D$2:$D$5001))</f>
        <v>0</v>
      </c>
      <c r="CG47" s="6">
        <f>SUMPRODUCT((Results!$A$2:$A$5001=Schedule!CG$45)*(Results!$B$2:$B$5001=Schedule!$A47)*(Results!$D$2:$D$5001))</f>
        <v>0</v>
      </c>
      <c r="CH47" s="6">
        <f>SUMPRODUCT((Results!$A$2:$A$5001=Schedule!CH$45)*(Results!$B$2:$B$5001=Schedule!$A47)*(Results!$D$2:$D$5001))</f>
        <v>0</v>
      </c>
      <c r="CI47" s="6">
        <f>SUMPRODUCT((Results!$A$2:$A$5001=Schedule!CI$45)*(Results!$B$2:$B$5001=Schedule!$A47)*(Results!$D$2:$D$5001))</f>
        <v>0</v>
      </c>
      <c r="CJ47" s="6">
        <f>SUMPRODUCT((Results!$A$2:$A$5001=Schedule!CJ$45)*(Results!$B$2:$B$5001=Schedule!$A47)*(Results!$D$2:$D$5001))</f>
        <v>0</v>
      </c>
      <c r="CK47" s="6">
        <f>SUMPRODUCT((Results!$A$2:$A$5001=Schedule!CK$45)*(Results!$B$2:$B$5001=Schedule!$A47)*(Results!$D$2:$D$5001))</f>
        <v>0</v>
      </c>
      <c r="CL47" s="6">
        <f>SUMPRODUCT((Results!$A$2:$A$5001=Schedule!CL$45)*(Results!$B$2:$B$5001=Schedule!$A47)*(Results!$D$2:$D$5001))</f>
        <v>0</v>
      </c>
      <c r="CM47" s="6">
        <f>SUMPRODUCT((Results!$A$2:$A$5001=Schedule!CM$45)*(Results!$B$2:$B$5001=Schedule!$A47)*(Results!$D$2:$D$5001))</f>
        <v>0</v>
      </c>
      <c r="CN47" s="6">
        <f>SUMPRODUCT((Results!$A$2:$A$5001=Schedule!CN$45)*(Results!$B$2:$B$5001=Schedule!$A47)*(Results!$D$2:$D$5001))</f>
        <v>0</v>
      </c>
      <c r="CO47" s="6">
        <f>SUMPRODUCT((Results!$A$2:$A$5001=Schedule!CO$45)*(Results!$B$2:$B$5001=Schedule!$A47)*(Results!$D$2:$D$5001))</f>
        <v>0</v>
      </c>
      <c r="CP47" s="6">
        <f>SUMPRODUCT((Results!$A$2:$A$5001=Schedule!CP$45)*(Results!$B$2:$B$5001=Schedule!$A47)*(Results!$D$2:$D$5001))</f>
        <v>0</v>
      </c>
      <c r="CQ47" s="6">
        <f>SUMPRODUCT((Results!$A$2:$A$5001=Schedule!CQ$45)*(Results!$B$2:$B$5001=Schedule!$A47)*(Results!$D$2:$D$5001))</f>
        <v>0</v>
      </c>
      <c r="CR47" s="6">
        <f>SUMPRODUCT((Results!$A$2:$A$5001=Schedule!CR$45)*(Results!$B$2:$B$5001=Schedule!$A47)*(Results!$D$2:$D$5001))</f>
        <v>0</v>
      </c>
      <c r="CS47" s="6">
        <f>SUMPRODUCT((Results!$A$2:$A$5001=Schedule!CS$45)*(Results!$B$2:$B$5001=Schedule!$A47)*(Results!$D$2:$D$5001))</f>
        <v>0</v>
      </c>
      <c r="CT47" s="6">
        <f>SUMPRODUCT((Results!$A$2:$A$5001=Schedule!CT$45)*(Results!$B$2:$B$5001=Schedule!$A47)*(Results!$D$2:$D$5001))</f>
        <v>0</v>
      </c>
      <c r="CU47" s="6">
        <f>SUMPRODUCT((Results!$A$2:$A$5001=Schedule!CU$45)*(Results!$B$2:$B$5001=Schedule!$A47)*(Results!$D$2:$D$5001))</f>
        <v>0</v>
      </c>
      <c r="CV47" s="6">
        <f>SUMPRODUCT((Results!$A$2:$A$5001=Schedule!CV$45)*(Results!$B$2:$B$5001=Schedule!$A47)*(Results!$D$2:$D$5001))</f>
        <v>0</v>
      </c>
      <c r="CW47" s="6">
        <f>SUMPRODUCT((Results!$A$2:$A$5001=Schedule!CW$45)*(Results!$B$2:$B$5001=Schedule!$A47)*(Results!$D$2:$D$5001))</f>
        <v>0</v>
      </c>
      <c r="CX47" s="6">
        <f>SUMPRODUCT((Results!$A$2:$A$5001=Schedule!CX$45)*(Results!$B$2:$B$5001=Schedule!$A47)*(Results!$D$2:$D$5001))</f>
        <v>0</v>
      </c>
      <c r="CY47" s="6">
        <f>SUMPRODUCT((Results!$A$2:$A$5001=Schedule!CY$45)*(Results!$B$2:$B$5001=Schedule!$A47)*(Results!$D$2:$D$5001))</f>
        <v>0</v>
      </c>
      <c r="CZ47" s="6">
        <f>SUMPRODUCT((Results!$A$2:$A$5001=Schedule!CZ$45)*(Results!$B$2:$B$5001=Schedule!$A47)*(Results!$D$2:$D$5001))</f>
        <v>0</v>
      </c>
      <c r="DA47" s="6">
        <f>SUMPRODUCT((Results!$A$2:$A$5001=Schedule!DA$45)*(Results!$B$2:$B$5001=Schedule!$A47)*(Results!$D$2:$D$5001))</f>
        <v>0</v>
      </c>
      <c r="DB47" s="6">
        <f>SUMPRODUCT((Results!$A$2:$A$5001=Schedule!DB$45)*(Results!$B$2:$B$5001=Schedule!$A47)*(Results!$D$2:$D$5001))</f>
        <v>0</v>
      </c>
      <c r="DC47" s="6">
        <f>SUMPRODUCT((Results!$A$2:$A$5001=Schedule!DC$45)*(Results!$B$2:$B$5001=Schedule!$A47)*(Results!$D$2:$D$5001))</f>
        <v>0</v>
      </c>
      <c r="DD47" s="6">
        <f>SUMPRODUCT((Results!$A$2:$A$5001=Schedule!DD$45)*(Results!$B$2:$B$5001=Schedule!$A47)*(Results!$D$2:$D$5001))</f>
        <v>0</v>
      </c>
      <c r="DE47" s="6">
        <f>SUMPRODUCT((Results!$A$2:$A$5001=Schedule!DE$45)*(Results!$B$2:$B$5001=Schedule!$A47)*(Results!$D$2:$D$5001))</f>
        <v>0</v>
      </c>
      <c r="DF47" s="6">
        <f>SUMPRODUCT((Results!$A$2:$A$5001=Schedule!DF$45)*(Results!$B$2:$B$5001=Schedule!$A47)*(Results!$D$2:$D$5001))</f>
        <v>0</v>
      </c>
      <c r="DG47" s="6">
        <f>SUMPRODUCT((Results!$A$2:$A$5001=Schedule!DG$45)*(Results!$B$2:$B$5001=Schedule!$A47)*(Results!$D$2:$D$5001))</f>
        <v>0</v>
      </c>
      <c r="DH47" s="6">
        <f>SUMPRODUCT((Results!$A$2:$A$5001=Schedule!DH$45)*(Results!$B$2:$B$5001=Schedule!$A47)*(Results!$D$2:$D$5001))</f>
        <v>0</v>
      </c>
      <c r="DI47" s="6">
        <f>SUMPRODUCT((Results!$A$2:$A$5001=Schedule!DI$45)*(Results!$B$2:$B$5001=Schedule!$A47)*(Results!$D$2:$D$5001))</f>
        <v>0</v>
      </c>
      <c r="DJ47" s="6">
        <f>SUMPRODUCT((Results!$A$2:$A$5001=Schedule!DJ$45)*(Results!$B$2:$B$5001=Schedule!$A47)*(Results!$D$2:$D$5001))</f>
        <v>0</v>
      </c>
      <c r="DK47" s="6">
        <f>SUMPRODUCT((Results!$A$2:$A$5001=Schedule!DK$45)*(Results!$B$2:$B$5001=Schedule!$A47)*(Results!$D$2:$D$5001))</f>
        <v>0</v>
      </c>
      <c r="DL47" s="6">
        <f>SUMPRODUCT((Results!$A$2:$A$5001=Schedule!DL$45)*(Results!$B$2:$B$5001=Schedule!$A47)*(Results!$D$2:$D$5001))</f>
        <v>0</v>
      </c>
      <c r="DM47" s="6">
        <f>SUMPRODUCT((Results!$A$2:$A$5001=Schedule!DM$45)*(Results!$B$2:$B$5001=Schedule!$A47)*(Results!$D$2:$D$5001))</f>
        <v>0</v>
      </c>
      <c r="DN47" s="6">
        <f>SUMPRODUCT((Results!$A$2:$A$5001=Schedule!DN$45)*(Results!$B$2:$B$5001=Schedule!$A47)*(Results!$D$2:$D$5001))</f>
        <v>0</v>
      </c>
      <c r="DO47" s="6">
        <f>SUMPRODUCT((Results!$A$2:$A$5001=Schedule!DO$45)*(Results!$B$2:$B$5001=Schedule!$A47)*(Results!$D$2:$D$5001))</f>
        <v>0</v>
      </c>
      <c r="DP47" s="6">
        <f>SUMPRODUCT((Results!$A$2:$A$5001=Schedule!DP$45)*(Results!$B$2:$B$5001=Schedule!$A47)*(Results!$D$2:$D$5001))</f>
        <v>0</v>
      </c>
      <c r="DQ47" s="6">
        <f>SUMPRODUCT((Results!$A$2:$A$5001=Schedule!DQ$45)*(Results!$B$2:$B$5001=Schedule!$A47)*(Results!$D$2:$D$5001))</f>
        <v>0</v>
      </c>
      <c r="DR47" s="6">
        <f>SUMPRODUCT((Results!$A$2:$A$5001=Schedule!DR$45)*(Results!$B$2:$B$5001=Schedule!$A47)*(Results!$D$2:$D$5001))</f>
        <v>0</v>
      </c>
      <c r="DS47" s="6">
        <f>SUMPRODUCT((Results!$A$2:$A$5001=Schedule!DS$45)*(Results!$B$2:$B$5001=Schedule!$A47)*(Results!$D$2:$D$5001))</f>
        <v>0</v>
      </c>
      <c r="DT47" s="6">
        <f>SUMPRODUCT((Results!$A$2:$A$5001=Schedule!DT$45)*(Results!$B$2:$B$5001=Schedule!$A47)*(Results!$D$2:$D$5001))</f>
        <v>0</v>
      </c>
      <c r="DU47" s="6">
        <f>SUMPRODUCT((Results!$A$2:$A$5001=Schedule!DU$45)*(Results!$B$2:$B$5001=Schedule!$A47)*(Results!$D$2:$D$5001))</f>
        <v>0</v>
      </c>
      <c r="DV47" s="6">
        <f>SUMPRODUCT((Results!$A$2:$A$5001=Schedule!DV$45)*(Results!$B$2:$B$5001=Schedule!$A47)*(Results!$D$2:$D$5001))</f>
        <v>0</v>
      </c>
      <c r="DW47" s="6">
        <f>SUMPRODUCT((Results!$A$2:$A$5001=Schedule!DW$45)*(Results!$B$2:$B$5001=Schedule!$A47)*(Results!$D$2:$D$5001))</f>
        <v>0</v>
      </c>
      <c r="DX47" s="6">
        <f>SUMPRODUCT((Results!$A$2:$A$5001=Schedule!DX$45)*(Results!$B$2:$B$5001=Schedule!$A47)*(Results!$D$2:$D$5001))</f>
        <v>0</v>
      </c>
      <c r="DY47" s="6">
        <f>SUMPRODUCT((Results!$A$2:$A$5001=Schedule!DY$45)*(Results!$B$2:$B$5001=Schedule!$A47)*(Results!$D$2:$D$5001))</f>
        <v>0</v>
      </c>
      <c r="DZ47" s="6">
        <f>SUMPRODUCT((Results!$A$2:$A$5001=Schedule!DZ$45)*(Results!$B$2:$B$5001=Schedule!$A47)*(Results!$D$2:$D$5001))</f>
        <v>0</v>
      </c>
      <c r="EA47" s="6">
        <f>SUMPRODUCT((Results!$A$2:$A$5001=Schedule!EA$45)*(Results!$B$2:$B$5001=Schedule!$A47)*(Results!$D$2:$D$5001))</f>
        <v>0</v>
      </c>
      <c r="EB47" s="6">
        <f>SUMPRODUCT((Results!$A$2:$A$5001=Schedule!EB$45)*(Results!$B$2:$B$5001=Schedule!$A47)*(Results!$D$2:$D$5001))</f>
        <v>0</v>
      </c>
      <c r="EC47" s="6">
        <f>SUMPRODUCT((Results!$A$2:$A$5001=Schedule!EC$45)*(Results!$B$2:$B$5001=Schedule!$A47)*(Results!$D$2:$D$5001))</f>
        <v>0</v>
      </c>
      <c r="ED47" s="6">
        <f>SUMPRODUCT((Results!$A$2:$A$5001=Schedule!ED$45)*(Results!$B$2:$B$5001=Schedule!$A47)*(Results!$D$2:$D$5001))</f>
        <v>0</v>
      </c>
      <c r="EE47" s="6">
        <f>SUMPRODUCT((Results!$A$2:$A$5001=Schedule!EE$45)*(Results!$B$2:$B$5001=Schedule!$A47)*(Results!$D$2:$D$5001))</f>
        <v>0</v>
      </c>
      <c r="EF47" s="6">
        <f>SUMPRODUCT((Results!$A$2:$A$5001=Schedule!EF$45)*(Results!$B$2:$B$5001=Schedule!$A47)*(Results!$D$2:$D$5001))</f>
        <v>0</v>
      </c>
      <c r="EG47" s="6">
        <f>SUMPRODUCT((Results!$A$2:$A$5001=Schedule!EG$45)*(Results!$B$2:$B$5001=Schedule!$A47)*(Results!$D$2:$D$5001))</f>
        <v>0</v>
      </c>
      <c r="EH47" s="6">
        <f>SUMPRODUCT((Results!$A$2:$A$5001=Schedule!EH$45)*(Results!$B$2:$B$5001=Schedule!$A47)*(Results!$D$2:$D$5001))</f>
        <v>0</v>
      </c>
      <c r="EI47" s="6">
        <f>SUMPRODUCT((Results!$A$2:$A$5001=Schedule!EI$45)*(Results!$B$2:$B$5001=Schedule!$A47)*(Results!$D$2:$D$5001))</f>
        <v>0</v>
      </c>
      <c r="EJ47" s="6">
        <f>SUMPRODUCT((Results!$A$2:$A$5001=Schedule!EJ$45)*(Results!$B$2:$B$5001=Schedule!$A47)*(Results!$D$2:$D$5001))</f>
        <v>0</v>
      </c>
      <c r="EK47" s="6">
        <f>SUMPRODUCT((Results!$A$2:$A$5001=Schedule!EK$45)*(Results!$B$2:$B$5001=Schedule!$A47)*(Results!$D$2:$D$5001))</f>
        <v>0</v>
      </c>
      <c r="EL47" s="6">
        <f>SUMPRODUCT((Results!$A$2:$A$5001=Schedule!EL$45)*(Results!$B$2:$B$5001=Schedule!$A47)*(Results!$D$2:$D$5001))</f>
        <v>0</v>
      </c>
      <c r="EM47" s="6">
        <f>SUMPRODUCT((Results!$A$2:$A$5001=Schedule!EM$45)*(Results!$B$2:$B$5001=Schedule!$A47)*(Results!$D$2:$D$5001))</f>
        <v>0</v>
      </c>
      <c r="EN47" s="6">
        <f>SUMPRODUCT((Results!$A$2:$A$5001=Schedule!EN$45)*(Results!$B$2:$B$5001=Schedule!$A47)*(Results!$D$2:$D$5001))</f>
        <v>0</v>
      </c>
      <c r="EO47" s="6">
        <f>SUMPRODUCT((Results!$A$2:$A$5001=Schedule!EO$45)*(Results!$B$2:$B$5001=Schedule!$A47)*(Results!$D$2:$D$5001))</f>
        <v>0</v>
      </c>
      <c r="EP47" s="6">
        <f>SUMPRODUCT((Results!$A$2:$A$5001=Schedule!EP$45)*(Results!$B$2:$B$5001=Schedule!$A47)*(Results!$D$2:$D$5001))</f>
        <v>0</v>
      </c>
      <c r="EQ47" s="6">
        <f>SUMPRODUCT((Results!$A$2:$A$5001=Schedule!EQ$45)*(Results!$B$2:$B$5001=Schedule!$A47)*(Results!$D$2:$D$5001))</f>
        <v>0</v>
      </c>
      <c r="ER47" s="6">
        <f>SUMPRODUCT((Results!$A$2:$A$5001=Schedule!ER$45)*(Results!$B$2:$B$5001=Schedule!$A47)*(Results!$D$2:$D$5001))</f>
        <v>0</v>
      </c>
      <c r="ES47" s="6">
        <f>SUMPRODUCT((Results!$A$2:$A$5001=Schedule!ES$45)*(Results!$B$2:$B$5001=Schedule!$A47)*(Results!$D$2:$D$5001))</f>
        <v>0</v>
      </c>
      <c r="ET47" s="6">
        <f>SUMPRODUCT((Results!$A$2:$A$5001=Schedule!ET$45)*(Results!$B$2:$B$5001=Schedule!$A47)*(Results!$D$2:$D$5001))</f>
        <v>0</v>
      </c>
      <c r="EU47" s="6">
        <f>SUMPRODUCT((Results!$A$2:$A$5001=Schedule!EU$45)*(Results!$B$2:$B$5001=Schedule!$A47)*(Results!$D$2:$D$5001))</f>
        <v>0</v>
      </c>
      <c r="EV47" s="6">
        <f>SUMPRODUCT((Results!$A$2:$A$5001=Schedule!EV$45)*(Results!$B$2:$B$5001=Schedule!$A47)*(Results!$D$2:$D$5001))</f>
        <v>0</v>
      </c>
      <c r="EW47" s="6">
        <f>SUMPRODUCT((Results!$A$2:$A$5001=Schedule!EW$45)*(Results!$B$2:$B$5001=Schedule!$A47)*(Results!$D$2:$D$5001))</f>
        <v>0</v>
      </c>
      <c r="EX47" s="6">
        <f>SUMPRODUCT((Results!$A$2:$A$5001=Schedule!EX$45)*(Results!$B$2:$B$5001=Schedule!$A47)*(Results!$D$2:$D$5001))</f>
        <v>0</v>
      </c>
      <c r="EY47" s="6">
        <f>SUMPRODUCT((Results!$A$2:$A$5001=Schedule!EY$45)*(Results!$B$2:$B$5001=Schedule!$A47)*(Results!$D$2:$D$5001))</f>
        <v>0</v>
      </c>
      <c r="EZ47" s="6">
        <f>SUMPRODUCT((Results!$A$2:$A$5001=Schedule!EZ$45)*(Results!$B$2:$B$5001=Schedule!$A47)*(Results!$D$2:$D$5001))</f>
        <v>0</v>
      </c>
      <c r="FA47" s="6">
        <f>SUMPRODUCT((Results!$A$2:$A$5001=Schedule!FA$45)*(Results!$B$2:$B$5001=Schedule!$A47)*(Results!$D$2:$D$5001))</f>
        <v>0</v>
      </c>
      <c r="FB47" s="6">
        <f>SUMPRODUCT((Results!$A$2:$A$5001=Schedule!FB$45)*(Results!$B$2:$B$5001=Schedule!$A47)*(Results!$D$2:$D$5001))</f>
        <v>0</v>
      </c>
      <c r="FC47" s="6">
        <f>SUMPRODUCT((Results!$A$2:$A$5001=Schedule!FC$45)*(Results!$B$2:$B$5001=Schedule!$A47)*(Results!$D$2:$D$5001))</f>
        <v>0</v>
      </c>
      <c r="FD47" s="6">
        <f>SUMPRODUCT((Results!$A$2:$A$5001=Schedule!FD$45)*(Results!$B$2:$B$5001=Schedule!$A47)*(Results!$D$2:$D$5001))</f>
        <v>0</v>
      </c>
      <c r="FE47" s="6">
        <f>SUMPRODUCT((Results!$A$2:$A$5001=Schedule!FE$45)*(Results!$B$2:$B$5001=Schedule!$A47)*(Results!$D$2:$D$5001))</f>
        <v>0</v>
      </c>
      <c r="FF47" s="6">
        <f>SUMPRODUCT((Results!$A$2:$A$5001=Schedule!FF$45)*(Results!$B$2:$B$5001=Schedule!$A47)*(Results!$D$2:$D$5001))</f>
        <v>0</v>
      </c>
      <c r="FG47" s="6">
        <f>SUMPRODUCT((Results!$A$2:$A$5001=Schedule!FG$45)*(Results!$B$2:$B$5001=Schedule!$A47)*(Results!$D$2:$D$5001))</f>
        <v>0</v>
      </c>
      <c r="FH47" s="6">
        <f>SUMPRODUCT((Results!$A$2:$A$5001=Schedule!FH$45)*(Results!$B$2:$B$5001=Schedule!$A47)*(Results!$D$2:$D$5001))</f>
        <v>0</v>
      </c>
      <c r="FI47" s="6">
        <f>SUMPRODUCT((Results!$A$2:$A$5001=Schedule!FI$45)*(Results!$B$2:$B$5001=Schedule!$A47)*(Results!$D$2:$D$5001))</f>
        <v>0</v>
      </c>
      <c r="FJ47" s="6">
        <f>SUMPRODUCT((Results!$A$2:$A$5001=Schedule!FJ$45)*(Results!$B$2:$B$5001=Schedule!$A47)*(Results!$D$2:$D$5001))</f>
        <v>0</v>
      </c>
      <c r="FK47" s="6">
        <f>SUMPRODUCT((Results!$A$2:$A$5001=Schedule!FK$45)*(Results!$B$2:$B$5001=Schedule!$A47)*(Results!$D$2:$D$5001))</f>
        <v>0</v>
      </c>
      <c r="FL47" s="6">
        <f>SUMPRODUCT((Results!$A$2:$A$5001=Schedule!FL$45)*(Results!$B$2:$B$5001=Schedule!$A47)*(Results!$D$2:$D$5001))</f>
        <v>0</v>
      </c>
      <c r="FM47" s="6">
        <f>SUMPRODUCT((Results!$A$2:$A$5001=Schedule!FM$45)*(Results!$B$2:$B$5001=Schedule!$A47)*(Results!$D$2:$D$5001))</f>
        <v>0</v>
      </c>
      <c r="FN47" s="6">
        <f>SUMPRODUCT((Results!$A$2:$A$5001=Schedule!FN$45)*(Results!$B$2:$B$5001=Schedule!$A47)*(Results!$D$2:$D$5001))</f>
        <v>0</v>
      </c>
      <c r="FO47" s="6">
        <f>SUMPRODUCT((Results!$A$2:$A$5001=Schedule!FO$45)*(Results!$B$2:$B$5001=Schedule!$A47)*(Results!$D$2:$D$5001))</f>
        <v>0</v>
      </c>
      <c r="FP47" s="6">
        <f>SUMPRODUCT((Results!$A$2:$A$5001=Schedule!FP$45)*(Results!$B$2:$B$5001=Schedule!$A47)*(Results!$D$2:$D$5001))</f>
        <v>0</v>
      </c>
      <c r="FQ47" s="6">
        <f>SUMPRODUCT((Results!$A$2:$A$5001=Schedule!FQ$45)*(Results!$B$2:$B$5001=Schedule!$A47)*(Results!$D$2:$D$5001))</f>
        <v>0</v>
      </c>
      <c r="FR47" s="6">
        <f>SUMPRODUCT((Results!$A$2:$A$5001=Schedule!FR$45)*(Results!$B$2:$B$5001=Schedule!$A47)*(Results!$D$2:$D$5001))</f>
        <v>0</v>
      </c>
      <c r="FS47" s="6">
        <f>SUMPRODUCT((Results!$A$2:$A$5001=Schedule!FS$45)*(Results!$B$2:$B$5001=Schedule!$A47)*(Results!$D$2:$D$5001))</f>
        <v>0</v>
      </c>
      <c r="FT47" s="6">
        <f>SUMPRODUCT((Results!$A$2:$A$5001=Schedule!FT$45)*(Results!$B$2:$B$5001=Schedule!$A47)*(Results!$D$2:$D$5001))</f>
        <v>0</v>
      </c>
      <c r="FU47" s="6">
        <f>SUMPRODUCT((Results!$A$2:$A$5001=Schedule!FU$45)*(Results!$B$2:$B$5001=Schedule!$A47)*(Results!$D$2:$D$5001))</f>
        <v>0</v>
      </c>
      <c r="FV47" s="6">
        <f>SUMPRODUCT((Results!$A$2:$A$5001=Schedule!FV$45)*(Results!$B$2:$B$5001=Schedule!$A47)*(Results!$D$2:$D$5001))</f>
        <v>0</v>
      </c>
      <c r="FW47" s="6">
        <f>SUMPRODUCT((Results!$A$2:$A$5001=Schedule!FW$45)*(Results!$B$2:$B$5001=Schedule!$A47)*(Results!$D$2:$D$5001))</f>
        <v>0</v>
      </c>
      <c r="FX47" s="6">
        <f>SUMPRODUCT((Results!$A$2:$A$5001=Schedule!FX$45)*(Results!$B$2:$B$5001=Schedule!$A47)*(Results!$D$2:$D$5001))</f>
        <v>0</v>
      </c>
      <c r="FY47" s="6">
        <f>SUMPRODUCT((Results!$A$2:$A$5001=Schedule!FY$45)*(Results!$B$2:$B$5001=Schedule!$A47)*(Results!$D$2:$D$5001))</f>
        <v>0</v>
      </c>
      <c r="FZ47" s="6">
        <f>SUMPRODUCT((Results!$A$2:$A$5001=Schedule!FZ$45)*(Results!$B$2:$B$5001=Schedule!$A47)*(Results!$D$2:$D$5001))</f>
        <v>0</v>
      </c>
      <c r="GA47" s="6">
        <f>SUMPRODUCT((Results!$A$2:$A$5001=Schedule!GA$45)*(Results!$B$2:$B$5001=Schedule!$A47)*(Results!$D$2:$D$5001))</f>
        <v>0</v>
      </c>
      <c r="GB47" s="6">
        <f>SUMPRODUCT((Results!$A$2:$A$5001=Schedule!GB$45)*(Results!$B$2:$B$5001=Schedule!$A47)*(Results!$D$2:$D$5001))</f>
        <v>0</v>
      </c>
      <c r="GC47" s="6">
        <f>SUMPRODUCT((Results!$A$2:$A$5001=Schedule!GC$45)*(Results!$B$2:$B$5001=Schedule!$A47)*(Results!$D$2:$D$5001))</f>
        <v>0</v>
      </c>
      <c r="GD47" s="6">
        <f>SUMPRODUCT((Results!$A$2:$A$5001=Schedule!GD$45)*(Results!$B$2:$B$5001=Schedule!$A47)*(Results!$D$2:$D$5001))</f>
        <v>0</v>
      </c>
      <c r="GE47" s="6">
        <f>SUMPRODUCT((Results!$A$2:$A$5001=Schedule!GE$45)*(Results!$B$2:$B$5001=Schedule!$A47)*(Results!$D$2:$D$5001))</f>
        <v>0</v>
      </c>
      <c r="GF47" s="6">
        <f>SUMPRODUCT((Results!$A$2:$A$5001=Schedule!GF$45)*(Results!$B$2:$B$5001=Schedule!$A47)*(Results!$D$2:$D$5001))</f>
        <v>0</v>
      </c>
      <c r="GG47" s="6">
        <f>SUMPRODUCT((Results!$A$2:$A$5001=Schedule!GG$45)*(Results!$B$2:$B$5001=Schedule!$A47)*(Results!$D$2:$D$5001))</f>
        <v>0</v>
      </c>
      <c r="GH47" s="6">
        <f>SUMPRODUCT((Results!$A$2:$A$5001=Schedule!GH$45)*(Results!$B$2:$B$5001=Schedule!$A47)*(Results!$D$2:$D$5001))</f>
        <v>0</v>
      </c>
      <c r="GI47" s="6">
        <f>SUMPRODUCT((Results!$A$2:$A$5001=Schedule!GI$45)*(Results!$B$2:$B$5001=Schedule!$A47)*(Results!$D$2:$D$5001))</f>
        <v>0</v>
      </c>
      <c r="GJ47" s="6">
        <f>SUMPRODUCT((Results!$A$2:$A$5001=Schedule!GJ$45)*(Results!$B$2:$B$5001=Schedule!$A47)*(Results!$D$2:$D$5001))</f>
        <v>0</v>
      </c>
      <c r="GK47" s="6">
        <f>SUMPRODUCT((Results!$A$2:$A$5001=Schedule!GK$45)*(Results!$B$2:$B$5001=Schedule!$A47)*(Results!$D$2:$D$5001))</f>
        <v>0</v>
      </c>
      <c r="GL47" s="6">
        <f>SUMPRODUCT((Results!$A$2:$A$5001=Schedule!GL$45)*(Results!$B$2:$B$5001=Schedule!$A47)*(Results!$D$2:$D$5001))</f>
        <v>0</v>
      </c>
      <c r="GM47" s="6">
        <f>SUMPRODUCT((Results!$A$2:$A$5001=Schedule!GM$45)*(Results!$B$2:$B$5001=Schedule!$A47)*(Results!$D$2:$D$5001))</f>
        <v>0</v>
      </c>
      <c r="GN47" s="6">
        <f>SUMPRODUCT((Results!$A$2:$A$5001=Schedule!GN$45)*(Results!$B$2:$B$5001=Schedule!$A47)*(Results!$D$2:$D$5001))</f>
        <v>0</v>
      </c>
      <c r="GO47" s="6">
        <f>SUMPRODUCT((Results!$A$2:$A$5001=Schedule!GO$45)*(Results!$B$2:$B$5001=Schedule!$A47)*(Results!$D$2:$D$5001))</f>
        <v>0</v>
      </c>
      <c r="GP47" s="6">
        <f>SUMPRODUCT((Results!$A$2:$A$5001=Schedule!GP$45)*(Results!$B$2:$B$5001=Schedule!$A47)*(Results!$D$2:$D$5001))</f>
        <v>0</v>
      </c>
      <c r="GQ47" s="6">
        <f>SUMPRODUCT((Results!$A$2:$A$5001=Schedule!GQ$45)*(Results!$B$2:$B$5001=Schedule!$A47)*(Results!$D$2:$D$5001))</f>
        <v>0</v>
      </c>
      <c r="GR47" s="6">
        <f>SUMPRODUCT((Results!$A$2:$A$5001=Schedule!GR$45)*(Results!$B$2:$B$5001=Schedule!$A47)*(Results!$D$2:$D$5001))</f>
        <v>0</v>
      </c>
      <c r="GS47" s="6">
        <f>SUMPRODUCT((Results!$A$2:$A$5001=Schedule!GS$45)*(Results!$B$2:$B$5001=Schedule!$A47)*(Results!$D$2:$D$5001))</f>
        <v>0</v>
      </c>
      <c r="GT47" s="6">
        <f>SUMPRODUCT((Results!$A$2:$A$5001=Schedule!GT$45)*(Results!$B$2:$B$5001=Schedule!$A47)*(Results!$D$2:$D$5001))</f>
        <v>0</v>
      </c>
      <c r="GU47" s="6">
        <f>SUMPRODUCT((Results!$A$2:$A$5001=Schedule!GU$45)*(Results!$B$2:$B$5001=Schedule!$A47)*(Results!$D$2:$D$5001))</f>
        <v>0</v>
      </c>
    </row>
    <row r="48" spans="1:203" ht="13.5" customHeight="1" x14ac:dyDescent="0.2">
      <c r="A48" s="40">
        <v>3</v>
      </c>
      <c r="B48" s="6">
        <f t="shared" si="17"/>
        <v>0.88570000000000004</v>
      </c>
      <c r="C48" s="6">
        <f>SUMPRODUCT((Results!$A$2:$A$5001=Schedule!C$45)*(Results!$B$2:$B$5001=Schedule!$A48)*(Results!$D$2:$D$5001))</f>
        <v>0</v>
      </c>
      <c r="D48" s="6">
        <f>SUMPRODUCT((Results!$A$2:$A$5001=Schedule!D$45)*(Results!$B$2:$B$5001=Schedule!$A48)*(Results!$D$2:$D$5001))</f>
        <v>0</v>
      </c>
      <c r="E48" s="6">
        <f>SUMPRODUCT((Results!$A$2:$A$5001=Schedule!E$45)*(Results!$B$2:$B$5001=Schedule!$A48)*(Results!$D$2:$D$5001))</f>
        <v>0.88570000000000004</v>
      </c>
      <c r="F48" s="6">
        <f>SUMPRODUCT((Results!$A$2:$A$5001=Schedule!F$45)*(Results!$B$2:$B$5001=Schedule!$A48)*(Results!$D$2:$D$5001))</f>
        <v>0</v>
      </c>
      <c r="G48" s="6">
        <f>SUMPRODUCT((Results!$A$2:$A$5001=Schedule!G$45)*(Results!$B$2:$B$5001=Schedule!$A48)*(Results!$D$2:$D$5001))</f>
        <v>0</v>
      </c>
      <c r="H48" s="6">
        <f>SUMPRODUCT((Results!$A$2:$A$5001=Schedule!H$45)*(Results!$B$2:$B$5001=Schedule!$A48)*(Results!$D$2:$D$5001))</f>
        <v>0</v>
      </c>
      <c r="I48" s="6">
        <f>SUMPRODUCT((Results!$A$2:$A$5001=Schedule!I$45)*(Results!$B$2:$B$5001=Schedule!$A48)*(Results!$D$2:$D$5001))</f>
        <v>0</v>
      </c>
      <c r="J48" s="6">
        <f>SUMPRODUCT((Results!$A$2:$A$5001=Schedule!J$45)*(Results!$B$2:$B$5001=Schedule!$A48)*(Results!$D$2:$D$5001))</f>
        <v>0</v>
      </c>
      <c r="K48" s="6">
        <f>SUMPRODUCT((Results!$A$2:$A$5001=Schedule!K$45)*(Results!$B$2:$B$5001=Schedule!$A48)*(Results!$D$2:$D$5001))</f>
        <v>0</v>
      </c>
      <c r="L48" s="6">
        <f>SUMPRODUCT((Results!$A$2:$A$5001=Schedule!L$45)*(Results!$B$2:$B$5001=Schedule!$A48)*(Results!$D$2:$D$5001))</f>
        <v>0</v>
      </c>
      <c r="M48" s="6">
        <f>SUMPRODUCT((Results!$A$2:$A$5001=Schedule!M$45)*(Results!$B$2:$B$5001=Schedule!$A48)*(Results!$D$2:$D$5001))</f>
        <v>0</v>
      </c>
      <c r="N48" s="6">
        <f>SUMPRODUCT((Results!$A$2:$A$5001=Schedule!N$45)*(Results!$B$2:$B$5001=Schedule!$A48)*(Results!$D$2:$D$5001))</f>
        <v>0</v>
      </c>
      <c r="O48" s="6">
        <f>SUMPRODUCT((Results!$A$2:$A$5001=Schedule!O$45)*(Results!$B$2:$B$5001=Schedule!$A48)*(Results!$D$2:$D$5001))</f>
        <v>0</v>
      </c>
      <c r="P48" s="6">
        <f>SUMPRODUCT((Results!$A$2:$A$5001=Schedule!P$45)*(Results!$B$2:$B$5001=Schedule!$A48)*(Results!$D$2:$D$5001))</f>
        <v>0</v>
      </c>
      <c r="Q48" s="6">
        <f>SUMPRODUCT((Results!$A$2:$A$5001=Schedule!Q$45)*(Results!$B$2:$B$5001=Schedule!$A48)*(Results!$D$2:$D$5001))</f>
        <v>0</v>
      </c>
      <c r="R48" s="6">
        <f>SUMPRODUCT((Results!$A$2:$A$5001=Schedule!R$45)*(Results!$B$2:$B$5001=Schedule!$A48)*(Results!$D$2:$D$5001))</f>
        <v>0</v>
      </c>
      <c r="S48" s="6">
        <f>SUMPRODUCT((Results!$A$2:$A$5001=Schedule!S$45)*(Results!$B$2:$B$5001=Schedule!$A48)*(Results!$D$2:$D$5001))</f>
        <v>0</v>
      </c>
      <c r="T48" s="6">
        <f>SUMPRODUCT((Results!$A$2:$A$5001=Schedule!T$45)*(Results!$B$2:$B$5001=Schedule!$A48)*(Results!$D$2:$D$5001))</f>
        <v>0</v>
      </c>
      <c r="U48" s="6">
        <f>SUMPRODUCT((Results!$A$2:$A$5001=Schedule!U$45)*(Results!$B$2:$B$5001=Schedule!$A48)*(Results!$D$2:$D$5001))</f>
        <v>0</v>
      </c>
      <c r="V48" s="6">
        <f>SUMPRODUCT((Results!$A$2:$A$5001=Schedule!V$45)*(Results!$B$2:$B$5001=Schedule!$A48)*(Results!$D$2:$D$5001))</f>
        <v>0</v>
      </c>
      <c r="W48" s="6">
        <f>SUMPRODUCT((Results!$A$2:$A$5001=Schedule!W$45)*(Results!$B$2:$B$5001=Schedule!$A48)*(Results!$D$2:$D$5001))</f>
        <v>0</v>
      </c>
      <c r="X48" s="6">
        <f>SUMPRODUCT((Results!$A$2:$A$5001=Schedule!X$45)*(Results!$B$2:$B$5001=Schedule!$A48)*(Results!$D$2:$D$5001))</f>
        <v>0</v>
      </c>
      <c r="Y48" s="6">
        <f>SUMPRODUCT((Results!$A$2:$A$5001=Schedule!Y$45)*(Results!$B$2:$B$5001=Schedule!$A48)*(Results!$D$2:$D$5001))</f>
        <v>0</v>
      </c>
      <c r="Z48" s="6">
        <f>SUMPRODUCT((Results!$A$2:$A$5001=Schedule!Z$45)*(Results!$B$2:$B$5001=Schedule!$A48)*(Results!$D$2:$D$5001))</f>
        <v>0</v>
      </c>
      <c r="AA48" s="6">
        <f>SUMPRODUCT((Results!$A$2:$A$5001=Schedule!AA$45)*(Results!$B$2:$B$5001=Schedule!$A48)*(Results!$D$2:$D$5001))</f>
        <v>0</v>
      </c>
      <c r="AB48" s="6">
        <f>SUMPRODUCT((Results!$A$2:$A$5001=Schedule!AB$45)*(Results!$B$2:$B$5001=Schedule!$A48)*(Results!$D$2:$D$5001))</f>
        <v>0</v>
      </c>
      <c r="AC48" s="6">
        <f>SUMPRODUCT((Results!$A$2:$A$5001=Schedule!AC$45)*(Results!$B$2:$B$5001=Schedule!$A48)*(Results!$D$2:$D$5001))</f>
        <v>0</v>
      </c>
      <c r="AD48" s="6">
        <f>SUMPRODUCT((Results!$A$2:$A$5001=Schedule!AD$45)*(Results!$B$2:$B$5001=Schedule!$A48)*(Results!$D$2:$D$5001))</f>
        <v>0</v>
      </c>
      <c r="AE48" s="6">
        <f>SUMPRODUCT((Results!$A$2:$A$5001=Schedule!AE$45)*(Results!$B$2:$B$5001=Schedule!$A48)*(Results!$D$2:$D$5001))</f>
        <v>0</v>
      </c>
      <c r="AF48" s="6">
        <f>SUMPRODUCT((Results!$A$2:$A$5001=Schedule!AF$45)*(Results!$B$2:$B$5001=Schedule!$A48)*(Results!$D$2:$D$5001))</f>
        <v>0</v>
      </c>
      <c r="AG48" s="6">
        <f>SUMPRODUCT((Results!$A$2:$A$5001=Schedule!AG$45)*(Results!$B$2:$B$5001=Schedule!$A48)*(Results!$D$2:$D$5001))</f>
        <v>0</v>
      </c>
      <c r="AH48" s="6">
        <f>SUMPRODUCT((Results!$A$2:$A$5001=Schedule!AH$45)*(Results!$B$2:$B$5001=Schedule!$A48)*(Results!$D$2:$D$5001))</f>
        <v>0</v>
      </c>
      <c r="AI48" s="6">
        <f>SUMPRODUCT((Results!$A$2:$A$5001=Schedule!AI$45)*(Results!$B$2:$B$5001=Schedule!$A48)*(Results!$D$2:$D$5001))</f>
        <v>0</v>
      </c>
      <c r="AJ48" s="6">
        <f>SUMPRODUCT((Results!$A$2:$A$5001=Schedule!AJ$45)*(Results!$B$2:$B$5001=Schedule!$A48)*(Results!$D$2:$D$5001))</f>
        <v>0</v>
      </c>
      <c r="AK48" s="6">
        <f>SUMPRODUCT((Results!$A$2:$A$5001=Schedule!AK$45)*(Results!$B$2:$B$5001=Schedule!$A48)*(Results!$D$2:$D$5001))</f>
        <v>0</v>
      </c>
      <c r="AL48" s="6">
        <f>SUMPRODUCT((Results!$A$2:$A$5001=Schedule!AL$45)*(Results!$B$2:$B$5001=Schedule!$A48)*(Results!$D$2:$D$5001))</f>
        <v>0</v>
      </c>
      <c r="AM48" s="6">
        <f>SUMPRODUCT((Results!$A$2:$A$5001=Schedule!AM$45)*(Results!$B$2:$B$5001=Schedule!$A48)*(Results!$D$2:$D$5001))</f>
        <v>0</v>
      </c>
      <c r="AN48" s="6">
        <f>SUMPRODUCT((Results!$A$2:$A$5001=Schedule!AN$45)*(Results!$B$2:$B$5001=Schedule!$A48)*(Results!$D$2:$D$5001))</f>
        <v>0</v>
      </c>
      <c r="AO48" s="6">
        <f>SUMPRODUCT((Results!$A$2:$A$5001=Schedule!AO$45)*(Results!$B$2:$B$5001=Schedule!$A48)*(Results!$D$2:$D$5001))</f>
        <v>0</v>
      </c>
      <c r="AP48" s="6">
        <f>SUMPRODUCT((Results!$A$2:$A$5001=Schedule!AP$45)*(Results!$B$2:$B$5001=Schedule!$A48)*(Results!$D$2:$D$5001))</f>
        <v>0</v>
      </c>
      <c r="AQ48" s="6">
        <f>SUMPRODUCT((Results!$A$2:$A$5001=Schedule!AQ$45)*(Results!$B$2:$B$5001=Schedule!$A48)*(Results!$D$2:$D$5001))</f>
        <v>0</v>
      </c>
      <c r="AR48" s="6">
        <f>SUMPRODUCT((Results!$A$2:$A$5001=Schedule!AR$45)*(Results!$B$2:$B$5001=Schedule!$A48)*(Results!$D$2:$D$5001))</f>
        <v>0</v>
      </c>
      <c r="AS48" s="6">
        <f>SUMPRODUCT((Results!$A$2:$A$5001=Schedule!AS$45)*(Results!$B$2:$B$5001=Schedule!$A48)*(Results!$D$2:$D$5001))</f>
        <v>0</v>
      </c>
      <c r="AT48" s="6">
        <f>SUMPRODUCT((Results!$A$2:$A$5001=Schedule!AT$45)*(Results!$B$2:$B$5001=Schedule!$A48)*(Results!$D$2:$D$5001))</f>
        <v>0</v>
      </c>
      <c r="AU48" s="6">
        <f>SUMPRODUCT((Results!$A$2:$A$5001=Schedule!AU$45)*(Results!$B$2:$B$5001=Schedule!$A48)*(Results!$D$2:$D$5001))</f>
        <v>0</v>
      </c>
      <c r="AV48" s="6">
        <f>SUMPRODUCT((Results!$A$2:$A$5001=Schedule!AV$45)*(Results!$B$2:$B$5001=Schedule!$A48)*(Results!$D$2:$D$5001))</f>
        <v>0</v>
      </c>
      <c r="AW48" s="6">
        <f>SUMPRODUCT((Results!$A$2:$A$5001=Schedule!AW$45)*(Results!$B$2:$B$5001=Schedule!$A48)*(Results!$D$2:$D$5001))</f>
        <v>0</v>
      </c>
      <c r="AX48" s="6">
        <f>SUMPRODUCT((Results!$A$2:$A$5001=Schedule!AX$45)*(Results!$B$2:$B$5001=Schedule!$A48)*(Results!$D$2:$D$5001))</f>
        <v>0</v>
      </c>
      <c r="AY48" s="6">
        <f>SUMPRODUCT((Results!$A$2:$A$5001=Schedule!AY$45)*(Results!$B$2:$B$5001=Schedule!$A48)*(Results!$D$2:$D$5001))</f>
        <v>0</v>
      </c>
      <c r="AZ48" s="6">
        <f>SUMPRODUCT((Results!$A$2:$A$5001=Schedule!AZ$45)*(Results!$B$2:$B$5001=Schedule!$A48)*(Results!$D$2:$D$5001))</f>
        <v>0</v>
      </c>
      <c r="BA48" s="6">
        <f>SUMPRODUCT((Results!$A$2:$A$5001=Schedule!BA$45)*(Results!$B$2:$B$5001=Schedule!$A48)*(Results!$D$2:$D$5001))</f>
        <v>0</v>
      </c>
      <c r="BB48" s="6">
        <f>SUMPRODUCT((Results!$A$2:$A$5001=Schedule!BB$45)*(Results!$B$2:$B$5001=Schedule!$A48)*(Results!$D$2:$D$5001))</f>
        <v>0</v>
      </c>
      <c r="BC48" s="6">
        <f>SUMPRODUCT((Results!$A$2:$A$5001=Schedule!BC$45)*(Results!$B$2:$B$5001=Schedule!$A48)*(Results!$D$2:$D$5001))</f>
        <v>0</v>
      </c>
      <c r="BD48" s="6">
        <f>SUMPRODUCT((Results!$A$2:$A$5001=Schedule!BD$45)*(Results!$B$2:$B$5001=Schedule!$A48)*(Results!$D$2:$D$5001))</f>
        <v>0</v>
      </c>
      <c r="BE48" s="6">
        <f>SUMPRODUCT((Results!$A$2:$A$5001=Schedule!BE$45)*(Results!$B$2:$B$5001=Schedule!$A48)*(Results!$D$2:$D$5001))</f>
        <v>0</v>
      </c>
      <c r="BF48" s="6">
        <f>SUMPRODUCT((Results!$A$2:$A$5001=Schedule!BF$45)*(Results!$B$2:$B$5001=Schedule!$A48)*(Results!$D$2:$D$5001))</f>
        <v>0</v>
      </c>
      <c r="BG48" s="6">
        <f>SUMPRODUCT((Results!$A$2:$A$5001=Schedule!BG$45)*(Results!$B$2:$B$5001=Schedule!$A48)*(Results!$D$2:$D$5001))</f>
        <v>0</v>
      </c>
      <c r="BH48" s="6">
        <f>SUMPRODUCT((Results!$A$2:$A$5001=Schedule!BH$45)*(Results!$B$2:$B$5001=Schedule!$A48)*(Results!$D$2:$D$5001))</f>
        <v>0</v>
      </c>
      <c r="BI48" s="6">
        <f>SUMPRODUCT((Results!$A$2:$A$5001=Schedule!BI$45)*(Results!$B$2:$B$5001=Schedule!$A48)*(Results!$D$2:$D$5001))</f>
        <v>0</v>
      </c>
      <c r="BJ48" s="6">
        <f>SUMPRODUCT((Results!$A$2:$A$5001=Schedule!BJ$45)*(Results!$B$2:$B$5001=Schedule!$A48)*(Results!$D$2:$D$5001))</f>
        <v>0</v>
      </c>
      <c r="BK48" s="6">
        <f>SUMPRODUCT((Results!$A$2:$A$5001=Schedule!BK$45)*(Results!$B$2:$B$5001=Schedule!$A48)*(Results!$D$2:$D$5001))</f>
        <v>0</v>
      </c>
      <c r="BL48" s="6">
        <f>SUMPRODUCT((Results!$A$2:$A$5001=Schedule!BL$45)*(Results!$B$2:$B$5001=Schedule!$A48)*(Results!$D$2:$D$5001))</f>
        <v>0</v>
      </c>
      <c r="BM48" s="6">
        <f>SUMPRODUCT((Results!$A$2:$A$5001=Schedule!BM$45)*(Results!$B$2:$B$5001=Schedule!$A48)*(Results!$D$2:$D$5001))</f>
        <v>0</v>
      </c>
      <c r="BN48" s="6">
        <f>SUMPRODUCT((Results!$A$2:$A$5001=Schedule!BN$45)*(Results!$B$2:$B$5001=Schedule!$A48)*(Results!$D$2:$D$5001))</f>
        <v>0</v>
      </c>
      <c r="BO48" s="6">
        <f>SUMPRODUCT((Results!$A$2:$A$5001=Schedule!BO$45)*(Results!$B$2:$B$5001=Schedule!$A48)*(Results!$D$2:$D$5001))</f>
        <v>0</v>
      </c>
      <c r="BP48" s="6">
        <f>SUMPRODUCT((Results!$A$2:$A$5001=Schedule!BP$45)*(Results!$B$2:$B$5001=Schedule!$A48)*(Results!$D$2:$D$5001))</f>
        <v>0</v>
      </c>
      <c r="BQ48" s="6">
        <f>SUMPRODUCT((Results!$A$2:$A$5001=Schedule!BQ$45)*(Results!$B$2:$B$5001=Schedule!$A48)*(Results!$D$2:$D$5001))</f>
        <v>0</v>
      </c>
      <c r="BR48" s="6">
        <f>SUMPRODUCT((Results!$A$2:$A$5001=Schedule!BR$45)*(Results!$B$2:$B$5001=Schedule!$A48)*(Results!$D$2:$D$5001))</f>
        <v>0</v>
      </c>
      <c r="BS48" s="6">
        <f>SUMPRODUCT((Results!$A$2:$A$5001=Schedule!BS$45)*(Results!$B$2:$B$5001=Schedule!$A48)*(Results!$D$2:$D$5001))</f>
        <v>0</v>
      </c>
      <c r="BT48" s="6">
        <f>SUMPRODUCT((Results!$A$2:$A$5001=Schedule!BT$45)*(Results!$B$2:$B$5001=Schedule!$A48)*(Results!$D$2:$D$5001))</f>
        <v>0</v>
      </c>
      <c r="BU48" s="6">
        <f>SUMPRODUCT((Results!$A$2:$A$5001=Schedule!BU$45)*(Results!$B$2:$B$5001=Schedule!$A48)*(Results!$D$2:$D$5001))</f>
        <v>0</v>
      </c>
      <c r="BV48" s="6">
        <f>SUMPRODUCT((Results!$A$2:$A$5001=Schedule!BV$45)*(Results!$B$2:$B$5001=Schedule!$A48)*(Results!$D$2:$D$5001))</f>
        <v>0</v>
      </c>
      <c r="BW48" s="6">
        <f>SUMPRODUCT((Results!$A$2:$A$5001=Schedule!BW$45)*(Results!$B$2:$B$5001=Schedule!$A48)*(Results!$D$2:$D$5001))</f>
        <v>0</v>
      </c>
      <c r="BX48" s="6">
        <f>SUMPRODUCT((Results!$A$2:$A$5001=Schedule!BX$45)*(Results!$B$2:$B$5001=Schedule!$A48)*(Results!$D$2:$D$5001))</f>
        <v>0</v>
      </c>
      <c r="BY48" s="6">
        <f>SUMPRODUCT((Results!$A$2:$A$5001=Schedule!BY$45)*(Results!$B$2:$B$5001=Schedule!$A48)*(Results!$D$2:$D$5001))</f>
        <v>0</v>
      </c>
      <c r="BZ48" s="6">
        <f>SUMPRODUCT((Results!$A$2:$A$5001=Schedule!BZ$45)*(Results!$B$2:$B$5001=Schedule!$A48)*(Results!$D$2:$D$5001))</f>
        <v>0</v>
      </c>
      <c r="CA48" s="6">
        <f>SUMPRODUCT((Results!$A$2:$A$5001=Schedule!CA$45)*(Results!$B$2:$B$5001=Schedule!$A48)*(Results!$D$2:$D$5001))</f>
        <v>0</v>
      </c>
      <c r="CB48" s="6">
        <f>SUMPRODUCT((Results!$A$2:$A$5001=Schedule!CB$45)*(Results!$B$2:$B$5001=Schedule!$A48)*(Results!$D$2:$D$5001))</f>
        <v>0</v>
      </c>
      <c r="CC48" s="6">
        <f>SUMPRODUCT((Results!$A$2:$A$5001=Schedule!CC$45)*(Results!$B$2:$B$5001=Schedule!$A48)*(Results!$D$2:$D$5001))</f>
        <v>0</v>
      </c>
      <c r="CD48" s="6">
        <f>SUMPRODUCT((Results!$A$2:$A$5001=Schedule!CD$45)*(Results!$B$2:$B$5001=Schedule!$A48)*(Results!$D$2:$D$5001))</f>
        <v>0</v>
      </c>
      <c r="CE48" s="6">
        <f>SUMPRODUCT((Results!$A$2:$A$5001=Schedule!CE$45)*(Results!$B$2:$B$5001=Schedule!$A48)*(Results!$D$2:$D$5001))</f>
        <v>0</v>
      </c>
      <c r="CF48" s="6">
        <f>SUMPRODUCT((Results!$A$2:$A$5001=Schedule!CF$45)*(Results!$B$2:$B$5001=Schedule!$A48)*(Results!$D$2:$D$5001))</f>
        <v>0</v>
      </c>
      <c r="CG48" s="6">
        <f>SUMPRODUCT((Results!$A$2:$A$5001=Schedule!CG$45)*(Results!$B$2:$B$5001=Schedule!$A48)*(Results!$D$2:$D$5001))</f>
        <v>0</v>
      </c>
      <c r="CH48" s="6">
        <f>SUMPRODUCT((Results!$A$2:$A$5001=Schedule!CH$45)*(Results!$B$2:$B$5001=Schedule!$A48)*(Results!$D$2:$D$5001))</f>
        <v>0</v>
      </c>
      <c r="CI48" s="6">
        <f>SUMPRODUCT((Results!$A$2:$A$5001=Schedule!CI$45)*(Results!$B$2:$B$5001=Schedule!$A48)*(Results!$D$2:$D$5001))</f>
        <v>0</v>
      </c>
      <c r="CJ48" s="6">
        <f>SUMPRODUCT((Results!$A$2:$A$5001=Schedule!CJ$45)*(Results!$B$2:$B$5001=Schedule!$A48)*(Results!$D$2:$D$5001))</f>
        <v>0</v>
      </c>
      <c r="CK48" s="6">
        <f>SUMPRODUCT((Results!$A$2:$A$5001=Schedule!CK$45)*(Results!$B$2:$B$5001=Schedule!$A48)*(Results!$D$2:$D$5001))</f>
        <v>0</v>
      </c>
      <c r="CL48" s="6">
        <f>SUMPRODUCT((Results!$A$2:$A$5001=Schedule!CL$45)*(Results!$B$2:$B$5001=Schedule!$A48)*(Results!$D$2:$D$5001))</f>
        <v>0</v>
      </c>
      <c r="CM48" s="6">
        <f>SUMPRODUCT((Results!$A$2:$A$5001=Schedule!CM$45)*(Results!$B$2:$B$5001=Schedule!$A48)*(Results!$D$2:$D$5001))</f>
        <v>0</v>
      </c>
      <c r="CN48" s="6">
        <f>SUMPRODUCT((Results!$A$2:$A$5001=Schedule!CN$45)*(Results!$B$2:$B$5001=Schedule!$A48)*(Results!$D$2:$D$5001))</f>
        <v>0</v>
      </c>
      <c r="CO48" s="6">
        <f>SUMPRODUCT((Results!$A$2:$A$5001=Schedule!CO$45)*(Results!$B$2:$B$5001=Schedule!$A48)*(Results!$D$2:$D$5001))</f>
        <v>0</v>
      </c>
      <c r="CP48" s="6">
        <f>SUMPRODUCT((Results!$A$2:$A$5001=Schedule!CP$45)*(Results!$B$2:$B$5001=Schedule!$A48)*(Results!$D$2:$D$5001))</f>
        <v>0</v>
      </c>
      <c r="CQ48" s="6">
        <f>SUMPRODUCT((Results!$A$2:$A$5001=Schedule!CQ$45)*(Results!$B$2:$B$5001=Schedule!$A48)*(Results!$D$2:$D$5001))</f>
        <v>0</v>
      </c>
      <c r="CR48" s="6">
        <f>SUMPRODUCT((Results!$A$2:$A$5001=Schedule!CR$45)*(Results!$B$2:$B$5001=Schedule!$A48)*(Results!$D$2:$D$5001))</f>
        <v>0</v>
      </c>
      <c r="CS48" s="6">
        <f>SUMPRODUCT((Results!$A$2:$A$5001=Schedule!CS$45)*(Results!$B$2:$B$5001=Schedule!$A48)*(Results!$D$2:$D$5001))</f>
        <v>0</v>
      </c>
      <c r="CT48" s="6">
        <f>SUMPRODUCT((Results!$A$2:$A$5001=Schedule!CT$45)*(Results!$B$2:$B$5001=Schedule!$A48)*(Results!$D$2:$D$5001))</f>
        <v>0</v>
      </c>
      <c r="CU48" s="6">
        <f>SUMPRODUCT((Results!$A$2:$A$5001=Schedule!CU$45)*(Results!$B$2:$B$5001=Schedule!$A48)*(Results!$D$2:$D$5001))</f>
        <v>0</v>
      </c>
      <c r="CV48" s="6">
        <f>SUMPRODUCT((Results!$A$2:$A$5001=Schedule!CV$45)*(Results!$B$2:$B$5001=Schedule!$A48)*(Results!$D$2:$D$5001))</f>
        <v>0</v>
      </c>
      <c r="CW48" s="6">
        <f>SUMPRODUCT((Results!$A$2:$A$5001=Schedule!CW$45)*(Results!$B$2:$B$5001=Schedule!$A48)*(Results!$D$2:$D$5001))</f>
        <v>0</v>
      </c>
      <c r="CX48" s="6">
        <f>SUMPRODUCT((Results!$A$2:$A$5001=Schedule!CX$45)*(Results!$B$2:$B$5001=Schedule!$A48)*(Results!$D$2:$D$5001))</f>
        <v>0</v>
      </c>
      <c r="CY48" s="6">
        <f>SUMPRODUCT((Results!$A$2:$A$5001=Schedule!CY$45)*(Results!$B$2:$B$5001=Schedule!$A48)*(Results!$D$2:$D$5001))</f>
        <v>0</v>
      </c>
      <c r="CZ48" s="6">
        <f>SUMPRODUCT((Results!$A$2:$A$5001=Schedule!CZ$45)*(Results!$B$2:$B$5001=Schedule!$A48)*(Results!$D$2:$D$5001))</f>
        <v>0</v>
      </c>
      <c r="DA48" s="6">
        <f>SUMPRODUCT((Results!$A$2:$A$5001=Schedule!DA$45)*(Results!$B$2:$B$5001=Schedule!$A48)*(Results!$D$2:$D$5001))</f>
        <v>0</v>
      </c>
      <c r="DB48" s="6">
        <f>SUMPRODUCT((Results!$A$2:$A$5001=Schedule!DB$45)*(Results!$B$2:$B$5001=Schedule!$A48)*(Results!$D$2:$D$5001))</f>
        <v>0</v>
      </c>
      <c r="DC48" s="6">
        <f>SUMPRODUCT((Results!$A$2:$A$5001=Schedule!DC$45)*(Results!$B$2:$B$5001=Schedule!$A48)*(Results!$D$2:$D$5001))</f>
        <v>0</v>
      </c>
      <c r="DD48" s="6">
        <f>SUMPRODUCT((Results!$A$2:$A$5001=Schedule!DD$45)*(Results!$B$2:$B$5001=Schedule!$A48)*(Results!$D$2:$D$5001))</f>
        <v>0</v>
      </c>
      <c r="DE48" s="6">
        <f>SUMPRODUCT((Results!$A$2:$A$5001=Schedule!DE$45)*(Results!$B$2:$B$5001=Schedule!$A48)*(Results!$D$2:$D$5001))</f>
        <v>0</v>
      </c>
      <c r="DF48" s="6">
        <f>SUMPRODUCT((Results!$A$2:$A$5001=Schedule!DF$45)*(Results!$B$2:$B$5001=Schedule!$A48)*(Results!$D$2:$D$5001))</f>
        <v>0</v>
      </c>
      <c r="DG48" s="6">
        <f>SUMPRODUCT((Results!$A$2:$A$5001=Schedule!DG$45)*(Results!$B$2:$B$5001=Schedule!$A48)*(Results!$D$2:$D$5001))</f>
        <v>0</v>
      </c>
      <c r="DH48" s="6">
        <f>SUMPRODUCT((Results!$A$2:$A$5001=Schedule!DH$45)*(Results!$B$2:$B$5001=Schedule!$A48)*(Results!$D$2:$D$5001))</f>
        <v>0</v>
      </c>
      <c r="DI48" s="6">
        <f>SUMPRODUCT((Results!$A$2:$A$5001=Schedule!DI$45)*(Results!$B$2:$B$5001=Schedule!$A48)*(Results!$D$2:$D$5001))</f>
        <v>0</v>
      </c>
      <c r="DJ48" s="6">
        <f>SUMPRODUCT((Results!$A$2:$A$5001=Schedule!DJ$45)*(Results!$B$2:$B$5001=Schedule!$A48)*(Results!$D$2:$D$5001))</f>
        <v>0</v>
      </c>
      <c r="DK48" s="6">
        <f>SUMPRODUCT((Results!$A$2:$A$5001=Schedule!DK$45)*(Results!$B$2:$B$5001=Schedule!$A48)*(Results!$D$2:$D$5001))</f>
        <v>0</v>
      </c>
      <c r="DL48" s="6">
        <f>SUMPRODUCT((Results!$A$2:$A$5001=Schedule!DL$45)*(Results!$B$2:$B$5001=Schedule!$A48)*(Results!$D$2:$D$5001))</f>
        <v>0</v>
      </c>
      <c r="DM48" s="6">
        <f>SUMPRODUCT((Results!$A$2:$A$5001=Schedule!DM$45)*(Results!$B$2:$B$5001=Schedule!$A48)*(Results!$D$2:$D$5001))</f>
        <v>0</v>
      </c>
      <c r="DN48" s="6">
        <f>SUMPRODUCT((Results!$A$2:$A$5001=Schedule!DN$45)*(Results!$B$2:$B$5001=Schedule!$A48)*(Results!$D$2:$D$5001))</f>
        <v>0</v>
      </c>
      <c r="DO48" s="6">
        <f>SUMPRODUCT((Results!$A$2:$A$5001=Schedule!DO$45)*(Results!$B$2:$B$5001=Schedule!$A48)*(Results!$D$2:$D$5001))</f>
        <v>0</v>
      </c>
      <c r="DP48" s="6">
        <f>SUMPRODUCT((Results!$A$2:$A$5001=Schedule!DP$45)*(Results!$B$2:$B$5001=Schedule!$A48)*(Results!$D$2:$D$5001))</f>
        <v>0</v>
      </c>
      <c r="DQ48" s="6">
        <f>SUMPRODUCT((Results!$A$2:$A$5001=Schedule!DQ$45)*(Results!$B$2:$B$5001=Schedule!$A48)*(Results!$D$2:$D$5001))</f>
        <v>0</v>
      </c>
      <c r="DR48" s="6">
        <f>SUMPRODUCT((Results!$A$2:$A$5001=Schedule!DR$45)*(Results!$B$2:$B$5001=Schedule!$A48)*(Results!$D$2:$D$5001))</f>
        <v>0</v>
      </c>
      <c r="DS48" s="6">
        <f>SUMPRODUCT((Results!$A$2:$A$5001=Schedule!DS$45)*(Results!$B$2:$B$5001=Schedule!$A48)*(Results!$D$2:$D$5001))</f>
        <v>0</v>
      </c>
      <c r="DT48" s="6">
        <f>SUMPRODUCT((Results!$A$2:$A$5001=Schedule!DT$45)*(Results!$B$2:$B$5001=Schedule!$A48)*(Results!$D$2:$D$5001))</f>
        <v>0</v>
      </c>
      <c r="DU48" s="6">
        <f>SUMPRODUCT((Results!$A$2:$A$5001=Schedule!DU$45)*(Results!$B$2:$B$5001=Schedule!$A48)*(Results!$D$2:$D$5001))</f>
        <v>0</v>
      </c>
      <c r="DV48" s="6">
        <f>SUMPRODUCT((Results!$A$2:$A$5001=Schedule!DV$45)*(Results!$B$2:$B$5001=Schedule!$A48)*(Results!$D$2:$D$5001))</f>
        <v>0</v>
      </c>
      <c r="DW48" s="6">
        <f>SUMPRODUCT((Results!$A$2:$A$5001=Schedule!DW$45)*(Results!$B$2:$B$5001=Schedule!$A48)*(Results!$D$2:$D$5001))</f>
        <v>0</v>
      </c>
      <c r="DX48" s="6">
        <f>SUMPRODUCT((Results!$A$2:$A$5001=Schedule!DX$45)*(Results!$B$2:$B$5001=Schedule!$A48)*(Results!$D$2:$D$5001))</f>
        <v>0</v>
      </c>
      <c r="DY48" s="6">
        <f>SUMPRODUCT((Results!$A$2:$A$5001=Schedule!DY$45)*(Results!$B$2:$B$5001=Schedule!$A48)*(Results!$D$2:$D$5001))</f>
        <v>0</v>
      </c>
      <c r="DZ48" s="6">
        <f>SUMPRODUCT((Results!$A$2:$A$5001=Schedule!DZ$45)*(Results!$B$2:$B$5001=Schedule!$A48)*(Results!$D$2:$D$5001))</f>
        <v>0</v>
      </c>
      <c r="EA48" s="6">
        <f>SUMPRODUCT((Results!$A$2:$A$5001=Schedule!EA$45)*(Results!$B$2:$B$5001=Schedule!$A48)*(Results!$D$2:$D$5001))</f>
        <v>0</v>
      </c>
      <c r="EB48" s="6">
        <f>SUMPRODUCT((Results!$A$2:$A$5001=Schedule!EB$45)*(Results!$B$2:$B$5001=Schedule!$A48)*(Results!$D$2:$D$5001))</f>
        <v>0</v>
      </c>
      <c r="EC48" s="6">
        <f>SUMPRODUCT((Results!$A$2:$A$5001=Schedule!EC$45)*(Results!$B$2:$B$5001=Schedule!$A48)*(Results!$D$2:$D$5001))</f>
        <v>0</v>
      </c>
      <c r="ED48" s="6">
        <f>SUMPRODUCT((Results!$A$2:$A$5001=Schedule!ED$45)*(Results!$B$2:$B$5001=Schedule!$A48)*(Results!$D$2:$D$5001))</f>
        <v>0</v>
      </c>
      <c r="EE48" s="6">
        <f>SUMPRODUCT((Results!$A$2:$A$5001=Schedule!EE$45)*(Results!$B$2:$B$5001=Schedule!$A48)*(Results!$D$2:$D$5001))</f>
        <v>0</v>
      </c>
      <c r="EF48" s="6">
        <f>SUMPRODUCT((Results!$A$2:$A$5001=Schedule!EF$45)*(Results!$B$2:$B$5001=Schedule!$A48)*(Results!$D$2:$D$5001))</f>
        <v>0</v>
      </c>
      <c r="EG48" s="6">
        <f>SUMPRODUCT((Results!$A$2:$A$5001=Schedule!EG$45)*(Results!$B$2:$B$5001=Schedule!$A48)*(Results!$D$2:$D$5001))</f>
        <v>0</v>
      </c>
      <c r="EH48" s="6">
        <f>SUMPRODUCT((Results!$A$2:$A$5001=Schedule!EH$45)*(Results!$B$2:$B$5001=Schedule!$A48)*(Results!$D$2:$D$5001))</f>
        <v>0</v>
      </c>
      <c r="EI48" s="6">
        <f>SUMPRODUCT((Results!$A$2:$A$5001=Schedule!EI$45)*(Results!$B$2:$B$5001=Schedule!$A48)*(Results!$D$2:$D$5001))</f>
        <v>0</v>
      </c>
      <c r="EJ48" s="6">
        <f>SUMPRODUCT((Results!$A$2:$A$5001=Schedule!EJ$45)*(Results!$B$2:$B$5001=Schedule!$A48)*(Results!$D$2:$D$5001))</f>
        <v>0</v>
      </c>
      <c r="EK48" s="6">
        <f>SUMPRODUCT((Results!$A$2:$A$5001=Schedule!EK$45)*(Results!$B$2:$B$5001=Schedule!$A48)*(Results!$D$2:$D$5001))</f>
        <v>0</v>
      </c>
      <c r="EL48" s="6">
        <f>SUMPRODUCT((Results!$A$2:$A$5001=Schedule!EL$45)*(Results!$B$2:$B$5001=Schedule!$A48)*(Results!$D$2:$D$5001))</f>
        <v>0</v>
      </c>
      <c r="EM48" s="6">
        <f>SUMPRODUCT((Results!$A$2:$A$5001=Schedule!EM$45)*(Results!$B$2:$B$5001=Schedule!$A48)*(Results!$D$2:$D$5001))</f>
        <v>0</v>
      </c>
      <c r="EN48" s="6">
        <f>SUMPRODUCT((Results!$A$2:$A$5001=Schedule!EN$45)*(Results!$B$2:$B$5001=Schedule!$A48)*(Results!$D$2:$D$5001))</f>
        <v>0</v>
      </c>
      <c r="EO48" s="6">
        <f>SUMPRODUCT((Results!$A$2:$A$5001=Schedule!EO$45)*(Results!$B$2:$B$5001=Schedule!$A48)*(Results!$D$2:$D$5001))</f>
        <v>0</v>
      </c>
      <c r="EP48" s="6">
        <f>SUMPRODUCT((Results!$A$2:$A$5001=Schedule!EP$45)*(Results!$B$2:$B$5001=Schedule!$A48)*(Results!$D$2:$D$5001))</f>
        <v>0</v>
      </c>
      <c r="EQ48" s="6">
        <f>SUMPRODUCT((Results!$A$2:$A$5001=Schedule!EQ$45)*(Results!$B$2:$B$5001=Schedule!$A48)*(Results!$D$2:$D$5001))</f>
        <v>0</v>
      </c>
      <c r="ER48" s="6">
        <f>SUMPRODUCT((Results!$A$2:$A$5001=Schedule!ER$45)*(Results!$B$2:$B$5001=Schedule!$A48)*(Results!$D$2:$D$5001))</f>
        <v>0</v>
      </c>
      <c r="ES48" s="6">
        <f>SUMPRODUCT((Results!$A$2:$A$5001=Schedule!ES$45)*(Results!$B$2:$B$5001=Schedule!$A48)*(Results!$D$2:$D$5001))</f>
        <v>0</v>
      </c>
      <c r="ET48" s="6">
        <f>SUMPRODUCT((Results!$A$2:$A$5001=Schedule!ET$45)*(Results!$B$2:$B$5001=Schedule!$A48)*(Results!$D$2:$D$5001))</f>
        <v>0</v>
      </c>
      <c r="EU48" s="6">
        <f>SUMPRODUCT((Results!$A$2:$A$5001=Schedule!EU$45)*(Results!$B$2:$B$5001=Schedule!$A48)*(Results!$D$2:$D$5001))</f>
        <v>0</v>
      </c>
      <c r="EV48" s="6">
        <f>SUMPRODUCT((Results!$A$2:$A$5001=Schedule!EV$45)*(Results!$B$2:$B$5001=Schedule!$A48)*(Results!$D$2:$D$5001))</f>
        <v>0</v>
      </c>
      <c r="EW48" s="6">
        <f>SUMPRODUCT((Results!$A$2:$A$5001=Schedule!EW$45)*(Results!$B$2:$B$5001=Schedule!$A48)*(Results!$D$2:$D$5001))</f>
        <v>0</v>
      </c>
      <c r="EX48" s="6">
        <f>SUMPRODUCT((Results!$A$2:$A$5001=Schedule!EX$45)*(Results!$B$2:$B$5001=Schedule!$A48)*(Results!$D$2:$D$5001))</f>
        <v>0</v>
      </c>
      <c r="EY48" s="6">
        <f>SUMPRODUCT((Results!$A$2:$A$5001=Schedule!EY$45)*(Results!$B$2:$B$5001=Schedule!$A48)*(Results!$D$2:$D$5001))</f>
        <v>0</v>
      </c>
      <c r="EZ48" s="6">
        <f>SUMPRODUCT((Results!$A$2:$A$5001=Schedule!EZ$45)*(Results!$B$2:$B$5001=Schedule!$A48)*(Results!$D$2:$D$5001))</f>
        <v>0</v>
      </c>
      <c r="FA48" s="6">
        <f>SUMPRODUCT((Results!$A$2:$A$5001=Schedule!FA$45)*(Results!$B$2:$B$5001=Schedule!$A48)*(Results!$D$2:$D$5001))</f>
        <v>0</v>
      </c>
      <c r="FB48" s="6">
        <f>SUMPRODUCT((Results!$A$2:$A$5001=Schedule!FB$45)*(Results!$B$2:$B$5001=Schedule!$A48)*(Results!$D$2:$D$5001))</f>
        <v>0</v>
      </c>
      <c r="FC48" s="6">
        <f>SUMPRODUCT((Results!$A$2:$A$5001=Schedule!FC$45)*(Results!$B$2:$B$5001=Schedule!$A48)*(Results!$D$2:$D$5001))</f>
        <v>0</v>
      </c>
      <c r="FD48" s="6">
        <f>SUMPRODUCT((Results!$A$2:$A$5001=Schedule!FD$45)*(Results!$B$2:$B$5001=Schedule!$A48)*(Results!$D$2:$D$5001))</f>
        <v>0</v>
      </c>
      <c r="FE48" s="6">
        <f>SUMPRODUCT((Results!$A$2:$A$5001=Schedule!FE$45)*(Results!$B$2:$B$5001=Schedule!$A48)*(Results!$D$2:$D$5001))</f>
        <v>0</v>
      </c>
      <c r="FF48" s="6">
        <f>SUMPRODUCT((Results!$A$2:$A$5001=Schedule!FF$45)*(Results!$B$2:$B$5001=Schedule!$A48)*(Results!$D$2:$D$5001))</f>
        <v>0</v>
      </c>
      <c r="FG48" s="6">
        <f>SUMPRODUCT((Results!$A$2:$A$5001=Schedule!FG$45)*(Results!$B$2:$B$5001=Schedule!$A48)*(Results!$D$2:$D$5001))</f>
        <v>0</v>
      </c>
      <c r="FH48" s="6">
        <f>SUMPRODUCT((Results!$A$2:$A$5001=Schedule!FH$45)*(Results!$B$2:$B$5001=Schedule!$A48)*(Results!$D$2:$D$5001))</f>
        <v>0</v>
      </c>
      <c r="FI48" s="6">
        <f>SUMPRODUCT((Results!$A$2:$A$5001=Schedule!FI$45)*(Results!$B$2:$B$5001=Schedule!$A48)*(Results!$D$2:$D$5001))</f>
        <v>0</v>
      </c>
      <c r="FJ48" s="6">
        <f>SUMPRODUCT((Results!$A$2:$A$5001=Schedule!FJ$45)*(Results!$B$2:$B$5001=Schedule!$A48)*(Results!$D$2:$D$5001))</f>
        <v>0</v>
      </c>
      <c r="FK48" s="6">
        <f>SUMPRODUCT((Results!$A$2:$A$5001=Schedule!FK$45)*(Results!$B$2:$B$5001=Schedule!$A48)*(Results!$D$2:$D$5001))</f>
        <v>0</v>
      </c>
      <c r="FL48" s="6">
        <f>SUMPRODUCT((Results!$A$2:$A$5001=Schedule!FL$45)*(Results!$B$2:$B$5001=Schedule!$A48)*(Results!$D$2:$D$5001))</f>
        <v>0</v>
      </c>
      <c r="FM48" s="6">
        <f>SUMPRODUCT((Results!$A$2:$A$5001=Schedule!FM$45)*(Results!$B$2:$B$5001=Schedule!$A48)*(Results!$D$2:$D$5001))</f>
        <v>0</v>
      </c>
      <c r="FN48" s="6">
        <f>SUMPRODUCT((Results!$A$2:$A$5001=Schedule!FN$45)*(Results!$B$2:$B$5001=Schedule!$A48)*(Results!$D$2:$D$5001))</f>
        <v>0</v>
      </c>
      <c r="FO48" s="6">
        <f>SUMPRODUCT((Results!$A$2:$A$5001=Schedule!FO$45)*(Results!$B$2:$B$5001=Schedule!$A48)*(Results!$D$2:$D$5001))</f>
        <v>0</v>
      </c>
      <c r="FP48" s="6">
        <f>SUMPRODUCT((Results!$A$2:$A$5001=Schedule!FP$45)*(Results!$B$2:$B$5001=Schedule!$A48)*(Results!$D$2:$D$5001))</f>
        <v>0</v>
      </c>
      <c r="FQ48" s="6">
        <f>SUMPRODUCT((Results!$A$2:$A$5001=Schedule!FQ$45)*(Results!$B$2:$B$5001=Schedule!$A48)*(Results!$D$2:$D$5001))</f>
        <v>0</v>
      </c>
      <c r="FR48" s="6">
        <f>SUMPRODUCT((Results!$A$2:$A$5001=Schedule!FR$45)*(Results!$B$2:$B$5001=Schedule!$A48)*(Results!$D$2:$D$5001))</f>
        <v>0</v>
      </c>
      <c r="FS48" s="6">
        <f>SUMPRODUCT((Results!$A$2:$A$5001=Schedule!FS$45)*(Results!$B$2:$B$5001=Schedule!$A48)*(Results!$D$2:$D$5001))</f>
        <v>0</v>
      </c>
      <c r="FT48" s="6">
        <f>SUMPRODUCT((Results!$A$2:$A$5001=Schedule!FT$45)*(Results!$B$2:$B$5001=Schedule!$A48)*(Results!$D$2:$D$5001))</f>
        <v>0</v>
      </c>
      <c r="FU48" s="6">
        <f>SUMPRODUCT((Results!$A$2:$A$5001=Schedule!FU$45)*(Results!$B$2:$B$5001=Schedule!$A48)*(Results!$D$2:$D$5001))</f>
        <v>0</v>
      </c>
      <c r="FV48" s="6">
        <f>SUMPRODUCT((Results!$A$2:$A$5001=Schedule!FV$45)*(Results!$B$2:$B$5001=Schedule!$A48)*(Results!$D$2:$D$5001))</f>
        <v>0</v>
      </c>
      <c r="FW48" s="6">
        <f>SUMPRODUCT((Results!$A$2:$A$5001=Schedule!FW$45)*(Results!$B$2:$B$5001=Schedule!$A48)*(Results!$D$2:$D$5001))</f>
        <v>0</v>
      </c>
      <c r="FX48" s="6">
        <f>SUMPRODUCT((Results!$A$2:$A$5001=Schedule!FX$45)*(Results!$B$2:$B$5001=Schedule!$A48)*(Results!$D$2:$D$5001))</f>
        <v>0</v>
      </c>
      <c r="FY48" s="6">
        <f>SUMPRODUCT((Results!$A$2:$A$5001=Schedule!FY$45)*(Results!$B$2:$B$5001=Schedule!$A48)*(Results!$D$2:$D$5001))</f>
        <v>0</v>
      </c>
      <c r="FZ48" s="6">
        <f>SUMPRODUCT((Results!$A$2:$A$5001=Schedule!FZ$45)*(Results!$B$2:$B$5001=Schedule!$A48)*(Results!$D$2:$D$5001))</f>
        <v>0</v>
      </c>
      <c r="GA48" s="6">
        <f>SUMPRODUCT((Results!$A$2:$A$5001=Schedule!GA$45)*(Results!$B$2:$B$5001=Schedule!$A48)*(Results!$D$2:$D$5001))</f>
        <v>0</v>
      </c>
      <c r="GB48" s="6">
        <f>SUMPRODUCT((Results!$A$2:$A$5001=Schedule!GB$45)*(Results!$B$2:$B$5001=Schedule!$A48)*(Results!$D$2:$D$5001))</f>
        <v>0</v>
      </c>
      <c r="GC48" s="6">
        <f>SUMPRODUCT((Results!$A$2:$A$5001=Schedule!GC$45)*(Results!$B$2:$B$5001=Schedule!$A48)*(Results!$D$2:$D$5001))</f>
        <v>0</v>
      </c>
      <c r="GD48" s="6">
        <f>SUMPRODUCT((Results!$A$2:$A$5001=Schedule!GD$45)*(Results!$B$2:$B$5001=Schedule!$A48)*(Results!$D$2:$D$5001))</f>
        <v>0</v>
      </c>
      <c r="GE48" s="6">
        <f>SUMPRODUCT((Results!$A$2:$A$5001=Schedule!GE$45)*(Results!$B$2:$B$5001=Schedule!$A48)*(Results!$D$2:$D$5001))</f>
        <v>0</v>
      </c>
      <c r="GF48" s="6">
        <f>SUMPRODUCT((Results!$A$2:$A$5001=Schedule!GF$45)*(Results!$B$2:$B$5001=Schedule!$A48)*(Results!$D$2:$D$5001))</f>
        <v>0</v>
      </c>
      <c r="GG48" s="6">
        <f>SUMPRODUCT((Results!$A$2:$A$5001=Schedule!GG$45)*(Results!$B$2:$B$5001=Schedule!$A48)*(Results!$D$2:$D$5001))</f>
        <v>0</v>
      </c>
      <c r="GH48" s="6">
        <f>SUMPRODUCT((Results!$A$2:$A$5001=Schedule!GH$45)*(Results!$B$2:$B$5001=Schedule!$A48)*(Results!$D$2:$D$5001))</f>
        <v>0</v>
      </c>
      <c r="GI48" s="6">
        <f>SUMPRODUCT((Results!$A$2:$A$5001=Schedule!GI$45)*(Results!$B$2:$B$5001=Schedule!$A48)*(Results!$D$2:$D$5001))</f>
        <v>0</v>
      </c>
      <c r="GJ48" s="6">
        <f>SUMPRODUCT((Results!$A$2:$A$5001=Schedule!GJ$45)*(Results!$B$2:$B$5001=Schedule!$A48)*(Results!$D$2:$D$5001))</f>
        <v>0</v>
      </c>
      <c r="GK48" s="6">
        <f>SUMPRODUCT((Results!$A$2:$A$5001=Schedule!GK$45)*(Results!$B$2:$B$5001=Schedule!$A48)*(Results!$D$2:$D$5001))</f>
        <v>0</v>
      </c>
      <c r="GL48" s="6">
        <f>SUMPRODUCT((Results!$A$2:$A$5001=Schedule!GL$45)*(Results!$B$2:$B$5001=Schedule!$A48)*(Results!$D$2:$D$5001))</f>
        <v>0</v>
      </c>
      <c r="GM48" s="6">
        <f>SUMPRODUCT((Results!$A$2:$A$5001=Schedule!GM$45)*(Results!$B$2:$B$5001=Schedule!$A48)*(Results!$D$2:$D$5001))</f>
        <v>0</v>
      </c>
      <c r="GN48" s="6">
        <f>SUMPRODUCT((Results!$A$2:$A$5001=Schedule!GN$45)*(Results!$B$2:$B$5001=Schedule!$A48)*(Results!$D$2:$D$5001))</f>
        <v>0</v>
      </c>
      <c r="GO48" s="6">
        <f>SUMPRODUCT((Results!$A$2:$A$5001=Schedule!GO$45)*(Results!$B$2:$B$5001=Schedule!$A48)*(Results!$D$2:$D$5001))</f>
        <v>0</v>
      </c>
      <c r="GP48" s="6">
        <f>SUMPRODUCT((Results!$A$2:$A$5001=Schedule!GP$45)*(Results!$B$2:$B$5001=Schedule!$A48)*(Results!$D$2:$D$5001))</f>
        <v>0</v>
      </c>
      <c r="GQ48" s="6">
        <f>SUMPRODUCT((Results!$A$2:$A$5001=Schedule!GQ$45)*(Results!$B$2:$B$5001=Schedule!$A48)*(Results!$D$2:$D$5001))</f>
        <v>0</v>
      </c>
      <c r="GR48" s="6">
        <f>SUMPRODUCT((Results!$A$2:$A$5001=Schedule!GR$45)*(Results!$B$2:$B$5001=Schedule!$A48)*(Results!$D$2:$D$5001))</f>
        <v>0</v>
      </c>
      <c r="GS48" s="6">
        <f>SUMPRODUCT((Results!$A$2:$A$5001=Schedule!GS$45)*(Results!$B$2:$B$5001=Schedule!$A48)*(Results!$D$2:$D$5001))</f>
        <v>0</v>
      </c>
      <c r="GT48" s="6">
        <f>SUMPRODUCT((Results!$A$2:$A$5001=Schedule!GT$45)*(Results!$B$2:$B$5001=Schedule!$A48)*(Results!$D$2:$D$5001))</f>
        <v>0</v>
      </c>
      <c r="GU48" s="6">
        <f>SUMPRODUCT((Results!$A$2:$A$5001=Schedule!GU$45)*(Results!$B$2:$B$5001=Schedule!$A48)*(Results!$D$2:$D$5001))</f>
        <v>0</v>
      </c>
    </row>
    <row r="49" spans="1:203" ht="13.5" customHeight="1" x14ac:dyDescent="0.2">
      <c r="A49" s="40">
        <v>4</v>
      </c>
      <c r="B49" s="6">
        <f t="shared" si="17"/>
        <v>48.244799999999998</v>
      </c>
      <c r="C49" s="6">
        <f>SUMPRODUCT((Results!$A$2:$A$5001=Schedule!C$45)*(Results!$B$2:$B$5001=Schedule!$A49)*(Results!$D$2:$D$5001))</f>
        <v>0</v>
      </c>
      <c r="D49" s="6">
        <f>SUMPRODUCT((Results!$A$2:$A$5001=Schedule!D$45)*(Results!$B$2:$B$5001=Schedule!$A49)*(Results!$D$2:$D$5001))</f>
        <v>0</v>
      </c>
      <c r="E49" s="6">
        <f>SUMPRODUCT((Results!$A$2:$A$5001=Schedule!E$45)*(Results!$B$2:$B$5001=Schedule!$A49)*(Results!$D$2:$D$5001))</f>
        <v>34.622</v>
      </c>
      <c r="F49" s="6">
        <f>SUMPRODUCT((Results!$A$2:$A$5001=Schedule!F$45)*(Results!$B$2:$B$5001=Schedule!$A49)*(Results!$D$2:$D$5001))</f>
        <v>13.5199</v>
      </c>
      <c r="G49" s="6">
        <f>SUMPRODUCT((Results!$A$2:$A$5001=Schedule!G$45)*(Results!$B$2:$B$5001=Schedule!$A49)*(Results!$D$2:$D$5001))</f>
        <v>0.10289999999999999</v>
      </c>
      <c r="H49" s="6">
        <f>SUMPRODUCT((Results!$A$2:$A$5001=Schedule!H$45)*(Results!$B$2:$B$5001=Schedule!$A49)*(Results!$D$2:$D$5001))</f>
        <v>0</v>
      </c>
      <c r="I49" s="6">
        <f>SUMPRODUCT((Results!$A$2:$A$5001=Schedule!I$45)*(Results!$B$2:$B$5001=Schedule!$A49)*(Results!$D$2:$D$5001))</f>
        <v>0</v>
      </c>
      <c r="J49" s="6">
        <f>SUMPRODUCT((Results!$A$2:$A$5001=Schedule!J$45)*(Results!$B$2:$B$5001=Schedule!$A49)*(Results!$D$2:$D$5001))</f>
        <v>0</v>
      </c>
      <c r="K49" s="6">
        <f>SUMPRODUCT((Results!$A$2:$A$5001=Schedule!K$45)*(Results!$B$2:$B$5001=Schedule!$A49)*(Results!$D$2:$D$5001))</f>
        <v>0</v>
      </c>
      <c r="L49" s="6">
        <f>SUMPRODUCT((Results!$A$2:$A$5001=Schedule!L$45)*(Results!$B$2:$B$5001=Schedule!$A49)*(Results!$D$2:$D$5001))</f>
        <v>0</v>
      </c>
      <c r="M49" s="6">
        <f>SUMPRODUCT((Results!$A$2:$A$5001=Schedule!M$45)*(Results!$B$2:$B$5001=Schedule!$A49)*(Results!$D$2:$D$5001))</f>
        <v>0</v>
      </c>
      <c r="N49" s="6">
        <f>SUMPRODUCT((Results!$A$2:$A$5001=Schedule!N$45)*(Results!$B$2:$B$5001=Schedule!$A49)*(Results!$D$2:$D$5001))</f>
        <v>0</v>
      </c>
      <c r="O49" s="6">
        <f>SUMPRODUCT((Results!$A$2:$A$5001=Schedule!O$45)*(Results!$B$2:$B$5001=Schedule!$A49)*(Results!$D$2:$D$5001))</f>
        <v>0</v>
      </c>
      <c r="P49" s="6">
        <f>SUMPRODUCT((Results!$A$2:$A$5001=Schedule!P$45)*(Results!$B$2:$B$5001=Schedule!$A49)*(Results!$D$2:$D$5001))</f>
        <v>0</v>
      </c>
      <c r="Q49" s="6">
        <f>SUMPRODUCT((Results!$A$2:$A$5001=Schedule!Q$45)*(Results!$B$2:$B$5001=Schedule!$A49)*(Results!$D$2:$D$5001))</f>
        <v>0</v>
      </c>
      <c r="R49" s="6">
        <f>SUMPRODUCT((Results!$A$2:$A$5001=Schedule!R$45)*(Results!$B$2:$B$5001=Schedule!$A49)*(Results!$D$2:$D$5001))</f>
        <v>0</v>
      </c>
      <c r="S49" s="6">
        <f>SUMPRODUCT((Results!$A$2:$A$5001=Schedule!S$45)*(Results!$B$2:$B$5001=Schedule!$A49)*(Results!$D$2:$D$5001))</f>
        <v>0</v>
      </c>
      <c r="T49" s="6">
        <f>SUMPRODUCT((Results!$A$2:$A$5001=Schedule!T$45)*(Results!$B$2:$B$5001=Schedule!$A49)*(Results!$D$2:$D$5001))</f>
        <v>0</v>
      </c>
      <c r="U49" s="6">
        <f>SUMPRODUCT((Results!$A$2:$A$5001=Schedule!U$45)*(Results!$B$2:$B$5001=Schedule!$A49)*(Results!$D$2:$D$5001))</f>
        <v>0</v>
      </c>
      <c r="V49" s="6">
        <f>SUMPRODUCT((Results!$A$2:$A$5001=Schedule!V$45)*(Results!$B$2:$B$5001=Schedule!$A49)*(Results!$D$2:$D$5001))</f>
        <v>0</v>
      </c>
      <c r="W49" s="6">
        <f>SUMPRODUCT((Results!$A$2:$A$5001=Schedule!W$45)*(Results!$B$2:$B$5001=Schedule!$A49)*(Results!$D$2:$D$5001))</f>
        <v>0</v>
      </c>
      <c r="X49" s="6">
        <f>SUMPRODUCT((Results!$A$2:$A$5001=Schedule!X$45)*(Results!$B$2:$B$5001=Schedule!$A49)*(Results!$D$2:$D$5001))</f>
        <v>0</v>
      </c>
      <c r="Y49" s="6">
        <f>SUMPRODUCT((Results!$A$2:$A$5001=Schedule!Y$45)*(Results!$B$2:$B$5001=Schedule!$A49)*(Results!$D$2:$D$5001))</f>
        <v>0</v>
      </c>
      <c r="Z49" s="6">
        <f>SUMPRODUCT((Results!$A$2:$A$5001=Schedule!Z$45)*(Results!$B$2:$B$5001=Schedule!$A49)*(Results!$D$2:$D$5001))</f>
        <v>0</v>
      </c>
      <c r="AA49" s="6">
        <f>SUMPRODUCT((Results!$A$2:$A$5001=Schedule!AA$45)*(Results!$B$2:$B$5001=Schedule!$A49)*(Results!$D$2:$D$5001))</f>
        <v>0</v>
      </c>
      <c r="AB49" s="6">
        <f>SUMPRODUCT((Results!$A$2:$A$5001=Schedule!AB$45)*(Results!$B$2:$B$5001=Schedule!$A49)*(Results!$D$2:$D$5001))</f>
        <v>0</v>
      </c>
      <c r="AC49" s="6">
        <f>SUMPRODUCT((Results!$A$2:$A$5001=Schedule!AC$45)*(Results!$B$2:$B$5001=Schedule!$A49)*(Results!$D$2:$D$5001))</f>
        <v>0</v>
      </c>
      <c r="AD49" s="6">
        <f>SUMPRODUCT((Results!$A$2:$A$5001=Schedule!AD$45)*(Results!$B$2:$B$5001=Schedule!$A49)*(Results!$D$2:$D$5001))</f>
        <v>0</v>
      </c>
      <c r="AE49" s="6">
        <f>SUMPRODUCT((Results!$A$2:$A$5001=Schedule!AE$45)*(Results!$B$2:$B$5001=Schedule!$A49)*(Results!$D$2:$D$5001))</f>
        <v>0</v>
      </c>
      <c r="AF49" s="6">
        <f>SUMPRODUCT((Results!$A$2:$A$5001=Schedule!AF$45)*(Results!$B$2:$B$5001=Schedule!$A49)*(Results!$D$2:$D$5001))</f>
        <v>0</v>
      </c>
      <c r="AG49" s="6">
        <f>SUMPRODUCT((Results!$A$2:$A$5001=Schedule!AG$45)*(Results!$B$2:$B$5001=Schedule!$A49)*(Results!$D$2:$D$5001))</f>
        <v>0</v>
      </c>
      <c r="AH49" s="6">
        <f>SUMPRODUCT((Results!$A$2:$A$5001=Schedule!AH$45)*(Results!$B$2:$B$5001=Schedule!$A49)*(Results!$D$2:$D$5001))</f>
        <v>0</v>
      </c>
      <c r="AI49" s="6">
        <f>SUMPRODUCT((Results!$A$2:$A$5001=Schedule!AI$45)*(Results!$B$2:$B$5001=Schedule!$A49)*(Results!$D$2:$D$5001))</f>
        <v>0</v>
      </c>
      <c r="AJ49" s="6">
        <f>SUMPRODUCT((Results!$A$2:$A$5001=Schedule!AJ$45)*(Results!$B$2:$B$5001=Schedule!$A49)*(Results!$D$2:$D$5001))</f>
        <v>0</v>
      </c>
      <c r="AK49" s="6">
        <f>SUMPRODUCT((Results!$A$2:$A$5001=Schedule!AK$45)*(Results!$B$2:$B$5001=Schedule!$A49)*(Results!$D$2:$D$5001))</f>
        <v>0</v>
      </c>
      <c r="AL49" s="6">
        <f>SUMPRODUCT((Results!$A$2:$A$5001=Schedule!AL$45)*(Results!$B$2:$B$5001=Schedule!$A49)*(Results!$D$2:$D$5001))</f>
        <v>0</v>
      </c>
      <c r="AM49" s="6">
        <f>SUMPRODUCT((Results!$A$2:$A$5001=Schedule!AM$45)*(Results!$B$2:$B$5001=Schedule!$A49)*(Results!$D$2:$D$5001))</f>
        <v>0</v>
      </c>
      <c r="AN49" s="6">
        <f>SUMPRODUCT((Results!$A$2:$A$5001=Schedule!AN$45)*(Results!$B$2:$B$5001=Schedule!$A49)*(Results!$D$2:$D$5001))</f>
        <v>0</v>
      </c>
      <c r="AO49" s="6">
        <f>SUMPRODUCT((Results!$A$2:$A$5001=Schedule!AO$45)*(Results!$B$2:$B$5001=Schedule!$A49)*(Results!$D$2:$D$5001))</f>
        <v>0</v>
      </c>
      <c r="AP49" s="6">
        <f>SUMPRODUCT((Results!$A$2:$A$5001=Schedule!AP$45)*(Results!$B$2:$B$5001=Schedule!$A49)*(Results!$D$2:$D$5001))</f>
        <v>0</v>
      </c>
      <c r="AQ49" s="6">
        <f>SUMPRODUCT((Results!$A$2:$A$5001=Schedule!AQ$45)*(Results!$B$2:$B$5001=Schedule!$A49)*(Results!$D$2:$D$5001))</f>
        <v>0</v>
      </c>
      <c r="AR49" s="6">
        <f>SUMPRODUCT((Results!$A$2:$A$5001=Schedule!AR$45)*(Results!$B$2:$B$5001=Schedule!$A49)*(Results!$D$2:$D$5001))</f>
        <v>0</v>
      </c>
      <c r="AS49" s="6">
        <f>SUMPRODUCT((Results!$A$2:$A$5001=Schedule!AS$45)*(Results!$B$2:$B$5001=Schedule!$A49)*(Results!$D$2:$D$5001))</f>
        <v>0</v>
      </c>
      <c r="AT49" s="6">
        <f>SUMPRODUCT((Results!$A$2:$A$5001=Schedule!AT$45)*(Results!$B$2:$B$5001=Schedule!$A49)*(Results!$D$2:$D$5001))</f>
        <v>0</v>
      </c>
      <c r="AU49" s="6">
        <f>SUMPRODUCT((Results!$A$2:$A$5001=Schedule!AU$45)*(Results!$B$2:$B$5001=Schedule!$A49)*(Results!$D$2:$D$5001))</f>
        <v>0</v>
      </c>
      <c r="AV49" s="6">
        <f>SUMPRODUCT((Results!$A$2:$A$5001=Schedule!AV$45)*(Results!$B$2:$B$5001=Schedule!$A49)*(Results!$D$2:$D$5001))</f>
        <v>0</v>
      </c>
      <c r="AW49" s="6">
        <f>SUMPRODUCT((Results!$A$2:$A$5001=Schedule!AW$45)*(Results!$B$2:$B$5001=Schedule!$A49)*(Results!$D$2:$D$5001))</f>
        <v>0</v>
      </c>
      <c r="AX49" s="6">
        <f>SUMPRODUCT((Results!$A$2:$A$5001=Schedule!AX$45)*(Results!$B$2:$B$5001=Schedule!$A49)*(Results!$D$2:$D$5001))</f>
        <v>0</v>
      </c>
      <c r="AY49" s="6">
        <f>SUMPRODUCT((Results!$A$2:$A$5001=Schedule!AY$45)*(Results!$B$2:$B$5001=Schedule!$A49)*(Results!$D$2:$D$5001))</f>
        <v>0</v>
      </c>
      <c r="AZ49" s="6">
        <f>SUMPRODUCT((Results!$A$2:$A$5001=Schedule!AZ$45)*(Results!$B$2:$B$5001=Schedule!$A49)*(Results!$D$2:$D$5001))</f>
        <v>0</v>
      </c>
      <c r="BA49" s="6">
        <f>SUMPRODUCT((Results!$A$2:$A$5001=Schedule!BA$45)*(Results!$B$2:$B$5001=Schedule!$A49)*(Results!$D$2:$D$5001))</f>
        <v>0</v>
      </c>
      <c r="BB49" s="6">
        <f>SUMPRODUCT((Results!$A$2:$A$5001=Schedule!BB$45)*(Results!$B$2:$B$5001=Schedule!$A49)*(Results!$D$2:$D$5001))</f>
        <v>0</v>
      </c>
      <c r="BC49" s="6">
        <f>SUMPRODUCT((Results!$A$2:$A$5001=Schedule!BC$45)*(Results!$B$2:$B$5001=Schedule!$A49)*(Results!$D$2:$D$5001))</f>
        <v>0</v>
      </c>
      <c r="BD49" s="6">
        <f>SUMPRODUCT((Results!$A$2:$A$5001=Schedule!BD$45)*(Results!$B$2:$B$5001=Schedule!$A49)*(Results!$D$2:$D$5001))</f>
        <v>0</v>
      </c>
      <c r="BE49" s="6">
        <f>SUMPRODUCT((Results!$A$2:$A$5001=Schedule!BE$45)*(Results!$B$2:$B$5001=Schedule!$A49)*(Results!$D$2:$D$5001))</f>
        <v>0</v>
      </c>
      <c r="BF49" s="6">
        <f>SUMPRODUCT((Results!$A$2:$A$5001=Schedule!BF$45)*(Results!$B$2:$B$5001=Schedule!$A49)*(Results!$D$2:$D$5001))</f>
        <v>0</v>
      </c>
      <c r="BG49" s="6">
        <f>SUMPRODUCT((Results!$A$2:$A$5001=Schedule!BG$45)*(Results!$B$2:$B$5001=Schedule!$A49)*(Results!$D$2:$D$5001))</f>
        <v>0</v>
      </c>
      <c r="BH49" s="6">
        <f>SUMPRODUCT((Results!$A$2:$A$5001=Schedule!BH$45)*(Results!$B$2:$B$5001=Schedule!$A49)*(Results!$D$2:$D$5001))</f>
        <v>0</v>
      </c>
      <c r="BI49" s="6">
        <f>SUMPRODUCT((Results!$A$2:$A$5001=Schedule!BI$45)*(Results!$B$2:$B$5001=Schedule!$A49)*(Results!$D$2:$D$5001))</f>
        <v>0</v>
      </c>
      <c r="BJ49" s="6">
        <f>SUMPRODUCT((Results!$A$2:$A$5001=Schedule!BJ$45)*(Results!$B$2:$B$5001=Schedule!$A49)*(Results!$D$2:$D$5001))</f>
        <v>0</v>
      </c>
      <c r="BK49" s="6">
        <f>SUMPRODUCT((Results!$A$2:$A$5001=Schedule!BK$45)*(Results!$B$2:$B$5001=Schedule!$A49)*(Results!$D$2:$D$5001))</f>
        <v>0</v>
      </c>
      <c r="BL49" s="6">
        <f>SUMPRODUCT((Results!$A$2:$A$5001=Schedule!BL$45)*(Results!$B$2:$B$5001=Schedule!$A49)*(Results!$D$2:$D$5001))</f>
        <v>0</v>
      </c>
      <c r="BM49" s="6">
        <f>SUMPRODUCT((Results!$A$2:$A$5001=Schedule!BM$45)*(Results!$B$2:$B$5001=Schedule!$A49)*(Results!$D$2:$D$5001))</f>
        <v>0</v>
      </c>
      <c r="BN49" s="6">
        <f>SUMPRODUCT((Results!$A$2:$A$5001=Schedule!BN$45)*(Results!$B$2:$B$5001=Schedule!$A49)*(Results!$D$2:$D$5001))</f>
        <v>0</v>
      </c>
      <c r="BO49" s="6">
        <f>SUMPRODUCT((Results!$A$2:$A$5001=Schedule!BO$45)*(Results!$B$2:$B$5001=Schedule!$A49)*(Results!$D$2:$D$5001))</f>
        <v>0</v>
      </c>
      <c r="BP49" s="6">
        <f>SUMPRODUCT((Results!$A$2:$A$5001=Schedule!BP$45)*(Results!$B$2:$B$5001=Schedule!$A49)*(Results!$D$2:$D$5001))</f>
        <v>0</v>
      </c>
      <c r="BQ49" s="6">
        <f>SUMPRODUCT((Results!$A$2:$A$5001=Schedule!BQ$45)*(Results!$B$2:$B$5001=Schedule!$A49)*(Results!$D$2:$D$5001))</f>
        <v>0</v>
      </c>
      <c r="BR49" s="6">
        <f>SUMPRODUCT((Results!$A$2:$A$5001=Schedule!BR$45)*(Results!$B$2:$B$5001=Schedule!$A49)*(Results!$D$2:$D$5001))</f>
        <v>0</v>
      </c>
      <c r="BS49" s="6">
        <f>SUMPRODUCT((Results!$A$2:$A$5001=Schedule!BS$45)*(Results!$B$2:$B$5001=Schedule!$A49)*(Results!$D$2:$D$5001))</f>
        <v>0</v>
      </c>
      <c r="BT49" s="6">
        <f>SUMPRODUCT((Results!$A$2:$A$5001=Schedule!BT$45)*(Results!$B$2:$B$5001=Schedule!$A49)*(Results!$D$2:$D$5001))</f>
        <v>0</v>
      </c>
      <c r="BU49" s="6">
        <f>SUMPRODUCT((Results!$A$2:$A$5001=Schedule!BU$45)*(Results!$B$2:$B$5001=Schedule!$A49)*(Results!$D$2:$D$5001))</f>
        <v>0</v>
      </c>
      <c r="BV49" s="6">
        <f>SUMPRODUCT((Results!$A$2:$A$5001=Schedule!BV$45)*(Results!$B$2:$B$5001=Schedule!$A49)*(Results!$D$2:$D$5001))</f>
        <v>0</v>
      </c>
      <c r="BW49" s="6">
        <f>SUMPRODUCT((Results!$A$2:$A$5001=Schedule!BW$45)*(Results!$B$2:$B$5001=Schedule!$A49)*(Results!$D$2:$D$5001))</f>
        <v>0</v>
      </c>
      <c r="BX49" s="6">
        <f>SUMPRODUCT((Results!$A$2:$A$5001=Schedule!BX$45)*(Results!$B$2:$B$5001=Schedule!$A49)*(Results!$D$2:$D$5001))</f>
        <v>0</v>
      </c>
      <c r="BY49" s="6">
        <f>SUMPRODUCT((Results!$A$2:$A$5001=Schedule!BY$45)*(Results!$B$2:$B$5001=Schedule!$A49)*(Results!$D$2:$D$5001))</f>
        <v>0</v>
      </c>
      <c r="BZ49" s="6">
        <f>SUMPRODUCT((Results!$A$2:$A$5001=Schedule!BZ$45)*(Results!$B$2:$B$5001=Schedule!$A49)*(Results!$D$2:$D$5001))</f>
        <v>0</v>
      </c>
      <c r="CA49" s="6">
        <f>SUMPRODUCT((Results!$A$2:$A$5001=Schedule!CA$45)*(Results!$B$2:$B$5001=Schedule!$A49)*(Results!$D$2:$D$5001))</f>
        <v>0</v>
      </c>
      <c r="CB49" s="6">
        <f>SUMPRODUCT((Results!$A$2:$A$5001=Schedule!CB$45)*(Results!$B$2:$B$5001=Schedule!$A49)*(Results!$D$2:$D$5001))</f>
        <v>0</v>
      </c>
      <c r="CC49" s="6">
        <f>SUMPRODUCT((Results!$A$2:$A$5001=Schedule!CC$45)*(Results!$B$2:$B$5001=Schedule!$A49)*(Results!$D$2:$D$5001))</f>
        <v>0</v>
      </c>
      <c r="CD49" s="6">
        <f>SUMPRODUCT((Results!$A$2:$A$5001=Schedule!CD$45)*(Results!$B$2:$B$5001=Schedule!$A49)*(Results!$D$2:$D$5001))</f>
        <v>0</v>
      </c>
      <c r="CE49" s="6">
        <f>SUMPRODUCT((Results!$A$2:$A$5001=Schedule!CE$45)*(Results!$B$2:$B$5001=Schedule!$A49)*(Results!$D$2:$D$5001))</f>
        <v>0</v>
      </c>
      <c r="CF49" s="6">
        <f>SUMPRODUCT((Results!$A$2:$A$5001=Schedule!CF$45)*(Results!$B$2:$B$5001=Schedule!$A49)*(Results!$D$2:$D$5001))</f>
        <v>0</v>
      </c>
      <c r="CG49" s="6">
        <f>SUMPRODUCT((Results!$A$2:$A$5001=Schedule!CG$45)*(Results!$B$2:$B$5001=Schedule!$A49)*(Results!$D$2:$D$5001))</f>
        <v>0</v>
      </c>
      <c r="CH49" s="6">
        <f>SUMPRODUCT((Results!$A$2:$A$5001=Schedule!CH$45)*(Results!$B$2:$B$5001=Schedule!$A49)*(Results!$D$2:$D$5001))</f>
        <v>0</v>
      </c>
      <c r="CI49" s="6">
        <f>SUMPRODUCT((Results!$A$2:$A$5001=Schedule!CI$45)*(Results!$B$2:$B$5001=Schedule!$A49)*(Results!$D$2:$D$5001))</f>
        <v>0</v>
      </c>
      <c r="CJ49" s="6">
        <f>SUMPRODUCT((Results!$A$2:$A$5001=Schedule!CJ$45)*(Results!$B$2:$B$5001=Schedule!$A49)*(Results!$D$2:$D$5001))</f>
        <v>0</v>
      </c>
      <c r="CK49" s="6">
        <f>SUMPRODUCT((Results!$A$2:$A$5001=Schedule!CK$45)*(Results!$B$2:$B$5001=Schedule!$A49)*(Results!$D$2:$D$5001))</f>
        <v>0</v>
      </c>
      <c r="CL49" s="6">
        <f>SUMPRODUCT((Results!$A$2:$A$5001=Schedule!CL$45)*(Results!$B$2:$B$5001=Schedule!$A49)*(Results!$D$2:$D$5001))</f>
        <v>0</v>
      </c>
      <c r="CM49" s="6">
        <f>SUMPRODUCT((Results!$A$2:$A$5001=Schedule!CM$45)*(Results!$B$2:$B$5001=Schedule!$A49)*(Results!$D$2:$D$5001))</f>
        <v>0</v>
      </c>
      <c r="CN49" s="6">
        <f>SUMPRODUCT((Results!$A$2:$A$5001=Schedule!CN$45)*(Results!$B$2:$B$5001=Schedule!$A49)*(Results!$D$2:$D$5001))</f>
        <v>0</v>
      </c>
      <c r="CO49" s="6">
        <f>SUMPRODUCT((Results!$A$2:$A$5001=Schedule!CO$45)*(Results!$B$2:$B$5001=Schedule!$A49)*(Results!$D$2:$D$5001))</f>
        <v>0</v>
      </c>
      <c r="CP49" s="6">
        <f>SUMPRODUCT((Results!$A$2:$A$5001=Schedule!CP$45)*(Results!$B$2:$B$5001=Schedule!$A49)*(Results!$D$2:$D$5001))</f>
        <v>0</v>
      </c>
      <c r="CQ49" s="6">
        <f>SUMPRODUCT((Results!$A$2:$A$5001=Schedule!CQ$45)*(Results!$B$2:$B$5001=Schedule!$A49)*(Results!$D$2:$D$5001))</f>
        <v>0</v>
      </c>
      <c r="CR49" s="6">
        <f>SUMPRODUCT((Results!$A$2:$A$5001=Schedule!CR$45)*(Results!$B$2:$B$5001=Schedule!$A49)*(Results!$D$2:$D$5001))</f>
        <v>0</v>
      </c>
      <c r="CS49" s="6">
        <f>SUMPRODUCT((Results!$A$2:$A$5001=Schedule!CS$45)*(Results!$B$2:$B$5001=Schedule!$A49)*(Results!$D$2:$D$5001))</f>
        <v>0</v>
      </c>
      <c r="CT49" s="6">
        <f>SUMPRODUCT((Results!$A$2:$A$5001=Schedule!CT$45)*(Results!$B$2:$B$5001=Schedule!$A49)*(Results!$D$2:$D$5001))</f>
        <v>0</v>
      </c>
      <c r="CU49" s="6">
        <f>SUMPRODUCT((Results!$A$2:$A$5001=Schedule!CU$45)*(Results!$B$2:$B$5001=Schedule!$A49)*(Results!$D$2:$D$5001))</f>
        <v>0</v>
      </c>
      <c r="CV49" s="6">
        <f>SUMPRODUCT((Results!$A$2:$A$5001=Schedule!CV$45)*(Results!$B$2:$B$5001=Schedule!$A49)*(Results!$D$2:$D$5001))</f>
        <v>0</v>
      </c>
      <c r="CW49" s="6">
        <f>SUMPRODUCT((Results!$A$2:$A$5001=Schedule!CW$45)*(Results!$B$2:$B$5001=Schedule!$A49)*(Results!$D$2:$D$5001))</f>
        <v>0</v>
      </c>
      <c r="CX49" s="6">
        <f>SUMPRODUCT((Results!$A$2:$A$5001=Schedule!CX$45)*(Results!$B$2:$B$5001=Schedule!$A49)*(Results!$D$2:$D$5001))</f>
        <v>0</v>
      </c>
      <c r="CY49" s="6">
        <f>SUMPRODUCT((Results!$A$2:$A$5001=Schedule!CY$45)*(Results!$B$2:$B$5001=Schedule!$A49)*(Results!$D$2:$D$5001))</f>
        <v>0</v>
      </c>
      <c r="CZ49" s="6">
        <f>SUMPRODUCT((Results!$A$2:$A$5001=Schedule!CZ$45)*(Results!$B$2:$B$5001=Schedule!$A49)*(Results!$D$2:$D$5001))</f>
        <v>0</v>
      </c>
      <c r="DA49" s="6">
        <f>SUMPRODUCT((Results!$A$2:$A$5001=Schedule!DA$45)*(Results!$B$2:$B$5001=Schedule!$A49)*(Results!$D$2:$D$5001))</f>
        <v>0</v>
      </c>
      <c r="DB49" s="6">
        <f>SUMPRODUCT((Results!$A$2:$A$5001=Schedule!DB$45)*(Results!$B$2:$B$5001=Schedule!$A49)*(Results!$D$2:$D$5001))</f>
        <v>0</v>
      </c>
      <c r="DC49" s="6">
        <f>SUMPRODUCT((Results!$A$2:$A$5001=Schedule!DC$45)*(Results!$B$2:$B$5001=Schedule!$A49)*(Results!$D$2:$D$5001))</f>
        <v>0</v>
      </c>
      <c r="DD49" s="6">
        <f>SUMPRODUCT((Results!$A$2:$A$5001=Schedule!DD$45)*(Results!$B$2:$B$5001=Schedule!$A49)*(Results!$D$2:$D$5001))</f>
        <v>0</v>
      </c>
      <c r="DE49" s="6">
        <f>SUMPRODUCT((Results!$A$2:$A$5001=Schedule!DE$45)*(Results!$B$2:$B$5001=Schedule!$A49)*(Results!$D$2:$D$5001))</f>
        <v>0</v>
      </c>
      <c r="DF49" s="6">
        <f>SUMPRODUCT((Results!$A$2:$A$5001=Schedule!DF$45)*(Results!$B$2:$B$5001=Schedule!$A49)*(Results!$D$2:$D$5001))</f>
        <v>0</v>
      </c>
      <c r="DG49" s="6">
        <f>SUMPRODUCT((Results!$A$2:$A$5001=Schedule!DG$45)*(Results!$B$2:$B$5001=Schedule!$A49)*(Results!$D$2:$D$5001))</f>
        <v>0</v>
      </c>
      <c r="DH49" s="6">
        <f>SUMPRODUCT((Results!$A$2:$A$5001=Schedule!DH$45)*(Results!$B$2:$B$5001=Schedule!$A49)*(Results!$D$2:$D$5001))</f>
        <v>0</v>
      </c>
      <c r="DI49" s="6">
        <f>SUMPRODUCT((Results!$A$2:$A$5001=Schedule!DI$45)*(Results!$B$2:$B$5001=Schedule!$A49)*(Results!$D$2:$D$5001))</f>
        <v>0</v>
      </c>
      <c r="DJ49" s="6">
        <f>SUMPRODUCT((Results!$A$2:$A$5001=Schedule!DJ$45)*(Results!$B$2:$B$5001=Schedule!$A49)*(Results!$D$2:$D$5001))</f>
        <v>0</v>
      </c>
      <c r="DK49" s="6">
        <f>SUMPRODUCT((Results!$A$2:$A$5001=Schedule!DK$45)*(Results!$B$2:$B$5001=Schedule!$A49)*(Results!$D$2:$D$5001))</f>
        <v>0</v>
      </c>
      <c r="DL49" s="6">
        <f>SUMPRODUCT((Results!$A$2:$A$5001=Schedule!DL$45)*(Results!$B$2:$B$5001=Schedule!$A49)*(Results!$D$2:$D$5001))</f>
        <v>0</v>
      </c>
      <c r="DM49" s="6">
        <f>SUMPRODUCT((Results!$A$2:$A$5001=Schedule!DM$45)*(Results!$B$2:$B$5001=Schedule!$A49)*(Results!$D$2:$D$5001))</f>
        <v>0</v>
      </c>
      <c r="DN49" s="6">
        <f>SUMPRODUCT((Results!$A$2:$A$5001=Schedule!DN$45)*(Results!$B$2:$B$5001=Schedule!$A49)*(Results!$D$2:$D$5001))</f>
        <v>0</v>
      </c>
      <c r="DO49" s="6">
        <f>SUMPRODUCT((Results!$A$2:$A$5001=Schedule!DO$45)*(Results!$B$2:$B$5001=Schedule!$A49)*(Results!$D$2:$D$5001))</f>
        <v>0</v>
      </c>
      <c r="DP49" s="6">
        <f>SUMPRODUCT((Results!$A$2:$A$5001=Schedule!DP$45)*(Results!$B$2:$B$5001=Schedule!$A49)*(Results!$D$2:$D$5001))</f>
        <v>0</v>
      </c>
      <c r="DQ49" s="6">
        <f>SUMPRODUCT((Results!$A$2:$A$5001=Schedule!DQ$45)*(Results!$B$2:$B$5001=Schedule!$A49)*(Results!$D$2:$D$5001))</f>
        <v>0</v>
      </c>
      <c r="DR49" s="6">
        <f>SUMPRODUCT((Results!$A$2:$A$5001=Schedule!DR$45)*(Results!$B$2:$B$5001=Schedule!$A49)*(Results!$D$2:$D$5001))</f>
        <v>0</v>
      </c>
      <c r="DS49" s="6">
        <f>SUMPRODUCT((Results!$A$2:$A$5001=Schedule!DS$45)*(Results!$B$2:$B$5001=Schedule!$A49)*(Results!$D$2:$D$5001))</f>
        <v>0</v>
      </c>
      <c r="DT49" s="6">
        <f>SUMPRODUCT((Results!$A$2:$A$5001=Schedule!DT$45)*(Results!$B$2:$B$5001=Schedule!$A49)*(Results!$D$2:$D$5001))</f>
        <v>0</v>
      </c>
      <c r="DU49" s="6">
        <f>SUMPRODUCT((Results!$A$2:$A$5001=Schedule!DU$45)*(Results!$B$2:$B$5001=Schedule!$A49)*(Results!$D$2:$D$5001))</f>
        <v>0</v>
      </c>
      <c r="DV49" s="6">
        <f>SUMPRODUCT((Results!$A$2:$A$5001=Schedule!DV$45)*(Results!$B$2:$B$5001=Schedule!$A49)*(Results!$D$2:$D$5001))</f>
        <v>0</v>
      </c>
      <c r="DW49" s="6">
        <f>SUMPRODUCT((Results!$A$2:$A$5001=Schedule!DW$45)*(Results!$B$2:$B$5001=Schedule!$A49)*(Results!$D$2:$D$5001))</f>
        <v>0</v>
      </c>
      <c r="DX49" s="6">
        <f>SUMPRODUCT((Results!$A$2:$A$5001=Schedule!DX$45)*(Results!$B$2:$B$5001=Schedule!$A49)*(Results!$D$2:$D$5001))</f>
        <v>0</v>
      </c>
      <c r="DY49" s="6">
        <f>SUMPRODUCT((Results!$A$2:$A$5001=Schedule!DY$45)*(Results!$B$2:$B$5001=Schedule!$A49)*(Results!$D$2:$D$5001))</f>
        <v>0</v>
      </c>
      <c r="DZ49" s="6">
        <f>SUMPRODUCT((Results!$A$2:$A$5001=Schedule!DZ$45)*(Results!$B$2:$B$5001=Schedule!$A49)*(Results!$D$2:$D$5001))</f>
        <v>0</v>
      </c>
      <c r="EA49" s="6">
        <f>SUMPRODUCT((Results!$A$2:$A$5001=Schedule!EA$45)*(Results!$B$2:$B$5001=Schedule!$A49)*(Results!$D$2:$D$5001))</f>
        <v>0</v>
      </c>
      <c r="EB49" s="6">
        <f>SUMPRODUCT((Results!$A$2:$A$5001=Schedule!EB$45)*(Results!$B$2:$B$5001=Schedule!$A49)*(Results!$D$2:$D$5001))</f>
        <v>0</v>
      </c>
      <c r="EC49" s="6">
        <f>SUMPRODUCT((Results!$A$2:$A$5001=Schedule!EC$45)*(Results!$B$2:$B$5001=Schedule!$A49)*(Results!$D$2:$D$5001))</f>
        <v>0</v>
      </c>
      <c r="ED49" s="6">
        <f>SUMPRODUCT((Results!$A$2:$A$5001=Schedule!ED$45)*(Results!$B$2:$B$5001=Schedule!$A49)*(Results!$D$2:$D$5001))</f>
        <v>0</v>
      </c>
      <c r="EE49" s="6">
        <f>SUMPRODUCT((Results!$A$2:$A$5001=Schedule!EE$45)*(Results!$B$2:$B$5001=Schedule!$A49)*(Results!$D$2:$D$5001))</f>
        <v>0</v>
      </c>
      <c r="EF49" s="6">
        <f>SUMPRODUCT((Results!$A$2:$A$5001=Schedule!EF$45)*(Results!$B$2:$B$5001=Schedule!$A49)*(Results!$D$2:$D$5001))</f>
        <v>0</v>
      </c>
      <c r="EG49" s="6">
        <f>SUMPRODUCT((Results!$A$2:$A$5001=Schedule!EG$45)*(Results!$B$2:$B$5001=Schedule!$A49)*(Results!$D$2:$D$5001))</f>
        <v>0</v>
      </c>
      <c r="EH49" s="6">
        <f>SUMPRODUCT((Results!$A$2:$A$5001=Schedule!EH$45)*(Results!$B$2:$B$5001=Schedule!$A49)*(Results!$D$2:$D$5001))</f>
        <v>0</v>
      </c>
      <c r="EI49" s="6">
        <f>SUMPRODUCT((Results!$A$2:$A$5001=Schedule!EI$45)*(Results!$B$2:$B$5001=Schedule!$A49)*(Results!$D$2:$D$5001))</f>
        <v>0</v>
      </c>
      <c r="EJ49" s="6">
        <f>SUMPRODUCT((Results!$A$2:$A$5001=Schedule!EJ$45)*(Results!$B$2:$B$5001=Schedule!$A49)*(Results!$D$2:$D$5001))</f>
        <v>0</v>
      </c>
      <c r="EK49" s="6">
        <f>SUMPRODUCT((Results!$A$2:$A$5001=Schedule!EK$45)*(Results!$B$2:$B$5001=Schedule!$A49)*(Results!$D$2:$D$5001))</f>
        <v>0</v>
      </c>
      <c r="EL49" s="6">
        <f>SUMPRODUCT((Results!$A$2:$A$5001=Schedule!EL$45)*(Results!$B$2:$B$5001=Schedule!$A49)*(Results!$D$2:$D$5001))</f>
        <v>0</v>
      </c>
      <c r="EM49" s="6">
        <f>SUMPRODUCT((Results!$A$2:$A$5001=Schedule!EM$45)*(Results!$B$2:$B$5001=Schedule!$A49)*(Results!$D$2:$D$5001))</f>
        <v>0</v>
      </c>
      <c r="EN49" s="6">
        <f>SUMPRODUCT((Results!$A$2:$A$5001=Schedule!EN$45)*(Results!$B$2:$B$5001=Schedule!$A49)*(Results!$D$2:$D$5001))</f>
        <v>0</v>
      </c>
      <c r="EO49" s="6">
        <f>SUMPRODUCT((Results!$A$2:$A$5001=Schedule!EO$45)*(Results!$B$2:$B$5001=Schedule!$A49)*(Results!$D$2:$D$5001))</f>
        <v>0</v>
      </c>
      <c r="EP49" s="6">
        <f>SUMPRODUCT((Results!$A$2:$A$5001=Schedule!EP$45)*(Results!$B$2:$B$5001=Schedule!$A49)*(Results!$D$2:$D$5001))</f>
        <v>0</v>
      </c>
      <c r="EQ49" s="6">
        <f>SUMPRODUCT((Results!$A$2:$A$5001=Schedule!EQ$45)*(Results!$B$2:$B$5001=Schedule!$A49)*(Results!$D$2:$D$5001))</f>
        <v>0</v>
      </c>
      <c r="ER49" s="6">
        <f>SUMPRODUCT((Results!$A$2:$A$5001=Schedule!ER$45)*(Results!$B$2:$B$5001=Schedule!$A49)*(Results!$D$2:$D$5001))</f>
        <v>0</v>
      </c>
      <c r="ES49" s="6">
        <f>SUMPRODUCT((Results!$A$2:$A$5001=Schedule!ES$45)*(Results!$B$2:$B$5001=Schedule!$A49)*(Results!$D$2:$D$5001))</f>
        <v>0</v>
      </c>
      <c r="ET49" s="6">
        <f>SUMPRODUCT((Results!$A$2:$A$5001=Schedule!ET$45)*(Results!$B$2:$B$5001=Schedule!$A49)*(Results!$D$2:$D$5001))</f>
        <v>0</v>
      </c>
      <c r="EU49" s="6">
        <f>SUMPRODUCT((Results!$A$2:$A$5001=Schedule!EU$45)*(Results!$B$2:$B$5001=Schedule!$A49)*(Results!$D$2:$D$5001))</f>
        <v>0</v>
      </c>
      <c r="EV49" s="6">
        <f>SUMPRODUCT((Results!$A$2:$A$5001=Schedule!EV$45)*(Results!$B$2:$B$5001=Schedule!$A49)*(Results!$D$2:$D$5001))</f>
        <v>0</v>
      </c>
      <c r="EW49" s="6">
        <f>SUMPRODUCT((Results!$A$2:$A$5001=Schedule!EW$45)*(Results!$B$2:$B$5001=Schedule!$A49)*(Results!$D$2:$D$5001))</f>
        <v>0</v>
      </c>
      <c r="EX49" s="6">
        <f>SUMPRODUCT((Results!$A$2:$A$5001=Schedule!EX$45)*(Results!$B$2:$B$5001=Schedule!$A49)*(Results!$D$2:$D$5001))</f>
        <v>0</v>
      </c>
      <c r="EY49" s="6">
        <f>SUMPRODUCT((Results!$A$2:$A$5001=Schedule!EY$45)*(Results!$B$2:$B$5001=Schedule!$A49)*(Results!$D$2:$D$5001))</f>
        <v>0</v>
      </c>
      <c r="EZ49" s="6">
        <f>SUMPRODUCT((Results!$A$2:$A$5001=Schedule!EZ$45)*(Results!$B$2:$B$5001=Schedule!$A49)*(Results!$D$2:$D$5001))</f>
        <v>0</v>
      </c>
      <c r="FA49" s="6">
        <f>SUMPRODUCT((Results!$A$2:$A$5001=Schedule!FA$45)*(Results!$B$2:$B$5001=Schedule!$A49)*(Results!$D$2:$D$5001))</f>
        <v>0</v>
      </c>
      <c r="FB49" s="6">
        <f>SUMPRODUCT((Results!$A$2:$A$5001=Schedule!FB$45)*(Results!$B$2:$B$5001=Schedule!$A49)*(Results!$D$2:$D$5001))</f>
        <v>0</v>
      </c>
      <c r="FC49" s="6">
        <f>SUMPRODUCT((Results!$A$2:$A$5001=Schedule!FC$45)*(Results!$B$2:$B$5001=Schedule!$A49)*(Results!$D$2:$D$5001))</f>
        <v>0</v>
      </c>
      <c r="FD49" s="6">
        <f>SUMPRODUCT((Results!$A$2:$A$5001=Schedule!FD$45)*(Results!$B$2:$B$5001=Schedule!$A49)*(Results!$D$2:$D$5001))</f>
        <v>0</v>
      </c>
      <c r="FE49" s="6">
        <f>SUMPRODUCT((Results!$A$2:$A$5001=Schedule!FE$45)*(Results!$B$2:$B$5001=Schedule!$A49)*(Results!$D$2:$D$5001))</f>
        <v>0</v>
      </c>
      <c r="FF49" s="6">
        <f>SUMPRODUCT((Results!$A$2:$A$5001=Schedule!FF$45)*(Results!$B$2:$B$5001=Schedule!$A49)*(Results!$D$2:$D$5001))</f>
        <v>0</v>
      </c>
      <c r="FG49" s="6">
        <f>SUMPRODUCT((Results!$A$2:$A$5001=Schedule!FG$45)*(Results!$B$2:$B$5001=Schedule!$A49)*(Results!$D$2:$D$5001))</f>
        <v>0</v>
      </c>
      <c r="FH49" s="6">
        <f>SUMPRODUCT((Results!$A$2:$A$5001=Schedule!FH$45)*(Results!$B$2:$B$5001=Schedule!$A49)*(Results!$D$2:$D$5001))</f>
        <v>0</v>
      </c>
      <c r="FI49" s="6">
        <f>SUMPRODUCT((Results!$A$2:$A$5001=Schedule!FI$45)*(Results!$B$2:$B$5001=Schedule!$A49)*(Results!$D$2:$D$5001))</f>
        <v>0</v>
      </c>
      <c r="FJ49" s="6">
        <f>SUMPRODUCT((Results!$A$2:$A$5001=Schedule!FJ$45)*(Results!$B$2:$B$5001=Schedule!$A49)*(Results!$D$2:$D$5001))</f>
        <v>0</v>
      </c>
      <c r="FK49" s="6">
        <f>SUMPRODUCT((Results!$A$2:$A$5001=Schedule!FK$45)*(Results!$B$2:$B$5001=Schedule!$A49)*(Results!$D$2:$D$5001))</f>
        <v>0</v>
      </c>
      <c r="FL49" s="6">
        <f>SUMPRODUCT((Results!$A$2:$A$5001=Schedule!FL$45)*(Results!$B$2:$B$5001=Schedule!$A49)*(Results!$D$2:$D$5001))</f>
        <v>0</v>
      </c>
      <c r="FM49" s="6">
        <f>SUMPRODUCT((Results!$A$2:$A$5001=Schedule!FM$45)*(Results!$B$2:$B$5001=Schedule!$A49)*(Results!$D$2:$D$5001))</f>
        <v>0</v>
      </c>
      <c r="FN49" s="6">
        <f>SUMPRODUCT((Results!$A$2:$A$5001=Schedule!FN$45)*(Results!$B$2:$B$5001=Schedule!$A49)*(Results!$D$2:$D$5001))</f>
        <v>0</v>
      </c>
      <c r="FO49" s="6">
        <f>SUMPRODUCT((Results!$A$2:$A$5001=Schedule!FO$45)*(Results!$B$2:$B$5001=Schedule!$A49)*(Results!$D$2:$D$5001))</f>
        <v>0</v>
      </c>
      <c r="FP49" s="6">
        <f>SUMPRODUCT((Results!$A$2:$A$5001=Schedule!FP$45)*(Results!$B$2:$B$5001=Schedule!$A49)*(Results!$D$2:$D$5001))</f>
        <v>0</v>
      </c>
      <c r="FQ49" s="6">
        <f>SUMPRODUCT((Results!$A$2:$A$5001=Schedule!FQ$45)*(Results!$B$2:$B$5001=Schedule!$A49)*(Results!$D$2:$D$5001))</f>
        <v>0</v>
      </c>
      <c r="FR49" s="6">
        <f>SUMPRODUCT((Results!$A$2:$A$5001=Schedule!FR$45)*(Results!$B$2:$B$5001=Schedule!$A49)*(Results!$D$2:$D$5001))</f>
        <v>0</v>
      </c>
      <c r="FS49" s="6">
        <f>SUMPRODUCT((Results!$A$2:$A$5001=Schedule!FS$45)*(Results!$B$2:$B$5001=Schedule!$A49)*(Results!$D$2:$D$5001))</f>
        <v>0</v>
      </c>
      <c r="FT49" s="6">
        <f>SUMPRODUCT((Results!$A$2:$A$5001=Schedule!FT$45)*(Results!$B$2:$B$5001=Schedule!$A49)*(Results!$D$2:$D$5001))</f>
        <v>0</v>
      </c>
      <c r="FU49" s="6">
        <f>SUMPRODUCT((Results!$A$2:$A$5001=Schedule!FU$45)*(Results!$B$2:$B$5001=Schedule!$A49)*(Results!$D$2:$D$5001))</f>
        <v>0</v>
      </c>
      <c r="FV49" s="6">
        <f>SUMPRODUCT((Results!$A$2:$A$5001=Schedule!FV$45)*(Results!$B$2:$B$5001=Schedule!$A49)*(Results!$D$2:$D$5001))</f>
        <v>0</v>
      </c>
      <c r="FW49" s="6">
        <f>SUMPRODUCT((Results!$A$2:$A$5001=Schedule!FW$45)*(Results!$B$2:$B$5001=Schedule!$A49)*(Results!$D$2:$D$5001))</f>
        <v>0</v>
      </c>
      <c r="FX49" s="6">
        <f>SUMPRODUCT((Results!$A$2:$A$5001=Schedule!FX$45)*(Results!$B$2:$B$5001=Schedule!$A49)*(Results!$D$2:$D$5001))</f>
        <v>0</v>
      </c>
      <c r="FY49" s="6">
        <f>SUMPRODUCT((Results!$A$2:$A$5001=Schedule!FY$45)*(Results!$B$2:$B$5001=Schedule!$A49)*(Results!$D$2:$D$5001))</f>
        <v>0</v>
      </c>
      <c r="FZ49" s="6">
        <f>SUMPRODUCT((Results!$A$2:$A$5001=Schedule!FZ$45)*(Results!$B$2:$B$5001=Schedule!$A49)*(Results!$D$2:$D$5001))</f>
        <v>0</v>
      </c>
      <c r="GA49" s="6">
        <f>SUMPRODUCT((Results!$A$2:$A$5001=Schedule!GA$45)*(Results!$B$2:$B$5001=Schedule!$A49)*(Results!$D$2:$D$5001))</f>
        <v>0</v>
      </c>
      <c r="GB49" s="6">
        <f>SUMPRODUCT((Results!$A$2:$A$5001=Schedule!GB$45)*(Results!$B$2:$B$5001=Schedule!$A49)*(Results!$D$2:$D$5001))</f>
        <v>0</v>
      </c>
      <c r="GC49" s="6">
        <f>SUMPRODUCT((Results!$A$2:$A$5001=Schedule!GC$45)*(Results!$B$2:$B$5001=Schedule!$A49)*(Results!$D$2:$D$5001))</f>
        <v>0</v>
      </c>
      <c r="GD49" s="6">
        <f>SUMPRODUCT((Results!$A$2:$A$5001=Schedule!GD$45)*(Results!$B$2:$B$5001=Schedule!$A49)*(Results!$D$2:$D$5001))</f>
        <v>0</v>
      </c>
      <c r="GE49" s="6">
        <f>SUMPRODUCT((Results!$A$2:$A$5001=Schedule!GE$45)*(Results!$B$2:$B$5001=Schedule!$A49)*(Results!$D$2:$D$5001))</f>
        <v>0</v>
      </c>
      <c r="GF49" s="6">
        <f>SUMPRODUCT((Results!$A$2:$A$5001=Schedule!GF$45)*(Results!$B$2:$B$5001=Schedule!$A49)*(Results!$D$2:$D$5001))</f>
        <v>0</v>
      </c>
      <c r="GG49" s="6">
        <f>SUMPRODUCT((Results!$A$2:$A$5001=Schedule!GG$45)*(Results!$B$2:$B$5001=Schedule!$A49)*(Results!$D$2:$D$5001))</f>
        <v>0</v>
      </c>
      <c r="GH49" s="6">
        <f>SUMPRODUCT((Results!$A$2:$A$5001=Schedule!GH$45)*(Results!$B$2:$B$5001=Schedule!$A49)*(Results!$D$2:$D$5001))</f>
        <v>0</v>
      </c>
      <c r="GI49" s="6">
        <f>SUMPRODUCT((Results!$A$2:$A$5001=Schedule!GI$45)*(Results!$B$2:$B$5001=Schedule!$A49)*(Results!$D$2:$D$5001))</f>
        <v>0</v>
      </c>
      <c r="GJ49" s="6">
        <f>SUMPRODUCT((Results!$A$2:$A$5001=Schedule!GJ$45)*(Results!$B$2:$B$5001=Schedule!$A49)*(Results!$D$2:$D$5001))</f>
        <v>0</v>
      </c>
      <c r="GK49" s="6">
        <f>SUMPRODUCT((Results!$A$2:$A$5001=Schedule!GK$45)*(Results!$B$2:$B$5001=Schedule!$A49)*(Results!$D$2:$D$5001))</f>
        <v>0</v>
      </c>
      <c r="GL49" s="6">
        <f>SUMPRODUCT((Results!$A$2:$A$5001=Schedule!GL$45)*(Results!$B$2:$B$5001=Schedule!$A49)*(Results!$D$2:$D$5001))</f>
        <v>0</v>
      </c>
      <c r="GM49" s="6">
        <f>SUMPRODUCT((Results!$A$2:$A$5001=Schedule!GM$45)*(Results!$B$2:$B$5001=Schedule!$A49)*(Results!$D$2:$D$5001))</f>
        <v>0</v>
      </c>
      <c r="GN49" s="6">
        <f>SUMPRODUCT((Results!$A$2:$A$5001=Schedule!GN$45)*(Results!$B$2:$B$5001=Schedule!$A49)*(Results!$D$2:$D$5001))</f>
        <v>0</v>
      </c>
      <c r="GO49" s="6">
        <f>SUMPRODUCT((Results!$A$2:$A$5001=Schedule!GO$45)*(Results!$B$2:$B$5001=Schedule!$A49)*(Results!$D$2:$D$5001))</f>
        <v>0</v>
      </c>
      <c r="GP49" s="6">
        <f>SUMPRODUCT((Results!$A$2:$A$5001=Schedule!GP$45)*(Results!$B$2:$B$5001=Schedule!$A49)*(Results!$D$2:$D$5001))</f>
        <v>0</v>
      </c>
      <c r="GQ49" s="6">
        <f>SUMPRODUCT((Results!$A$2:$A$5001=Schedule!GQ$45)*(Results!$B$2:$B$5001=Schedule!$A49)*(Results!$D$2:$D$5001))</f>
        <v>0</v>
      </c>
      <c r="GR49" s="6">
        <f>SUMPRODUCT((Results!$A$2:$A$5001=Schedule!GR$45)*(Results!$B$2:$B$5001=Schedule!$A49)*(Results!$D$2:$D$5001))</f>
        <v>0</v>
      </c>
      <c r="GS49" s="6">
        <f>SUMPRODUCT((Results!$A$2:$A$5001=Schedule!GS$45)*(Results!$B$2:$B$5001=Schedule!$A49)*(Results!$D$2:$D$5001))</f>
        <v>0</v>
      </c>
      <c r="GT49" s="6">
        <f>SUMPRODUCT((Results!$A$2:$A$5001=Schedule!GT$45)*(Results!$B$2:$B$5001=Schedule!$A49)*(Results!$D$2:$D$5001))</f>
        <v>0</v>
      </c>
      <c r="GU49" s="6">
        <f>SUMPRODUCT((Results!$A$2:$A$5001=Schedule!GU$45)*(Results!$B$2:$B$5001=Schedule!$A49)*(Results!$D$2:$D$5001))</f>
        <v>0</v>
      </c>
    </row>
    <row r="50" spans="1:203" ht="13.5" customHeight="1" x14ac:dyDescent="0.2">
      <c r="A50" s="40">
        <v>5</v>
      </c>
      <c r="B50" s="6">
        <f t="shared" si="17"/>
        <v>3.8883999999999999</v>
      </c>
      <c r="C50" s="6">
        <f>SUMPRODUCT((Results!$A$2:$A$5001=Schedule!C$45)*(Results!$B$2:$B$5001=Schedule!$A50)*(Results!$D$2:$D$5001))</f>
        <v>0</v>
      </c>
      <c r="D50" s="6">
        <f>SUMPRODUCT((Results!$A$2:$A$5001=Schedule!D$45)*(Results!$B$2:$B$5001=Schedule!$A50)*(Results!$D$2:$D$5001))</f>
        <v>0</v>
      </c>
      <c r="E50" s="6">
        <f>SUMPRODUCT((Results!$A$2:$A$5001=Schedule!E$45)*(Results!$B$2:$B$5001=Schedule!$A50)*(Results!$D$2:$D$5001))</f>
        <v>0</v>
      </c>
      <c r="F50" s="6">
        <f>SUMPRODUCT((Results!$A$2:$A$5001=Schedule!F$45)*(Results!$B$2:$B$5001=Schedule!$A50)*(Results!$D$2:$D$5001))</f>
        <v>0</v>
      </c>
      <c r="G50" s="6">
        <f>SUMPRODUCT((Results!$A$2:$A$5001=Schedule!G$45)*(Results!$B$2:$B$5001=Schedule!$A50)*(Results!$D$2:$D$5001))</f>
        <v>3.8883999999999999</v>
      </c>
      <c r="H50" s="6">
        <f>SUMPRODUCT((Results!$A$2:$A$5001=Schedule!H$45)*(Results!$B$2:$B$5001=Schedule!$A50)*(Results!$D$2:$D$5001))</f>
        <v>0</v>
      </c>
      <c r="I50" s="6">
        <f>SUMPRODUCT((Results!$A$2:$A$5001=Schedule!I$45)*(Results!$B$2:$B$5001=Schedule!$A50)*(Results!$D$2:$D$5001))</f>
        <v>0</v>
      </c>
      <c r="J50" s="6">
        <f>SUMPRODUCT((Results!$A$2:$A$5001=Schedule!J$45)*(Results!$B$2:$B$5001=Schedule!$A50)*(Results!$D$2:$D$5001))</f>
        <v>0</v>
      </c>
      <c r="K50" s="6">
        <f>SUMPRODUCT((Results!$A$2:$A$5001=Schedule!K$45)*(Results!$B$2:$B$5001=Schedule!$A50)*(Results!$D$2:$D$5001))</f>
        <v>0</v>
      </c>
      <c r="L50" s="6">
        <f>SUMPRODUCT((Results!$A$2:$A$5001=Schedule!L$45)*(Results!$B$2:$B$5001=Schedule!$A50)*(Results!$D$2:$D$5001))</f>
        <v>0</v>
      </c>
      <c r="M50" s="6">
        <f>SUMPRODUCT((Results!$A$2:$A$5001=Schedule!M$45)*(Results!$B$2:$B$5001=Schedule!$A50)*(Results!$D$2:$D$5001))</f>
        <v>0</v>
      </c>
      <c r="N50" s="6">
        <f>SUMPRODUCT((Results!$A$2:$A$5001=Schedule!N$45)*(Results!$B$2:$B$5001=Schedule!$A50)*(Results!$D$2:$D$5001))</f>
        <v>0</v>
      </c>
      <c r="O50" s="6">
        <f>SUMPRODUCT((Results!$A$2:$A$5001=Schedule!O$45)*(Results!$B$2:$B$5001=Schedule!$A50)*(Results!$D$2:$D$5001))</f>
        <v>0</v>
      </c>
      <c r="P50" s="6">
        <f>SUMPRODUCT((Results!$A$2:$A$5001=Schedule!P$45)*(Results!$B$2:$B$5001=Schedule!$A50)*(Results!$D$2:$D$5001))</f>
        <v>0</v>
      </c>
      <c r="Q50" s="6">
        <f>SUMPRODUCT((Results!$A$2:$A$5001=Schedule!Q$45)*(Results!$B$2:$B$5001=Schedule!$A50)*(Results!$D$2:$D$5001))</f>
        <v>0</v>
      </c>
      <c r="R50" s="6">
        <f>SUMPRODUCT((Results!$A$2:$A$5001=Schedule!R$45)*(Results!$B$2:$B$5001=Schedule!$A50)*(Results!$D$2:$D$5001))</f>
        <v>0</v>
      </c>
      <c r="S50" s="6">
        <f>SUMPRODUCT((Results!$A$2:$A$5001=Schedule!S$45)*(Results!$B$2:$B$5001=Schedule!$A50)*(Results!$D$2:$D$5001))</f>
        <v>0</v>
      </c>
      <c r="T50" s="6">
        <f>SUMPRODUCT((Results!$A$2:$A$5001=Schedule!T$45)*(Results!$B$2:$B$5001=Schedule!$A50)*(Results!$D$2:$D$5001))</f>
        <v>0</v>
      </c>
      <c r="U50" s="6">
        <f>SUMPRODUCT((Results!$A$2:$A$5001=Schedule!U$45)*(Results!$B$2:$B$5001=Schedule!$A50)*(Results!$D$2:$D$5001))</f>
        <v>0</v>
      </c>
      <c r="V50" s="6">
        <f>SUMPRODUCT((Results!$A$2:$A$5001=Schedule!V$45)*(Results!$B$2:$B$5001=Schedule!$A50)*(Results!$D$2:$D$5001))</f>
        <v>0</v>
      </c>
      <c r="W50" s="6">
        <f>SUMPRODUCT((Results!$A$2:$A$5001=Schedule!W$45)*(Results!$B$2:$B$5001=Schedule!$A50)*(Results!$D$2:$D$5001))</f>
        <v>0</v>
      </c>
      <c r="X50" s="6">
        <f>SUMPRODUCT((Results!$A$2:$A$5001=Schedule!X$45)*(Results!$B$2:$B$5001=Schedule!$A50)*(Results!$D$2:$D$5001))</f>
        <v>0</v>
      </c>
      <c r="Y50" s="6">
        <f>SUMPRODUCT((Results!$A$2:$A$5001=Schedule!Y$45)*(Results!$B$2:$B$5001=Schedule!$A50)*(Results!$D$2:$D$5001))</f>
        <v>0</v>
      </c>
      <c r="Z50" s="6">
        <f>SUMPRODUCT((Results!$A$2:$A$5001=Schedule!Z$45)*(Results!$B$2:$B$5001=Schedule!$A50)*(Results!$D$2:$D$5001))</f>
        <v>0</v>
      </c>
      <c r="AA50" s="6">
        <f>SUMPRODUCT((Results!$A$2:$A$5001=Schedule!AA$45)*(Results!$B$2:$B$5001=Schedule!$A50)*(Results!$D$2:$D$5001))</f>
        <v>0</v>
      </c>
      <c r="AB50" s="6">
        <f>SUMPRODUCT((Results!$A$2:$A$5001=Schedule!AB$45)*(Results!$B$2:$B$5001=Schedule!$A50)*(Results!$D$2:$D$5001))</f>
        <v>0</v>
      </c>
      <c r="AC50" s="6">
        <f>SUMPRODUCT((Results!$A$2:$A$5001=Schedule!AC$45)*(Results!$B$2:$B$5001=Schedule!$A50)*(Results!$D$2:$D$5001))</f>
        <v>0</v>
      </c>
      <c r="AD50" s="6">
        <f>SUMPRODUCT((Results!$A$2:$A$5001=Schedule!AD$45)*(Results!$B$2:$B$5001=Schedule!$A50)*(Results!$D$2:$D$5001))</f>
        <v>0</v>
      </c>
      <c r="AE50" s="6">
        <f>SUMPRODUCT((Results!$A$2:$A$5001=Schedule!AE$45)*(Results!$B$2:$B$5001=Schedule!$A50)*(Results!$D$2:$D$5001))</f>
        <v>0</v>
      </c>
      <c r="AF50" s="6">
        <f>SUMPRODUCT((Results!$A$2:$A$5001=Schedule!AF$45)*(Results!$B$2:$B$5001=Schedule!$A50)*(Results!$D$2:$D$5001))</f>
        <v>0</v>
      </c>
      <c r="AG50" s="6">
        <f>SUMPRODUCT((Results!$A$2:$A$5001=Schedule!AG$45)*(Results!$B$2:$B$5001=Schedule!$A50)*(Results!$D$2:$D$5001))</f>
        <v>0</v>
      </c>
      <c r="AH50" s="6">
        <f>SUMPRODUCT((Results!$A$2:$A$5001=Schedule!AH$45)*(Results!$B$2:$B$5001=Schedule!$A50)*(Results!$D$2:$D$5001))</f>
        <v>0</v>
      </c>
      <c r="AI50" s="6">
        <f>SUMPRODUCT((Results!$A$2:$A$5001=Schedule!AI$45)*(Results!$B$2:$B$5001=Schedule!$A50)*(Results!$D$2:$D$5001))</f>
        <v>0</v>
      </c>
      <c r="AJ50" s="6">
        <f>SUMPRODUCT((Results!$A$2:$A$5001=Schedule!AJ$45)*(Results!$B$2:$B$5001=Schedule!$A50)*(Results!$D$2:$D$5001))</f>
        <v>0</v>
      </c>
      <c r="AK50" s="6">
        <f>SUMPRODUCT((Results!$A$2:$A$5001=Schedule!AK$45)*(Results!$B$2:$B$5001=Schedule!$A50)*(Results!$D$2:$D$5001))</f>
        <v>0</v>
      </c>
      <c r="AL50" s="6">
        <f>SUMPRODUCT((Results!$A$2:$A$5001=Schedule!AL$45)*(Results!$B$2:$B$5001=Schedule!$A50)*(Results!$D$2:$D$5001))</f>
        <v>0</v>
      </c>
      <c r="AM50" s="6">
        <f>SUMPRODUCT((Results!$A$2:$A$5001=Schedule!AM$45)*(Results!$B$2:$B$5001=Schedule!$A50)*(Results!$D$2:$D$5001))</f>
        <v>0</v>
      </c>
      <c r="AN50" s="6">
        <f>SUMPRODUCT((Results!$A$2:$A$5001=Schedule!AN$45)*(Results!$B$2:$B$5001=Schedule!$A50)*(Results!$D$2:$D$5001))</f>
        <v>0</v>
      </c>
      <c r="AO50" s="6">
        <f>SUMPRODUCT((Results!$A$2:$A$5001=Schedule!AO$45)*(Results!$B$2:$B$5001=Schedule!$A50)*(Results!$D$2:$D$5001))</f>
        <v>0</v>
      </c>
      <c r="AP50" s="6">
        <f>SUMPRODUCT((Results!$A$2:$A$5001=Schedule!AP$45)*(Results!$B$2:$B$5001=Schedule!$A50)*(Results!$D$2:$D$5001))</f>
        <v>0</v>
      </c>
      <c r="AQ50" s="6">
        <f>SUMPRODUCT((Results!$A$2:$A$5001=Schedule!AQ$45)*(Results!$B$2:$B$5001=Schedule!$A50)*(Results!$D$2:$D$5001))</f>
        <v>0</v>
      </c>
      <c r="AR50" s="6">
        <f>SUMPRODUCT((Results!$A$2:$A$5001=Schedule!AR$45)*(Results!$B$2:$B$5001=Schedule!$A50)*(Results!$D$2:$D$5001))</f>
        <v>0</v>
      </c>
      <c r="AS50" s="6">
        <f>SUMPRODUCT((Results!$A$2:$A$5001=Schedule!AS$45)*(Results!$B$2:$B$5001=Schedule!$A50)*(Results!$D$2:$D$5001))</f>
        <v>0</v>
      </c>
      <c r="AT50" s="6">
        <f>SUMPRODUCT((Results!$A$2:$A$5001=Schedule!AT$45)*(Results!$B$2:$B$5001=Schedule!$A50)*(Results!$D$2:$D$5001))</f>
        <v>0</v>
      </c>
      <c r="AU50" s="6">
        <f>SUMPRODUCT((Results!$A$2:$A$5001=Schedule!AU$45)*(Results!$B$2:$B$5001=Schedule!$A50)*(Results!$D$2:$D$5001))</f>
        <v>0</v>
      </c>
      <c r="AV50" s="6">
        <f>SUMPRODUCT((Results!$A$2:$A$5001=Schedule!AV$45)*(Results!$B$2:$B$5001=Schedule!$A50)*(Results!$D$2:$D$5001))</f>
        <v>0</v>
      </c>
      <c r="AW50" s="6">
        <f>SUMPRODUCT((Results!$A$2:$A$5001=Schedule!AW$45)*(Results!$B$2:$B$5001=Schedule!$A50)*(Results!$D$2:$D$5001))</f>
        <v>0</v>
      </c>
      <c r="AX50" s="6">
        <f>SUMPRODUCT((Results!$A$2:$A$5001=Schedule!AX$45)*(Results!$B$2:$B$5001=Schedule!$A50)*(Results!$D$2:$D$5001))</f>
        <v>0</v>
      </c>
      <c r="AY50" s="6">
        <f>SUMPRODUCT((Results!$A$2:$A$5001=Schedule!AY$45)*(Results!$B$2:$B$5001=Schedule!$A50)*(Results!$D$2:$D$5001))</f>
        <v>0</v>
      </c>
      <c r="AZ50" s="6">
        <f>SUMPRODUCT((Results!$A$2:$A$5001=Schedule!AZ$45)*(Results!$B$2:$B$5001=Schedule!$A50)*(Results!$D$2:$D$5001))</f>
        <v>0</v>
      </c>
      <c r="BA50" s="6">
        <f>SUMPRODUCT((Results!$A$2:$A$5001=Schedule!BA$45)*(Results!$B$2:$B$5001=Schedule!$A50)*(Results!$D$2:$D$5001))</f>
        <v>0</v>
      </c>
      <c r="BB50" s="6">
        <f>SUMPRODUCT((Results!$A$2:$A$5001=Schedule!BB$45)*(Results!$B$2:$B$5001=Schedule!$A50)*(Results!$D$2:$D$5001))</f>
        <v>0</v>
      </c>
      <c r="BC50" s="6">
        <f>SUMPRODUCT((Results!$A$2:$A$5001=Schedule!BC$45)*(Results!$B$2:$B$5001=Schedule!$A50)*(Results!$D$2:$D$5001))</f>
        <v>0</v>
      </c>
      <c r="BD50" s="6">
        <f>SUMPRODUCT((Results!$A$2:$A$5001=Schedule!BD$45)*(Results!$B$2:$B$5001=Schedule!$A50)*(Results!$D$2:$D$5001))</f>
        <v>0</v>
      </c>
      <c r="BE50" s="6">
        <f>SUMPRODUCT((Results!$A$2:$A$5001=Schedule!BE$45)*(Results!$B$2:$B$5001=Schedule!$A50)*(Results!$D$2:$D$5001))</f>
        <v>0</v>
      </c>
      <c r="BF50" s="6">
        <f>SUMPRODUCT((Results!$A$2:$A$5001=Schedule!BF$45)*(Results!$B$2:$B$5001=Schedule!$A50)*(Results!$D$2:$D$5001))</f>
        <v>0</v>
      </c>
      <c r="BG50" s="6">
        <f>SUMPRODUCT((Results!$A$2:$A$5001=Schedule!BG$45)*(Results!$B$2:$B$5001=Schedule!$A50)*(Results!$D$2:$D$5001))</f>
        <v>0</v>
      </c>
      <c r="BH50" s="6">
        <f>SUMPRODUCT((Results!$A$2:$A$5001=Schedule!BH$45)*(Results!$B$2:$B$5001=Schedule!$A50)*(Results!$D$2:$D$5001))</f>
        <v>0</v>
      </c>
      <c r="BI50" s="6">
        <f>SUMPRODUCT((Results!$A$2:$A$5001=Schedule!BI$45)*(Results!$B$2:$B$5001=Schedule!$A50)*(Results!$D$2:$D$5001))</f>
        <v>0</v>
      </c>
      <c r="BJ50" s="6">
        <f>SUMPRODUCT((Results!$A$2:$A$5001=Schedule!BJ$45)*(Results!$B$2:$B$5001=Schedule!$A50)*(Results!$D$2:$D$5001))</f>
        <v>0</v>
      </c>
      <c r="BK50" s="6">
        <f>SUMPRODUCT((Results!$A$2:$A$5001=Schedule!BK$45)*(Results!$B$2:$B$5001=Schedule!$A50)*(Results!$D$2:$D$5001))</f>
        <v>0</v>
      </c>
      <c r="BL50" s="6">
        <f>SUMPRODUCT((Results!$A$2:$A$5001=Schedule!BL$45)*(Results!$B$2:$B$5001=Schedule!$A50)*(Results!$D$2:$D$5001))</f>
        <v>0</v>
      </c>
      <c r="BM50" s="6">
        <f>SUMPRODUCT((Results!$A$2:$A$5001=Schedule!BM$45)*(Results!$B$2:$B$5001=Schedule!$A50)*(Results!$D$2:$D$5001))</f>
        <v>0</v>
      </c>
      <c r="BN50" s="6">
        <f>SUMPRODUCT((Results!$A$2:$A$5001=Schedule!BN$45)*(Results!$B$2:$B$5001=Schedule!$A50)*(Results!$D$2:$D$5001))</f>
        <v>0</v>
      </c>
      <c r="BO50" s="6">
        <f>SUMPRODUCT((Results!$A$2:$A$5001=Schedule!BO$45)*(Results!$B$2:$B$5001=Schedule!$A50)*(Results!$D$2:$D$5001))</f>
        <v>0</v>
      </c>
      <c r="BP50" s="6">
        <f>SUMPRODUCT((Results!$A$2:$A$5001=Schedule!BP$45)*(Results!$B$2:$B$5001=Schedule!$A50)*(Results!$D$2:$D$5001))</f>
        <v>0</v>
      </c>
      <c r="BQ50" s="6">
        <f>SUMPRODUCT((Results!$A$2:$A$5001=Schedule!BQ$45)*(Results!$B$2:$B$5001=Schedule!$A50)*(Results!$D$2:$D$5001))</f>
        <v>0</v>
      </c>
      <c r="BR50" s="6">
        <f>SUMPRODUCT((Results!$A$2:$A$5001=Schedule!BR$45)*(Results!$B$2:$B$5001=Schedule!$A50)*(Results!$D$2:$D$5001))</f>
        <v>0</v>
      </c>
      <c r="BS50" s="6">
        <f>SUMPRODUCT((Results!$A$2:$A$5001=Schedule!BS$45)*(Results!$B$2:$B$5001=Schedule!$A50)*(Results!$D$2:$D$5001))</f>
        <v>0</v>
      </c>
      <c r="BT50" s="6">
        <f>SUMPRODUCT((Results!$A$2:$A$5001=Schedule!BT$45)*(Results!$B$2:$B$5001=Schedule!$A50)*(Results!$D$2:$D$5001))</f>
        <v>0</v>
      </c>
      <c r="BU50" s="6">
        <f>SUMPRODUCT((Results!$A$2:$A$5001=Schedule!BU$45)*(Results!$B$2:$B$5001=Schedule!$A50)*(Results!$D$2:$D$5001))</f>
        <v>0</v>
      </c>
      <c r="BV50" s="6">
        <f>SUMPRODUCT((Results!$A$2:$A$5001=Schedule!BV$45)*(Results!$B$2:$B$5001=Schedule!$A50)*(Results!$D$2:$D$5001))</f>
        <v>0</v>
      </c>
      <c r="BW50" s="6">
        <f>SUMPRODUCT((Results!$A$2:$A$5001=Schedule!BW$45)*(Results!$B$2:$B$5001=Schedule!$A50)*(Results!$D$2:$D$5001))</f>
        <v>0</v>
      </c>
      <c r="BX50" s="6">
        <f>SUMPRODUCT((Results!$A$2:$A$5001=Schedule!BX$45)*(Results!$B$2:$B$5001=Schedule!$A50)*(Results!$D$2:$D$5001))</f>
        <v>0</v>
      </c>
      <c r="BY50" s="6">
        <f>SUMPRODUCT((Results!$A$2:$A$5001=Schedule!BY$45)*(Results!$B$2:$B$5001=Schedule!$A50)*(Results!$D$2:$D$5001))</f>
        <v>0</v>
      </c>
      <c r="BZ50" s="6">
        <f>SUMPRODUCT((Results!$A$2:$A$5001=Schedule!BZ$45)*(Results!$B$2:$B$5001=Schedule!$A50)*(Results!$D$2:$D$5001))</f>
        <v>0</v>
      </c>
      <c r="CA50" s="6">
        <f>SUMPRODUCT((Results!$A$2:$A$5001=Schedule!CA$45)*(Results!$B$2:$B$5001=Schedule!$A50)*(Results!$D$2:$D$5001))</f>
        <v>0</v>
      </c>
      <c r="CB50" s="6">
        <f>SUMPRODUCT((Results!$A$2:$A$5001=Schedule!CB$45)*(Results!$B$2:$B$5001=Schedule!$A50)*(Results!$D$2:$D$5001))</f>
        <v>0</v>
      </c>
      <c r="CC50" s="6">
        <f>SUMPRODUCT((Results!$A$2:$A$5001=Schedule!CC$45)*(Results!$B$2:$B$5001=Schedule!$A50)*(Results!$D$2:$D$5001))</f>
        <v>0</v>
      </c>
      <c r="CD50" s="6">
        <f>SUMPRODUCT((Results!$A$2:$A$5001=Schedule!CD$45)*(Results!$B$2:$B$5001=Schedule!$A50)*(Results!$D$2:$D$5001))</f>
        <v>0</v>
      </c>
      <c r="CE50" s="6">
        <f>SUMPRODUCT((Results!$A$2:$A$5001=Schedule!CE$45)*(Results!$B$2:$B$5001=Schedule!$A50)*(Results!$D$2:$D$5001))</f>
        <v>0</v>
      </c>
      <c r="CF50" s="6">
        <f>SUMPRODUCT((Results!$A$2:$A$5001=Schedule!CF$45)*(Results!$B$2:$B$5001=Schedule!$A50)*(Results!$D$2:$D$5001))</f>
        <v>0</v>
      </c>
      <c r="CG50" s="6">
        <f>SUMPRODUCT((Results!$A$2:$A$5001=Schedule!CG$45)*(Results!$B$2:$B$5001=Schedule!$A50)*(Results!$D$2:$D$5001))</f>
        <v>0</v>
      </c>
      <c r="CH50" s="6">
        <f>SUMPRODUCT((Results!$A$2:$A$5001=Schedule!CH$45)*(Results!$B$2:$B$5001=Schedule!$A50)*(Results!$D$2:$D$5001))</f>
        <v>0</v>
      </c>
      <c r="CI50" s="6">
        <f>SUMPRODUCT((Results!$A$2:$A$5001=Schedule!CI$45)*(Results!$B$2:$B$5001=Schedule!$A50)*(Results!$D$2:$D$5001))</f>
        <v>0</v>
      </c>
      <c r="CJ50" s="6">
        <f>SUMPRODUCT((Results!$A$2:$A$5001=Schedule!CJ$45)*(Results!$B$2:$B$5001=Schedule!$A50)*(Results!$D$2:$D$5001))</f>
        <v>0</v>
      </c>
      <c r="CK50" s="6">
        <f>SUMPRODUCT((Results!$A$2:$A$5001=Schedule!CK$45)*(Results!$B$2:$B$5001=Schedule!$A50)*(Results!$D$2:$D$5001))</f>
        <v>0</v>
      </c>
      <c r="CL50" s="6">
        <f>SUMPRODUCT((Results!$A$2:$A$5001=Schedule!CL$45)*(Results!$B$2:$B$5001=Schedule!$A50)*(Results!$D$2:$D$5001))</f>
        <v>0</v>
      </c>
      <c r="CM50" s="6">
        <f>SUMPRODUCT((Results!$A$2:$A$5001=Schedule!CM$45)*(Results!$B$2:$B$5001=Schedule!$A50)*(Results!$D$2:$D$5001))</f>
        <v>0</v>
      </c>
      <c r="CN50" s="6">
        <f>SUMPRODUCT((Results!$A$2:$A$5001=Schedule!CN$45)*(Results!$B$2:$B$5001=Schedule!$A50)*(Results!$D$2:$D$5001))</f>
        <v>0</v>
      </c>
      <c r="CO50" s="6">
        <f>SUMPRODUCT((Results!$A$2:$A$5001=Schedule!CO$45)*(Results!$B$2:$B$5001=Schedule!$A50)*(Results!$D$2:$D$5001))</f>
        <v>0</v>
      </c>
      <c r="CP50" s="6">
        <f>SUMPRODUCT((Results!$A$2:$A$5001=Schedule!CP$45)*(Results!$B$2:$B$5001=Schedule!$A50)*(Results!$D$2:$D$5001))</f>
        <v>0</v>
      </c>
      <c r="CQ50" s="6">
        <f>SUMPRODUCT((Results!$A$2:$A$5001=Schedule!CQ$45)*(Results!$B$2:$B$5001=Schedule!$A50)*(Results!$D$2:$D$5001))</f>
        <v>0</v>
      </c>
      <c r="CR50" s="6">
        <f>SUMPRODUCT((Results!$A$2:$A$5001=Schedule!CR$45)*(Results!$B$2:$B$5001=Schedule!$A50)*(Results!$D$2:$D$5001))</f>
        <v>0</v>
      </c>
      <c r="CS50" s="6">
        <f>SUMPRODUCT((Results!$A$2:$A$5001=Schedule!CS$45)*(Results!$B$2:$B$5001=Schedule!$A50)*(Results!$D$2:$D$5001))</f>
        <v>0</v>
      </c>
      <c r="CT50" s="6">
        <f>SUMPRODUCT((Results!$A$2:$A$5001=Schedule!CT$45)*(Results!$B$2:$B$5001=Schedule!$A50)*(Results!$D$2:$D$5001))</f>
        <v>0</v>
      </c>
      <c r="CU50" s="6">
        <f>SUMPRODUCT((Results!$A$2:$A$5001=Schedule!CU$45)*(Results!$B$2:$B$5001=Schedule!$A50)*(Results!$D$2:$D$5001))</f>
        <v>0</v>
      </c>
      <c r="CV50" s="6">
        <f>SUMPRODUCT((Results!$A$2:$A$5001=Schedule!CV$45)*(Results!$B$2:$B$5001=Schedule!$A50)*(Results!$D$2:$D$5001))</f>
        <v>0</v>
      </c>
      <c r="CW50" s="6">
        <f>SUMPRODUCT((Results!$A$2:$A$5001=Schedule!CW$45)*(Results!$B$2:$B$5001=Schedule!$A50)*(Results!$D$2:$D$5001))</f>
        <v>0</v>
      </c>
      <c r="CX50" s="6">
        <f>SUMPRODUCT((Results!$A$2:$A$5001=Schedule!CX$45)*(Results!$B$2:$B$5001=Schedule!$A50)*(Results!$D$2:$D$5001))</f>
        <v>0</v>
      </c>
      <c r="CY50" s="6">
        <f>SUMPRODUCT((Results!$A$2:$A$5001=Schedule!CY$45)*(Results!$B$2:$B$5001=Schedule!$A50)*(Results!$D$2:$D$5001))</f>
        <v>0</v>
      </c>
      <c r="CZ50" s="6">
        <f>SUMPRODUCT((Results!$A$2:$A$5001=Schedule!CZ$45)*(Results!$B$2:$B$5001=Schedule!$A50)*(Results!$D$2:$D$5001))</f>
        <v>0</v>
      </c>
      <c r="DA50" s="6">
        <f>SUMPRODUCT((Results!$A$2:$A$5001=Schedule!DA$45)*(Results!$B$2:$B$5001=Schedule!$A50)*(Results!$D$2:$D$5001))</f>
        <v>0</v>
      </c>
      <c r="DB50" s="6">
        <f>SUMPRODUCT((Results!$A$2:$A$5001=Schedule!DB$45)*(Results!$B$2:$B$5001=Schedule!$A50)*(Results!$D$2:$D$5001))</f>
        <v>0</v>
      </c>
      <c r="DC50" s="6">
        <f>SUMPRODUCT((Results!$A$2:$A$5001=Schedule!DC$45)*(Results!$B$2:$B$5001=Schedule!$A50)*(Results!$D$2:$D$5001))</f>
        <v>0</v>
      </c>
      <c r="DD50" s="6">
        <f>SUMPRODUCT((Results!$A$2:$A$5001=Schedule!DD$45)*(Results!$B$2:$B$5001=Schedule!$A50)*(Results!$D$2:$D$5001))</f>
        <v>0</v>
      </c>
      <c r="DE50" s="6">
        <f>SUMPRODUCT((Results!$A$2:$A$5001=Schedule!DE$45)*(Results!$B$2:$B$5001=Schedule!$A50)*(Results!$D$2:$D$5001))</f>
        <v>0</v>
      </c>
      <c r="DF50" s="6">
        <f>SUMPRODUCT((Results!$A$2:$A$5001=Schedule!DF$45)*(Results!$B$2:$B$5001=Schedule!$A50)*(Results!$D$2:$D$5001))</f>
        <v>0</v>
      </c>
      <c r="DG50" s="6">
        <f>SUMPRODUCT((Results!$A$2:$A$5001=Schedule!DG$45)*(Results!$B$2:$B$5001=Schedule!$A50)*(Results!$D$2:$D$5001))</f>
        <v>0</v>
      </c>
      <c r="DH50" s="6">
        <f>SUMPRODUCT((Results!$A$2:$A$5001=Schedule!DH$45)*(Results!$B$2:$B$5001=Schedule!$A50)*(Results!$D$2:$D$5001))</f>
        <v>0</v>
      </c>
      <c r="DI50" s="6">
        <f>SUMPRODUCT((Results!$A$2:$A$5001=Schedule!DI$45)*(Results!$B$2:$B$5001=Schedule!$A50)*(Results!$D$2:$D$5001))</f>
        <v>0</v>
      </c>
      <c r="DJ50" s="6">
        <f>SUMPRODUCT((Results!$A$2:$A$5001=Schedule!DJ$45)*(Results!$B$2:$B$5001=Schedule!$A50)*(Results!$D$2:$D$5001))</f>
        <v>0</v>
      </c>
      <c r="DK50" s="6">
        <f>SUMPRODUCT((Results!$A$2:$A$5001=Schedule!DK$45)*(Results!$B$2:$B$5001=Schedule!$A50)*(Results!$D$2:$D$5001))</f>
        <v>0</v>
      </c>
      <c r="DL50" s="6">
        <f>SUMPRODUCT((Results!$A$2:$A$5001=Schedule!DL$45)*(Results!$B$2:$B$5001=Schedule!$A50)*(Results!$D$2:$D$5001))</f>
        <v>0</v>
      </c>
      <c r="DM50" s="6">
        <f>SUMPRODUCT((Results!$A$2:$A$5001=Schedule!DM$45)*(Results!$B$2:$B$5001=Schedule!$A50)*(Results!$D$2:$D$5001))</f>
        <v>0</v>
      </c>
      <c r="DN50" s="6">
        <f>SUMPRODUCT((Results!$A$2:$A$5001=Schedule!DN$45)*(Results!$B$2:$B$5001=Schedule!$A50)*(Results!$D$2:$D$5001))</f>
        <v>0</v>
      </c>
      <c r="DO50" s="6">
        <f>SUMPRODUCT((Results!$A$2:$A$5001=Schedule!DO$45)*(Results!$B$2:$B$5001=Schedule!$A50)*(Results!$D$2:$D$5001))</f>
        <v>0</v>
      </c>
      <c r="DP50" s="6">
        <f>SUMPRODUCT((Results!$A$2:$A$5001=Schedule!DP$45)*(Results!$B$2:$B$5001=Schedule!$A50)*(Results!$D$2:$D$5001))</f>
        <v>0</v>
      </c>
      <c r="DQ50" s="6">
        <f>SUMPRODUCT((Results!$A$2:$A$5001=Schedule!DQ$45)*(Results!$B$2:$B$5001=Schedule!$A50)*(Results!$D$2:$D$5001))</f>
        <v>0</v>
      </c>
      <c r="DR50" s="6">
        <f>SUMPRODUCT((Results!$A$2:$A$5001=Schedule!DR$45)*(Results!$B$2:$B$5001=Schedule!$A50)*(Results!$D$2:$D$5001))</f>
        <v>0</v>
      </c>
      <c r="DS50" s="6">
        <f>SUMPRODUCT((Results!$A$2:$A$5001=Schedule!DS$45)*(Results!$B$2:$B$5001=Schedule!$A50)*(Results!$D$2:$D$5001))</f>
        <v>0</v>
      </c>
      <c r="DT50" s="6">
        <f>SUMPRODUCT((Results!$A$2:$A$5001=Schedule!DT$45)*(Results!$B$2:$B$5001=Schedule!$A50)*(Results!$D$2:$D$5001))</f>
        <v>0</v>
      </c>
      <c r="DU50" s="6">
        <f>SUMPRODUCT((Results!$A$2:$A$5001=Schedule!DU$45)*(Results!$B$2:$B$5001=Schedule!$A50)*(Results!$D$2:$D$5001))</f>
        <v>0</v>
      </c>
      <c r="DV50" s="6">
        <f>SUMPRODUCT((Results!$A$2:$A$5001=Schedule!DV$45)*(Results!$B$2:$B$5001=Schedule!$A50)*(Results!$D$2:$D$5001))</f>
        <v>0</v>
      </c>
      <c r="DW50" s="6">
        <f>SUMPRODUCT((Results!$A$2:$A$5001=Schedule!DW$45)*(Results!$B$2:$B$5001=Schedule!$A50)*(Results!$D$2:$D$5001))</f>
        <v>0</v>
      </c>
      <c r="DX50" s="6">
        <f>SUMPRODUCT((Results!$A$2:$A$5001=Schedule!DX$45)*(Results!$B$2:$B$5001=Schedule!$A50)*(Results!$D$2:$D$5001))</f>
        <v>0</v>
      </c>
      <c r="DY50" s="6">
        <f>SUMPRODUCT((Results!$A$2:$A$5001=Schedule!DY$45)*(Results!$B$2:$B$5001=Schedule!$A50)*(Results!$D$2:$D$5001))</f>
        <v>0</v>
      </c>
      <c r="DZ50" s="6">
        <f>SUMPRODUCT((Results!$A$2:$A$5001=Schedule!DZ$45)*(Results!$B$2:$B$5001=Schedule!$A50)*(Results!$D$2:$D$5001))</f>
        <v>0</v>
      </c>
      <c r="EA50" s="6">
        <f>SUMPRODUCT((Results!$A$2:$A$5001=Schedule!EA$45)*(Results!$B$2:$B$5001=Schedule!$A50)*(Results!$D$2:$D$5001))</f>
        <v>0</v>
      </c>
      <c r="EB50" s="6">
        <f>SUMPRODUCT((Results!$A$2:$A$5001=Schedule!EB$45)*(Results!$B$2:$B$5001=Schedule!$A50)*(Results!$D$2:$D$5001))</f>
        <v>0</v>
      </c>
      <c r="EC50" s="6">
        <f>SUMPRODUCT((Results!$A$2:$A$5001=Schedule!EC$45)*(Results!$B$2:$B$5001=Schedule!$A50)*(Results!$D$2:$D$5001))</f>
        <v>0</v>
      </c>
      <c r="ED50" s="6">
        <f>SUMPRODUCT((Results!$A$2:$A$5001=Schedule!ED$45)*(Results!$B$2:$B$5001=Schedule!$A50)*(Results!$D$2:$D$5001))</f>
        <v>0</v>
      </c>
      <c r="EE50" s="6">
        <f>SUMPRODUCT((Results!$A$2:$A$5001=Schedule!EE$45)*(Results!$B$2:$B$5001=Schedule!$A50)*(Results!$D$2:$D$5001))</f>
        <v>0</v>
      </c>
      <c r="EF50" s="6">
        <f>SUMPRODUCT((Results!$A$2:$A$5001=Schedule!EF$45)*(Results!$B$2:$B$5001=Schedule!$A50)*(Results!$D$2:$D$5001))</f>
        <v>0</v>
      </c>
      <c r="EG50" s="6">
        <f>SUMPRODUCT((Results!$A$2:$A$5001=Schedule!EG$45)*(Results!$B$2:$B$5001=Schedule!$A50)*(Results!$D$2:$D$5001))</f>
        <v>0</v>
      </c>
      <c r="EH50" s="6">
        <f>SUMPRODUCT((Results!$A$2:$A$5001=Schedule!EH$45)*(Results!$B$2:$B$5001=Schedule!$A50)*(Results!$D$2:$D$5001))</f>
        <v>0</v>
      </c>
      <c r="EI50" s="6">
        <f>SUMPRODUCT((Results!$A$2:$A$5001=Schedule!EI$45)*(Results!$B$2:$B$5001=Schedule!$A50)*(Results!$D$2:$D$5001))</f>
        <v>0</v>
      </c>
      <c r="EJ50" s="6">
        <f>SUMPRODUCT((Results!$A$2:$A$5001=Schedule!EJ$45)*(Results!$B$2:$B$5001=Schedule!$A50)*(Results!$D$2:$D$5001))</f>
        <v>0</v>
      </c>
      <c r="EK50" s="6">
        <f>SUMPRODUCT((Results!$A$2:$A$5001=Schedule!EK$45)*(Results!$B$2:$B$5001=Schedule!$A50)*(Results!$D$2:$D$5001))</f>
        <v>0</v>
      </c>
      <c r="EL50" s="6">
        <f>SUMPRODUCT((Results!$A$2:$A$5001=Schedule!EL$45)*(Results!$B$2:$B$5001=Schedule!$A50)*(Results!$D$2:$D$5001))</f>
        <v>0</v>
      </c>
      <c r="EM50" s="6">
        <f>SUMPRODUCT((Results!$A$2:$A$5001=Schedule!EM$45)*(Results!$B$2:$B$5001=Schedule!$A50)*(Results!$D$2:$D$5001))</f>
        <v>0</v>
      </c>
      <c r="EN50" s="6">
        <f>SUMPRODUCT((Results!$A$2:$A$5001=Schedule!EN$45)*(Results!$B$2:$B$5001=Schedule!$A50)*(Results!$D$2:$D$5001))</f>
        <v>0</v>
      </c>
      <c r="EO50" s="6">
        <f>SUMPRODUCT((Results!$A$2:$A$5001=Schedule!EO$45)*(Results!$B$2:$B$5001=Schedule!$A50)*(Results!$D$2:$D$5001))</f>
        <v>0</v>
      </c>
      <c r="EP50" s="6">
        <f>SUMPRODUCT((Results!$A$2:$A$5001=Schedule!EP$45)*(Results!$B$2:$B$5001=Schedule!$A50)*(Results!$D$2:$D$5001))</f>
        <v>0</v>
      </c>
      <c r="EQ50" s="6">
        <f>SUMPRODUCT((Results!$A$2:$A$5001=Schedule!EQ$45)*(Results!$B$2:$B$5001=Schedule!$A50)*(Results!$D$2:$D$5001))</f>
        <v>0</v>
      </c>
      <c r="ER50" s="6">
        <f>SUMPRODUCT((Results!$A$2:$A$5001=Schedule!ER$45)*(Results!$B$2:$B$5001=Schedule!$A50)*(Results!$D$2:$D$5001))</f>
        <v>0</v>
      </c>
      <c r="ES50" s="6">
        <f>SUMPRODUCT((Results!$A$2:$A$5001=Schedule!ES$45)*(Results!$B$2:$B$5001=Schedule!$A50)*(Results!$D$2:$D$5001))</f>
        <v>0</v>
      </c>
      <c r="ET50" s="6">
        <f>SUMPRODUCT((Results!$A$2:$A$5001=Schedule!ET$45)*(Results!$B$2:$B$5001=Schedule!$A50)*(Results!$D$2:$D$5001))</f>
        <v>0</v>
      </c>
      <c r="EU50" s="6">
        <f>SUMPRODUCT((Results!$A$2:$A$5001=Schedule!EU$45)*(Results!$B$2:$B$5001=Schedule!$A50)*(Results!$D$2:$D$5001))</f>
        <v>0</v>
      </c>
      <c r="EV50" s="6">
        <f>SUMPRODUCT((Results!$A$2:$A$5001=Schedule!EV$45)*(Results!$B$2:$B$5001=Schedule!$A50)*(Results!$D$2:$D$5001))</f>
        <v>0</v>
      </c>
      <c r="EW50" s="6">
        <f>SUMPRODUCT((Results!$A$2:$A$5001=Schedule!EW$45)*(Results!$B$2:$B$5001=Schedule!$A50)*(Results!$D$2:$D$5001))</f>
        <v>0</v>
      </c>
      <c r="EX50" s="6">
        <f>SUMPRODUCT((Results!$A$2:$A$5001=Schedule!EX$45)*(Results!$B$2:$B$5001=Schedule!$A50)*(Results!$D$2:$D$5001))</f>
        <v>0</v>
      </c>
      <c r="EY50" s="6">
        <f>SUMPRODUCT((Results!$A$2:$A$5001=Schedule!EY$45)*(Results!$B$2:$B$5001=Schedule!$A50)*(Results!$D$2:$D$5001))</f>
        <v>0</v>
      </c>
      <c r="EZ50" s="6">
        <f>SUMPRODUCT((Results!$A$2:$A$5001=Schedule!EZ$45)*(Results!$B$2:$B$5001=Schedule!$A50)*(Results!$D$2:$D$5001))</f>
        <v>0</v>
      </c>
      <c r="FA50" s="6">
        <f>SUMPRODUCT((Results!$A$2:$A$5001=Schedule!FA$45)*(Results!$B$2:$B$5001=Schedule!$A50)*(Results!$D$2:$D$5001))</f>
        <v>0</v>
      </c>
      <c r="FB50" s="6">
        <f>SUMPRODUCT((Results!$A$2:$A$5001=Schedule!FB$45)*(Results!$B$2:$B$5001=Schedule!$A50)*(Results!$D$2:$D$5001))</f>
        <v>0</v>
      </c>
      <c r="FC50" s="6">
        <f>SUMPRODUCT((Results!$A$2:$A$5001=Schedule!FC$45)*(Results!$B$2:$B$5001=Schedule!$A50)*(Results!$D$2:$D$5001))</f>
        <v>0</v>
      </c>
      <c r="FD50" s="6">
        <f>SUMPRODUCT((Results!$A$2:$A$5001=Schedule!FD$45)*(Results!$B$2:$B$5001=Schedule!$A50)*(Results!$D$2:$D$5001))</f>
        <v>0</v>
      </c>
      <c r="FE50" s="6">
        <f>SUMPRODUCT((Results!$A$2:$A$5001=Schedule!FE$45)*(Results!$B$2:$B$5001=Schedule!$A50)*(Results!$D$2:$D$5001))</f>
        <v>0</v>
      </c>
      <c r="FF50" s="6">
        <f>SUMPRODUCT((Results!$A$2:$A$5001=Schedule!FF$45)*(Results!$B$2:$B$5001=Schedule!$A50)*(Results!$D$2:$D$5001))</f>
        <v>0</v>
      </c>
      <c r="FG50" s="6">
        <f>SUMPRODUCT((Results!$A$2:$A$5001=Schedule!FG$45)*(Results!$B$2:$B$5001=Schedule!$A50)*(Results!$D$2:$D$5001))</f>
        <v>0</v>
      </c>
      <c r="FH50" s="6">
        <f>SUMPRODUCT((Results!$A$2:$A$5001=Schedule!FH$45)*(Results!$B$2:$B$5001=Schedule!$A50)*(Results!$D$2:$D$5001))</f>
        <v>0</v>
      </c>
      <c r="FI50" s="6">
        <f>SUMPRODUCT((Results!$A$2:$A$5001=Schedule!FI$45)*(Results!$B$2:$B$5001=Schedule!$A50)*(Results!$D$2:$D$5001))</f>
        <v>0</v>
      </c>
      <c r="FJ50" s="6">
        <f>SUMPRODUCT((Results!$A$2:$A$5001=Schedule!FJ$45)*(Results!$B$2:$B$5001=Schedule!$A50)*(Results!$D$2:$D$5001))</f>
        <v>0</v>
      </c>
      <c r="FK50" s="6">
        <f>SUMPRODUCT((Results!$A$2:$A$5001=Schedule!FK$45)*(Results!$B$2:$B$5001=Schedule!$A50)*(Results!$D$2:$D$5001))</f>
        <v>0</v>
      </c>
      <c r="FL50" s="6">
        <f>SUMPRODUCT((Results!$A$2:$A$5001=Schedule!FL$45)*(Results!$B$2:$B$5001=Schedule!$A50)*(Results!$D$2:$D$5001))</f>
        <v>0</v>
      </c>
      <c r="FM50" s="6">
        <f>SUMPRODUCT((Results!$A$2:$A$5001=Schedule!FM$45)*(Results!$B$2:$B$5001=Schedule!$A50)*(Results!$D$2:$D$5001))</f>
        <v>0</v>
      </c>
      <c r="FN50" s="6">
        <f>SUMPRODUCT((Results!$A$2:$A$5001=Schedule!FN$45)*(Results!$B$2:$B$5001=Schedule!$A50)*(Results!$D$2:$D$5001))</f>
        <v>0</v>
      </c>
      <c r="FO50" s="6">
        <f>SUMPRODUCT((Results!$A$2:$A$5001=Schedule!FO$45)*(Results!$B$2:$B$5001=Schedule!$A50)*(Results!$D$2:$D$5001))</f>
        <v>0</v>
      </c>
      <c r="FP50" s="6">
        <f>SUMPRODUCT((Results!$A$2:$A$5001=Schedule!FP$45)*(Results!$B$2:$B$5001=Schedule!$A50)*(Results!$D$2:$D$5001))</f>
        <v>0</v>
      </c>
      <c r="FQ50" s="6">
        <f>SUMPRODUCT((Results!$A$2:$A$5001=Schedule!FQ$45)*(Results!$B$2:$B$5001=Schedule!$A50)*(Results!$D$2:$D$5001))</f>
        <v>0</v>
      </c>
      <c r="FR50" s="6">
        <f>SUMPRODUCT((Results!$A$2:$A$5001=Schedule!FR$45)*(Results!$B$2:$B$5001=Schedule!$A50)*(Results!$D$2:$D$5001))</f>
        <v>0</v>
      </c>
      <c r="FS50" s="6">
        <f>SUMPRODUCT((Results!$A$2:$A$5001=Schedule!FS$45)*(Results!$B$2:$B$5001=Schedule!$A50)*(Results!$D$2:$D$5001))</f>
        <v>0</v>
      </c>
      <c r="FT50" s="6">
        <f>SUMPRODUCT((Results!$A$2:$A$5001=Schedule!FT$45)*(Results!$B$2:$B$5001=Schedule!$A50)*(Results!$D$2:$D$5001))</f>
        <v>0</v>
      </c>
      <c r="FU50" s="6">
        <f>SUMPRODUCT((Results!$A$2:$A$5001=Schedule!FU$45)*(Results!$B$2:$B$5001=Schedule!$A50)*(Results!$D$2:$D$5001))</f>
        <v>0</v>
      </c>
      <c r="FV50" s="6">
        <f>SUMPRODUCT((Results!$A$2:$A$5001=Schedule!FV$45)*(Results!$B$2:$B$5001=Schedule!$A50)*(Results!$D$2:$D$5001))</f>
        <v>0</v>
      </c>
      <c r="FW50" s="6">
        <f>SUMPRODUCT((Results!$A$2:$A$5001=Schedule!FW$45)*(Results!$B$2:$B$5001=Schedule!$A50)*(Results!$D$2:$D$5001))</f>
        <v>0</v>
      </c>
      <c r="FX50" s="6">
        <f>SUMPRODUCT((Results!$A$2:$A$5001=Schedule!FX$45)*(Results!$B$2:$B$5001=Schedule!$A50)*(Results!$D$2:$D$5001))</f>
        <v>0</v>
      </c>
      <c r="FY50" s="6">
        <f>SUMPRODUCT((Results!$A$2:$A$5001=Schedule!FY$45)*(Results!$B$2:$B$5001=Schedule!$A50)*(Results!$D$2:$D$5001))</f>
        <v>0</v>
      </c>
      <c r="FZ50" s="6">
        <f>SUMPRODUCT((Results!$A$2:$A$5001=Schedule!FZ$45)*(Results!$B$2:$B$5001=Schedule!$A50)*(Results!$D$2:$D$5001))</f>
        <v>0</v>
      </c>
      <c r="GA50" s="6">
        <f>SUMPRODUCT((Results!$A$2:$A$5001=Schedule!GA$45)*(Results!$B$2:$B$5001=Schedule!$A50)*(Results!$D$2:$D$5001))</f>
        <v>0</v>
      </c>
      <c r="GB50" s="6">
        <f>SUMPRODUCT((Results!$A$2:$A$5001=Schedule!GB$45)*(Results!$B$2:$B$5001=Schedule!$A50)*(Results!$D$2:$D$5001))</f>
        <v>0</v>
      </c>
      <c r="GC50" s="6">
        <f>SUMPRODUCT((Results!$A$2:$A$5001=Schedule!GC$45)*(Results!$B$2:$B$5001=Schedule!$A50)*(Results!$D$2:$D$5001))</f>
        <v>0</v>
      </c>
      <c r="GD50" s="6">
        <f>SUMPRODUCT((Results!$A$2:$A$5001=Schedule!GD$45)*(Results!$B$2:$B$5001=Schedule!$A50)*(Results!$D$2:$D$5001))</f>
        <v>0</v>
      </c>
      <c r="GE50" s="6">
        <f>SUMPRODUCT((Results!$A$2:$A$5001=Schedule!GE$45)*(Results!$B$2:$B$5001=Schedule!$A50)*(Results!$D$2:$D$5001))</f>
        <v>0</v>
      </c>
      <c r="GF50" s="6">
        <f>SUMPRODUCT((Results!$A$2:$A$5001=Schedule!GF$45)*(Results!$B$2:$B$5001=Schedule!$A50)*(Results!$D$2:$D$5001))</f>
        <v>0</v>
      </c>
      <c r="GG50" s="6">
        <f>SUMPRODUCT((Results!$A$2:$A$5001=Schedule!GG$45)*(Results!$B$2:$B$5001=Schedule!$A50)*(Results!$D$2:$D$5001))</f>
        <v>0</v>
      </c>
      <c r="GH50" s="6">
        <f>SUMPRODUCT((Results!$A$2:$A$5001=Schedule!GH$45)*(Results!$B$2:$B$5001=Schedule!$A50)*(Results!$D$2:$D$5001))</f>
        <v>0</v>
      </c>
      <c r="GI50" s="6">
        <f>SUMPRODUCT((Results!$A$2:$A$5001=Schedule!GI$45)*(Results!$B$2:$B$5001=Schedule!$A50)*(Results!$D$2:$D$5001))</f>
        <v>0</v>
      </c>
      <c r="GJ50" s="6">
        <f>SUMPRODUCT((Results!$A$2:$A$5001=Schedule!GJ$45)*(Results!$B$2:$B$5001=Schedule!$A50)*(Results!$D$2:$D$5001))</f>
        <v>0</v>
      </c>
      <c r="GK50" s="6">
        <f>SUMPRODUCT((Results!$A$2:$A$5001=Schedule!GK$45)*(Results!$B$2:$B$5001=Schedule!$A50)*(Results!$D$2:$D$5001))</f>
        <v>0</v>
      </c>
      <c r="GL50" s="6">
        <f>SUMPRODUCT((Results!$A$2:$A$5001=Schedule!GL$45)*(Results!$B$2:$B$5001=Schedule!$A50)*(Results!$D$2:$D$5001))</f>
        <v>0</v>
      </c>
      <c r="GM50" s="6">
        <f>SUMPRODUCT((Results!$A$2:$A$5001=Schedule!GM$45)*(Results!$B$2:$B$5001=Schedule!$A50)*(Results!$D$2:$D$5001))</f>
        <v>0</v>
      </c>
      <c r="GN50" s="6">
        <f>SUMPRODUCT((Results!$A$2:$A$5001=Schedule!GN$45)*(Results!$B$2:$B$5001=Schedule!$A50)*(Results!$D$2:$D$5001))</f>
        <v>0</v>
      </c>
      <c r="GO50" s="6">
        <f>SUMPRODUCT((Results!$A$2:$A$5001=Schedule!GO$45)*(Results!$B$2:$B$5001=Schedule!$A50)*(Results!$D$2:$D$5001))</f>
        <v>0</v>
      </c>
      <c r="GP50" s="6">
        <f>SUMPRODUCT((Results!$A$2:$A$5001=Schedule!GP$45)*(Results!$B$2:$B$5001=Schedule!$A50)*(Results!$D$2:$D$5001))</f>
        <v>0</v>
      </c>
      <c r="GQ50" s="6">
        <f>SUMPRODUCT((Results!$A$2:$A$5001=Schedule!GQ$45)*(Results!$B$2:$B$5001=Schedule!$A50)*(Results!$D$2:$D$5001))</f>
        <v>0</v>
      </c>
      <c r="GR50" s="6">
        <f>SUMPRODUCT((Results!$A$2:$A$5001=Schedule!GR$45)*(Results!$B$2:$B$5001=Schedule!$A50)*(Results!$D$2:$D$5001))</f>
        <v>0</v>
      </c>
      <c r="GS50" s="6">
        <f>SUMPRODUCT((Results!$A$2:$A$5001=Schedule!GS$45)*(Results!$B$2:$B$5001=Schedule!$A50)*(Results!$D$2:$D$5001))</f>
        <v>0</v>
      </c>
      <c r="GT50" s="6">
        <f>SUMPRODUCT((Results!$A$2:$A$5001=Schedule!GT$45)*(Results!$B$2:$B$5001=Schedule!$A50)*(Results!$D$2:$D$5001))</f>
        <v>0</v>
      </c>
      <c r="GU50" s="6">
        <f>SUMPRODUCT((Results!$A$2:$A$5001=Schedule!GU$45)*(Results!$B$2:$B$5001=Schedule!$A50)*(Results!$D$2:$D$5001))</f>
        <v>0</v>
      </c>
    </row>
    <row r="51" spans="1:203" ht="13.5" customHeight="1" x14ac:dyDescent="0.2">
      <c r="A51" s="40">
        <v>6</v>
      </c>
      <c r="B51" s="6">
        <f t="shared" si="17"/>
        <v>43.950299999999999</v>
      </c>
      <c r="C51" s="6">
        <f>SUMPRODUCT((Results!$A$2:$A$5001=Schedule!C$45)*(Results!$B$2:$B$5001=Schedule!$A51)*(Results!$D$2:$D$5001))</f>
        <v>0</v>
      </c>
      <c r="D51" s="6">
        <f>SUMPRODUCT((Results!$A$2:$A$5001=Schedule!D$45)*(Results!$B$2:$B$5001=Schedule!$A51)*(Results!$D$2:$D$5001))</f>
        <v>0</v>
      </c>
      <c r="E51" s="6">
        <f>SUMPRODUCT((Results!$A$2:$A$5001=Schedule!E$45)*(Results!$B$2:$B$5001=Schedule!$A51)*(Results!$D$2:$D$5001))</f>
        <v>0</v>
      </c>
      <c r="F51" s="6">
        <f>SUMPRODUCT((Results!$A$2:$A$5001=Schedule!F$45)*(Results!$B$2:$B$5001=Schedule!$A51)*(Results!$D$2:$D$5001))</f>
        <v>0</v>
      </c>
      <c r="G51" s="6">
        <f>SUMPRODUCT((Results!$A$2:$A$5001=Schedule!G$45)*(Results!$B$2:$B$5001=Schedule!$A51)*(Results!$D$2:$D$5001))</f>
        <v>32.411099999999998</v>
      </c>
      <c r="H51" s="6">
        <f>SUMPRODUCT((Results!$A$2:$A$5001=Schedule!H$45)*(Results!$B$2:$B$5001=Schedule!$A51)*(Results!$D$2:$D$5001))</f>
        <v>11.539199999999999</v>
      </c>
      <c r="I51" s="6">
        <f>SUMPRODUCT((Results!$A$2:$A$5001=Schedule!I$45)*(Results!$B$2:$B$5001=Schedule!$A51)*(Results!$D$2:$D$5001))</f>
        <v>0</v>
      </c>
      <c r="J51" s="6">
        <f>SUMPRODUCT((Results!$A$2:$A$5001=Schedule!J$45)*(Results!$B$2:$B$5001=Schedule!$A51)*(Results!$D$2:$D$5001))</f>
        <v>0</v>
      </c>
      <c r="K51" s="6">
        <f>SUMPRODUCT((Results!$A$2:$A$5001=Schedule!K$45)*(Results!$B$2:$B$5001=Schedule!$A51)*(Results!$D$2:$D$5001))</f>
        <v>0</v>
      </c>
      <c r="L51" s="6">
        <f>SUMPRODUCT((Results!$A$2:$A$5001=Schedule!L$45)*(Results!$B$2:$B$5001=Schedule!$A51)*(Results!$D$2:$D$5001))</f>
        <v>0</v>
      </c>
      <c r="M51" s="6">
        <f>SUMPRODUCT((Results!$A$2:$A$5001=Schedule!M$45)*(Results!$B$2:$B$5001=Schedule!$A51)*(Results!$D$2:$D$5001))</f>
        <v>0</v>
      </c>
      <c r="N51" s="6">
        <f>SUMPRODUCT((Results!$A$2:$A$5001=Schedule!N$45)*(Results!$B$2:$B$5001=Schedule!$A51)*(Results!$D$2:$D$5001))</f>
        <v>0</v>
      </c>
      <c r="O51" s="6">
        <f>SUMPRODUCT((Results!$A$2:$A$5001=Schedule!O$45)*(Results!$B$2:$B$5001=Schedule!$A51)*(Results!$D$2:$D$5001))</f>
        <v>0</v>
      </c>
      <c r="P51" s="6">
        <f>SUMPRODUCT((Results!$A$2:$A$5001=Schedule!P$45)*(Results!$B$2:$B$5001=Schedule!$A51)*(Results!$D$2:$D$5001))</f>
        <v>0</v>
      </c>
      <c r="Q51" s="6">
        <f>SUMPRODUCT((Results!$A$2:$A$5001=Schedule!Q$45)*(Results!$B$2:$B$5001=Schedule!$A51)*(Results!$D$2:$D$5001))</f>
        <v>0</v>
      </c>
      <c r="R51" s="6">
        <f>SUMPRODUCT((Results!$A$2:$A$5001=Schedule!R$45)*(Results!$B$2:$B$5001=Schedule!$A51)*(Results!$D$2:$D$5001))</f>
        <v>0</v>
      </c>
      <c r="S51" s="6">
        <f>SUMPRODUCT((Results!$A$2:$A$5001=Schedule!S$45)*(Results!$B$2:$B$5001=Schedule!$A51)*(Results!$D$2:$D$5001))</f>
        <v>0</v>
      </c>
      <c r="T51" s="6">
        <f>SUMPRODUCT((Results!$A$2:$A$5001=Schedule!T$45)*(Results!$B$2:$B$5001=Schedule!$A51)*(Results!$D$2:$D$5001))</f>
        <v>0</v>
      </c>
      <c r="U51" s="6">
        <f>SUMPRODUCT((Results!$A$2:$A$5001=Schedule!U$45)*(Results!$B$2:$B$5001=Schedule!$A51)*(Results!$D$2:$D$5001))</f>
        <v>0</v>
      </c>
      <c r="V51" s="6">
        <f>SUMPRODUCT((Results!$A$2:$A$5001=Schedule!V$45)*(Results!$B$2:$B$5001=Schedule!$A51)*(Results!$D$2:$D$5001))</f>
        <v>0</v>
      </c>
      <c r="W51" s="6">
        <f>SUMPRODUCT((Results!$A$2:$A$5001=Schedule!W$45)*(Results!$B$2:$B$5001=Schedule!$A51)*(Results!$D$2:$D$5001))</f>
        <v>0</v>
      </c>
      <c r="X51" s="6">
        <f>SUMPRODUCT((Results!$A$2:$A$5001=Schedule!X$45)*(Results!$B$2:$B$5001=Schedule!$A51)*(Results!$D$2:$D$5001))</f>
        <v>0</v>
      </c>
      <c r="Y51" s="6">
        <f>SUMPRODUCT((Results!$A$2:$A$5001=Schedule!Y$45)*(Results!$B$2:$B$5001=Schedule!$A51)*(Results!$D$2:$D$5001))</f>
        <v>0</v>
      </c>
      <c r="Z51" s="6">
        <f>SUMPRODUCT((Results!$A$2:$A$5001=Schedule!Z$45)*(Results!$B$2:$B$5001=Schedule!$A51)*(Results!$D$2:$D$5001))</f>
        <v>0</v>
      </c>
      <c r="AA51" s="6">
        <f>SUMPRODUCT((Results!$A$2:$A$5001=Schedule!AA$45)*(Results!$B$2:$B$5001=Schedule!$A51)*(Results!$D$2:$D$5001))</f>
        <v>0</v>
      </c>
      <c r="AB51" s="6">
        <f>SUMPRODUCT((Results!$A$2:$A$5001=Schedule!AB$45)*(Results!$B$2:$B$5001=Schedule!$A51)*(Results!$D$2:$D$5001))</f>
        <v>0</v>
      </c>
      <c r="AC51" s="6">
        <f>SUMPRODUCT((Results!$A$2:$A$5001=Schedule!AC$45)*(Results!$B$2:$B$5001=Schedule!$A51)*(Results!$D$2:$D$5001))</f>
        <v>0</v>
      </c>
      <c r="AD51" s="6">
        <f>SUMPRODUCT((Results!$A$2:$A$5001=Schedule!AD$45)*(Results!$B$2:$B$5001=Schedule!$A51)*(Results!$D$2:$D$5001))</f>
        <v>0</v>
      </c>
      <c r="AE51" s="6">
        <f>SUMPRODUCT((Results!$A$2:$A$5001=Schedule!AE$45)*(Results!$B$2:$B$5001=Schedule!$A51)*(Results!$D$2:$D$5001))</f>
        <v>0</v>
      </c>
      <c r="AF51" s="6">
        <f>SUMPRODUCT((Results!$A$2:$A$5001=Schedule!AF$45)*(Results!$B$2:$B$5001=Schedule!$A51)*(Results!$D$2:$D$5001))</f>
        <v>0</v>
      </c>
      <c r="AG51" s="6">
        <f>SUMPRODUCT((Results!$A$2:$A$5001=Schedule!AG$45)*(Results!$B$2:$B$5001=Schedule!$A51)*(Results!$D$2:$D$5001))</f>
        <v>0</v>
      </c>
      <c r="AH51" s="6">
        <f>SUMPRODUCT((Results!$A$2:$A$5001=Schedule!AH$45)*(Results!$B$2:$B$5001=Schedule!$A51)*(Results!$D$2:$D$5001))</f>
        <v>0</v>
      </c>
      <c r="AI51" s="6">
        <f>SUMPRODUCT((Results!$A$2:$A$5001=Schedule!AI$45)*(Results!$B$2:$B$5001=Schedule!$A51)*(Results!$D$2:$D$5001))</f>
        <v>0</v>
      </c>
      <c r="AJ51" s="6">
        <f>SUMPRODUCT((Results!$A$2:$A$5001=Schedule!AJ$45)*(Results!$B$2:$B$5001=Schedule!$A51)*(Results!$D$2:$D$5001))</f>
        <v>0</v>
      </c>
      <c r="AK51" s="6">
        <f>SUMPRODUCT((Results!$A$2:$A$5001=Schedule!AK$45)*(Results!$B$2:$B$5001=Schedule!$A51)*(Results!$D$2:$D$5001))</f>
        <v>0</v>
      </c>
      <c r="AL51" s="6">
        <f>SUMPRODUCT((Results!$A$2:$A$5001=Schedule!AL$45)*(Results!$B$2:$B$5001=Schedule!$A51)*(Results!$D$2:$D$5001))</f>
        <v>0</v>
      </c>
      <c r="AM51" s="6">
        <f>SUMPRODUCT((Results!$A$2:$A$5001=Schedule!AM$45)*(Results!$B$2:$B$5001=Schedule!$A51)*(Results!$D$2:$D$5001))</f>
        <v>0</v>
      </c>
      <c r="AN51" s="6">
        <f>SUMPRODUCT((Results!$A$2:$A$5001=Schedule!AN$45)*(Results!$B$2:$B$5001=Schedule!$A51)*(Results!$D$2:$D$5001))</f>
        <v>0</v>
      </c>
      <c r="AO51" s="6">
        <f>SUMPRODUCT((Results!$A$2:$A$5001=Schedule!AO$45)*(Results!$B$2:$B$5001=Schedule!$A51)*(Results!$D$2:$D$5001))</f>
        <v>0</v>
      </c>
      <c r="AP51" s="6">
        <f>SUMPRODUCT((Results!$A$2:$A$5001=Schedule!AP$45)*(Results!$B$2:$B$5001=Schedule!$A51)*(Results!$D$2:$D$5001))</f>
        <v>0</v>
      </c>
      <c r="AQ51" s="6">
        <f>SUMPRODUCT((Results!$A$2:$A$5001=Schedule!AQ$45)*(Results!$B$2:$B$5001=Schedule!$A51)*(Results!$D$2:$D$5001))</f>
        <v>0</v>
      </c>
      <c r="AR51" s="6">
        <f>SUMPRODUCT((Results!$A$2:$A$5001=Schedule!AR$45)*(Results!$B$2:$B$5001=Schedule!$A51)*(Results!$D$2:$D$5001))</f>
        <v>0</v>
      </c>
      <c r="AS51" s="6">
        <f>SUMPRODUCT((Results!$A$2:$A$5001=Schedule!AS$45)*(Results!$B$2:$B$5001=Schedule!$A51)*(Results!$D$2:$D$5001))</f>
        <v>0</v>
      </c>
      <c r="AT51" s="6">
        <f>SUMPRODUCT((Results!$A$2:$A$5001=Schedule!AT$45)*(Results!$B$2:$B$5001=Schedule!$A51)*(Results!$D$2:$D$5001))</f>
        <v>0</v>
      </c>
      <c r="AU51" s="6">
        <f>SUMPRODUCT((Results!$A$2:$A$5001=Schedule!AU$45)*(Results!$B$2:$B$5001=Schedule!$A51)*(Results!$D$2:$D$5001))</f>
        <v>0</v>
      </c>
      <c r="AV51" s="6">
        <f>SUMPRODUCT((Results!$A$2:$A$5001=Schedule!AV$45)*(Results!$B$2:$B$5001=Schedule!$A51)*(Results!$D$2:$D$5001))</f>
        <v>0</v>
      </c>
      <c r="AW51" s="6">
        <f>SUMPRODUCT((Results!$A$2:$A$5001=Schedule!AW$45)*(Results!$B$2:$B$5001=Schedule!$A51)*(Results!$D$2:$D$5001))</f>
        <v>0</v>
      </c>
      <c r="AX51" s="6">
        <f>SUMPRODUCT((Results!$A$2:$A$5001=Schedule!AX$45)*(Results!$B$2:$B$5001=Schedule!$A51)*(Results!$D$2:$D$5001))</f>
        <v>0</v>
      </c>
      <c r="AY51" s="6">
        <f>SUMPRODUCT((Results!$A$2:$A$5001=Schedule!AY$45)*(Results!$B$2:$B$5001=Schedule!$A51)*(Results!$D$2:$D$5001))</f>
        <v>0</v>
      </c>
      <c r="AZ51" s="6">
        <f>SUMPRODUCT((Results!$A$2:$A$5001=Schedule!AZ$45)*(Results!$B$2:$B$5001=Schedule!$A51)*(Results!$D$2:$D$5001))</f>
        <v>0</v>
      </c>
      <c r="BA51" s="6">
        <f>SUMPRODUCT((Results!$A$2:$A$5001=Schedule!BA$45)*(Results!$B$2:$B$5001=Schedule!$A51)*(Results!$D$2:$D$5001))</f>
        <v>0</v>
      </c>
      <c r="BB51" s="6">
        <f>SUMPRODUCT((Results!$A$2:$A$5001=Schedule!BB$45)*(Results!$B$2:$B$5001=Schedule!$A51)*(Results!$D$2:$D$5001))</f>
        <v>0</v>
      </c>
      <c r="BC51" s="6">
        <f>SUMPRODUCT((Results!$A$2:$A$5001=Schedule!BC$45)*(Results!$B$2:$B$5001=Schedule!$A51)*(Results!$D$2:$D$5001))</f>
        <v>0</v>
      </c>
      <c r="BD51" s="6">
        <f>SUMPRODUCT((Results!$A$2:$A$5001=Schedule!BD$45)*(Results!$B$2:$B$5001=Schedule!$A51)*(Results!$D$2:$D$5001))</f>
        <v>0</v>
      </c>
      <c r="BE51" s="6">
        <f>SUMPRODUCT((Results!$A$2:$A$5001=Schedule!BE$45)*(Results!$B$2:$B$5001=Schedule!$A51)*(Results!$D$2:$D$5001))</f>
        <v>0</v>
      </c>
      <c r="BF51" s="6">
        <f>SUMPRODUCT((Results!$A$2:$A$5001=Schedule!BF$45)*(Results!$B$2:$B$5001=Schedule!$A51)*(Results!$D$2:$D$5001))</f>
        <v>0</v>
      </c>
      <c r="BG51" s="6">
        <f>SUMPRODUCT((Results!$A$2:$A$5001=Schedule!BG$45)*(Results!$B$2:$B$5001=Schedule!$A51)*(Results!$D$2:$D$5001))</f>
        <v>0</v>
      </c>
      <c r="BH51" s="6">
        <f>SUMPRODUCT((Results!$A$2:$A$5001=Schedule!BH$45)*(Results!$B$2:$B$5001=Schedule!$A51)*(Results!$D$2:$D$5001))</f>
        <v>0</v>
      </c>
      <c r="BI51" s="6">
        <f>SUMPRODUCT((Results!$A$2:$A$5001=Schedule!BI$45)*(Results!$B$2:$B$5001=Schedule!$A51)*(Results!$D$2:$D$5001))</f>
        <v>0</v>
      </c>
      <c r="BJ51" s="6">
        <f>SUMPRODUCT((Results!$A$2:$A$5001=Schedule!BJ$45)*(Results!$B$2:$B$5001=Schedule!$A51)*(Results!$D$2:$D$5001))</f>
        <v>0</v>
      </c>
      <c r="BK51" s="6">
        <f>SUMPRODUCT((Results!$A$2:$A$5001=Schedule!BK$45)*(Results!$B$2:$B$5001=Schedule!$A51)*(Results!$D$2:$D$5001))</f>
        <v>0</v>
      </c>
      <c r="BL51" s="6">
        <f>SUMPRODUCT((Results!$A$2:$A$5001=Schedule!BL$45)*(Results!$B$2:$B$5001=Schedule!$A51)*(Results!$D$2:$D$5001))</f>
        <v>0</v>
      </c>
      <c r="BM51" s="6">
        <f>SUMPRODUCT((Results!$A$2:$A$5001=Schedule!BM$45)*(Results!$B$2:$B$5001=Schedule!$A51)*(Results!$D$2:$D$5001))</f>
        <v>0</v>
      </c>
      <c r="BN51" s="6">
        <f>SUMPRODUCT((Results!$A$2:$A$5001=Schedule!BN$45)*(Results!$B$2:$B$5001=Schedule!$A51)*(Results!$D$2:$D$5001))</f>
        <v>0</v>
      </c>
      <c r="BO51" s="6">
        <f>SUMPRODUCT((Results!$A$2:$A$5001=Schedule!BO$45)*(Results!$B$2:$B$5001=Schedule!$A51)*(Results!$D$2:$D$5001))</f>
        <v>0</v>
      </c>
      <c r="BP51" s="6">
        <f>SUMPRODUCT((Results!$A$2:$A$5001=Schedule!BP$45)*(Results!$B$2:$B$5001=Schedule!$A51)*(Results!$D$2:$D$5001))</f>
        <v>0</v>
      </c>
      <c r="BQ51" s="6">
        <f>SUMPRODUCT((Results!$A$2:$A$5001=Schedule!BQ$45)*(Results!$B$2:$B$5001=Schedule!$A51)*(Results!$D$2:$D$5001))</f>
        <v>0</v>
      </c>
      <c r="BR51" s="6">
        <f>SUMPRODUCT((Results!$A$2:$A$5001=Schedule!BR$45)*(Results!$B$2:$B$5001=Schedule!$A51)*(Results!$D$2:$D$5001))</f>
        <v>0</v>
      </c>
      <c r="BS51" s="6">
        <f>SUMPRODUCT((Results!$A$2:$A$5001=Schedule!BS$45)*(Results!$B$2:$B$5001=Schedule!$A51)*(Results!$D$2:$D$5001))</f>
        <v>0</v>
      </c>
      <c r="BT51" s="6">
        <f>SUMPRODUCT((Results!$A$2:$A$5001=Schedule!BT$45)*(Results!$B$2:$B$5001=Schedule!$A51)*(Results!$D$2:$D$5001))</f>
        <v>0</v>
      </c>
      <c r="BU51" s="6">
        <f>SUMPRODUCT((Results!$A$2:$A$5001=Schedule!BU$45)*(Results!$B$2:$B$5001=Schedule!$A51)*(Results!$D$2:$D$5001))</f>
        <v>0</v>
      </c>
      <c r="BV51" s="6">
        <f>SUMPRODUCT((Results!$A$2:$A$5001=Schedule!BV$45)*(Results!$B$2:$B$5001=Schedule!$A51)*(Results!$D$2:$D$5001))</f>
        <v>0</v>
      </c>
      <c r="BW51" s="6">
        <f>SUMPRODUCT((Results!$A$2:$A$5001=Schedule!BW$45)*(Results!$B$2:$B$5001=Schedule!$A51)*(Results!$D$2:$D$5001))</f>
        <v>0</v>
      </c>
      <c r="BX51" s="6">
        <f>SUMPRODUCT((Results!$A$2:$A$5001=Schedule!BX$45)*(Results!$B$2:$B$5001=Schedule!$A51)*(Results!$D$2:$D$5001))</f>
        <v>0</v>
      </c>
      <c r="BY51" s="6">
        <f>SUMPRODUCT((Results!$A$2:$A$5001=Schedule!BY$45)*(Results!$B$2:$B$5001=Schedule!$A51)*(Results!$D$2:$D$5001))</f>
        <v>0</v>
      </c>
      <c r="BZ51" s="6">
        <f>SUMPRODUCT((Results!$A$2:$A$5001=Schedule!BZ$45)*(Results!$B$2:$B$5001=Schedule!$A51)*(Results!$D$2:$D$5001))</f>
        <v>0</v>
      </c>
      <c r="CA51" s="6">
        <f>SUMPRODUCT((Results!$A$2:$A$5001=Schedule!CA$45)*(Results!$B$2:$B$5001=Schedule!$A51)*(Results!$D$2:$D$5001))</f>
        <v>0</v>
      </c>
      <c r="CB51" s="6">
        <f>SUMPRODUCT((Results!$A$2:$A$5001=Schedule!CB$45)*(Results!$B$2:$B$5001=Schedule!$A51)*(Results!$D$2:$D$5001))</f>
        <v>0</v>
      </c>
      <c r="CC51" s="6">
        <f>SUMPRODUCT((Results!$A$2:$A$5001=Schedule!CC$45)*(Results!$B$2:$B$5001=Schedule!$A51)*(Results!$D$2:$D$5001))</f>
        <v>0</v>
      </c>
      <c r="CD51" s="6">
        <f>SUMPRODUCT((Results!$A$2:$A$5001=Schedule!CD$45)*(Results!$B$2:$B$5001=Schedule!$A51)*(Results!$D$2:$D$5001))</f>
        <v>0</v>
      </c>
      <c r="CE51" s="6">
        <f>SUMPRODUCT((Results!$A$2:$A$5001=Schedule!CE$45)*(Results!$B$2:$B$5001=Schedule!$A51)*(Results!$D$2:$D$5001))</f>
        <v>0</v>
      </c>
      <c r="CF51" s="6">
        <f>SUMPRODUCT((Results!$A$2:$A$5001=Schedule!CF$45)*(Results!$B$2:$B$5001=Schedule!$A51)*(Results!$D$2:$D$5001))</f>
        <v>0</v>
      </c>
      <c r="CG51" s="6">
        <f>SUMPRODUCT((Results!$A$2:$A$5001=Schedule!CG$45)*(Results!$B$2:$B$5001=Schedule!$A51)*(Results!$D$2:$D$5001))</f>
        <v>0</v>
      </c>
      <c r="CH51" s="6">
        <f>SUMPRODUCT((Results!$A$2:$A$5001=Schedule!CH$45)*(Results!$B$2:$B$5001=Schedule!$A51)*(Results!$D$2:$D$5001))</f>
        <v>0</v>
      </c>
      <c r="CI51" s="6">
        <f>SUMPRODUCT((Results!$A$2:$A$5001=Schedule!CI$45)*(Results!$B$2:$B$5001=Schedule!$A51)*(Results!$D$2:$D$5001))</f>
        <v>0</v>
      </c>
      <c r="CJ51" s="6">
        <f>SUMPRODUCT((Results!$A$2:$A$5001=Schedule!CJ$45)*(Results!$B$2:$B$5001=Schedule!$A51)*(Results!$D$2:$D$5001))</f>
        <v>0</v>
      </c>
      <c r="CK51" s="6">
        <f>SUMPRODUCT((Results!$A$2:$A$5001=Schedule!CK$45)*(Results!$B$2:$B$5001=Schedule!$A51)*(Results!$D$2:$D$5001))</f>
        <v>0</v>
      </c>
      <c r="CL51" s="6">
        <f>SUMPRODUCT((Results!$A$2:$A$5001=Schedule!CL$45)*(Results!$B$2:$B$5001=Schedule!$A51)*(Results!$D$2:$D$5001))</f>
        <v>0</v>
      </c>
      <c r="CM51" s="6">
        <f>SUMPRODUCT((Results!$A$2:$A$5001=Schedule!CM$45)*(Results!$B$2:$B$5001=Schedule!$A51)*(Results!$D$2:$D$5001))</f>
        <v>0</v>
      </c>
      <c r="CN51" s="6">
        <f>SUMPRODUCT((Results!$A$2:$A$5001=Schedule!CN$45)*(Results!$B$2:$B$5001=Schedule!$A51)*(Results!$D$2:$D$5001))</f>
        <v>0</v>
      </c>
      <c r="CO51" s="6">
        <f>SUMPRODUCT((Results!$A$2:$A$5001=Schedule!CO$45)*(Results!$B$2:$B$5001=Schedule!$A51)*(Results!$D$2:$D$5001))</f>
        <v>0</v>
      </c>
      <c r="CP51" s="6">
        <f>SUMPRODUCT((Results!$A$2:$A$5001=Schedule!CP$45)*(Results!$B$2:$B$5001=Schedule!$A51)*(Results!$D$2:$D$5001))</f>
        <v>0</v>
      </c>
      <c r="CQ51" s="6">
        <f>SUMPRODUCT((Results!$A$2:$A$5001=Schedule!CQ$45)*(Results!$B$2:$B$5001=Schedule!$A51)*(Results!$D$2:$D$5001))</f>
        <v>0</v>
      </c>
      <c r="CR51" s="6">
        <f>SUMPRODUCT((Results!$A$2:$A$5001=Schedule!CR$45)*(Results!$B$2:$B$5001=Schedule!$A51)*(Results!$D$2:$D$5001))</f>
        <v>0</v>
      </c>
      <c r="CS51" s="6">
        <f>SUMPRODUCT((Results!$A$2:$A$5001=Schedule!CS$45)*(Results!$B$2:$B$5001=Schedule!$A51)*(Results!$D$2:$D$5001))</f>
        <v>0</v>
      </c>
      <c r="CT51" s="6">
        <f>SUMPRODUCT((Results!$A$2:$A$5001=Schedule!CT$45)*(Results!$B$2:$B$5001=Schedule!$A51)*(Results!$D$2:$D$5001))</f>
        <v>0</v>
      </c>
      <c r="CU51" s="6">
        <f>SUMPRODUCT((Results!$A$2:$A$5001=Schedule!CU$45)*(Results!$B$2:$B$5001=Schedule!$A51)*(Results!$D$2:$D$5001))</f>
        <v>0</v>
      </c>
      <c r="CV51" s="6">
        <f>SUMPRODUCT((Results!$A$2:$A$5001=Schedule!CV$45)*(Results!$B$2:$B$5001=Schedule!$A51)*(Results!$D$2:$D$5001))</f>
        <v>0</v>
      </c>
      <c r="CW51" s="6">
        <f>SUMPRODUCT((Results!$A$2:$A$5001=Schedule!CW$45)*(Results!$B$2:$B$5001=Schedule!$A51)*(Results!$D$2:$D$5001))</f>
        <v>0</v>
      </c>
      <c r="CX51" s="6">
        <f>SUMPRODUCT((Results!$A$2:$A$5001=Schedule!CX$45)*(Results!$B$2:$B$5001=Schedule!$A51)*(Results!$D$2:$D$5001))</f>
        <v>0</v>
      </c>
      <c r="CY51" s="6">
        <f>SUMPRODUCT((Results!$A$2:$A$5001=Schedule!CY$45)*(Results!$B$2:$B$5001=Schedule!$A51)*(Results!$D$2:$D$5001))</f>
        <v>0</v>
      </c>
      <c r="CZ51" s="6">
        <f>SUMPRODUCT((Results!$A$2:$A$5001=Schedule!CZ$45)*(Results!$B$2:$B$5001=Schedule!$A51)*(Results!$D$2:$D$5001))</f>
        <v>0</v>
      </c>
      <c r="DA51" s="6">
        <f>SUMPRODUCT((Results!$A$2:$A$5001=Schedule!DA$45)*(Results!$B$2:$B$5001=Schedule!$A51)*(Results!$D$2:$D$5001))</f>
        <v>0</v>
      </c>
      <c r="DB51" s="6">
        <f>SUMPRODUCT((Results!$A$2:$A$5001=Schedule!DB$45)*(Results!$B$2:$B$5001=Schedule!$A51)*(Results!$D$2:$D$5001))</f>
        <v>0</v>
      </c>
      <c r="DC51" s="6">
        <f>SUMPRODUCT((Results!$A$2:$A$5001=Schedule!DC$45)*(Results!$B$2:$B$5001=Schedule!$A51)*(Results!$D$2:$D$5001))</f>
        <v>0</v>
      </c>
      <c r="DD51" s="6">
        <f>SUMPRODUCT((Results!$A$2:$A$5001=Schedule!DD$45)*(Results!$B$2:$B$5001=Schedule!$A51)*(Results!$D$2:$D$5001))</f>
        <v>0</v>
      </c>
      <c r="DE51" s="6">
        <f>SUMPRODUCT((Results!$A$2:$A$5001=Schedule!DE$45)*(Results!$B$2:$B$5001=Schedule!$A51)*(Results!$D$2:$D$5001))</f>
        <v>0</v>
      </c>
      <c r="DF51" s="6">
        <f>SUMPRODUCT((Results!$A$2:$A$5001=Schedule!DF$45)*(Results!$B$2:$B$5001=Schedule!$A51)*(Results!$D$2:$D$5001))</f>
        <v>0</v>
      </c>
      <c r="DG51" s="6">
        <f>SUMPRODUCT((Results!$A$2:$A$5001=Schedule!DG$45)*(Results!$B$2:$B$5001=Schedule!$A51)*(Results!$D$2:$D$5001))</f>
        <v>0</v>
      </c>
      <c r="DH51" s="6">
        <f>SUMPRODUCT((Results!$A$2:$A$5001=Schedule!DH$45)*(Results!$B$2:$B$5001=Schedule!$A51)*(Results!$D$2:$D$5001))</f>
        <v>0</v>
      </c>
      <c r="DI51" s="6">
        <f>SUMPRODUCT((Results!$A$2:$A$5001=Schedule!DI$45)*(Results!$B$2:$B$5001=Schedule!$A51)*(Results!$D$2:$D$5001))</f>
        <v>0</v>
      </c>
      <c r="DJ51" s="6">
        <f>SUMPRODUCT((Results!$A$2:$A$5001=Schedule!DJ$45)*(Results!$B$2:$B$5001=Schedule!$A51)*(Results!$D$2:$D$5001))</f>
        <v>0</v>
      </c>
      <c r="DK51" s="6">
        <f>SUMPRODUCT((Results!$A$2:$A$5001=Schedule!DK$45)*(Results!$B$2:$B$5001=Schedule!$A51)*(Results!$D$2:$D$5001))</f>
        <v>0</v>
      </c>
      <c r="DL51" s="6">
        <f>SUMPRODUCT((Results!$A$2:$A$5001=Schedule!DL$45)*(Results!$B$2:$B$5001=Schedule!$A51)*(Results!$D$2:$D$5001))</f>
        <v>0</v>
      </c>
      <c r="DM51" s="6">
        <f>SUMPRODUCT((Results!$A$2:$A$5001=Schedule!DM$45)*(Results!$B$2:$B$5001=Schedule!$A51)*(Results!$D$2:$D$5001))</f>
        <v>0</v>
      </c>
      <c r="DN51" s="6">
        <f>SUMPRODUCT((Results!$A$2:$A$5001=Schedule!DN$45)*(Results!$B$2:$B$5001=Schedule!$A51)*(Results!$D$2:$D$5001))</f>
        <v>0</v>
      </c>
      <c r="DO51" s="6">
        <f>SUMPRODUCT((Results!$A$2:$A$5001=Schedule!DO$45)*(Results!$B$2:$B$5001=Schedule!$A51)*(Results!$D$2:$D$5001))</f>
        <v>0</v>
      </c>
      <c r="DP51" s="6">
        <f>SUMPRODUCT((Results!$A$2:$A$5001=Schedule!DP$45)*(Results!$B$2:$B$5001=Schedule!$A51)*(Results!$D$2:$D$5001))</f>
        <v>0</v>
      </c>
      <c r="DQ51" s="6">
        <f>SUMPRODUCT((Results!$A$2:$A$5001=Schedule!DQ$45)*(Results!$B$2:$B$5001=Schedule!$A51)*(Results!$D$2:$D$5001))</f>
        <v>0</v>
      </c>
      <c r="DR51" s="6">
        <f>SUMPRODUCT((Results!$A$2:$A$5001=Schedule!DR$45)*(Results!$B$2:$B$5001=Schedule!$A51)*(Results!$D$2:$D$5001))</f>
        <v>0</v>
      </c>
      <c r="DS51" s="6">
        <f>SUMPRODUCT((Results!$A$2:$A$5001=Schedule!DS$45)*(Results!$B$2:$B$5001=Schedule!$A51)*(Results!$D$2:$D$5001))</f>
        <v>0</v>
      </c>
      <c r="DT51" s="6">
        <f>SUMPRODUCT((Results!$A$2:$A$5001=Schedule!DT$45)*(Results!$B$2:$B$5001=Schedule!$A51)*(Results!$D$2:$D$5001))</f>
        <v>0</v>
      </c>
      <c r="DU51" s="6">
        <f>SUMPRODUCT((Results!$A$2:$A$5001=Schedule!DU$45)*(Results!$B$2:$B$5001=Schedule!$A51)*(Results!$D$2:$D$5001))</f>
        <v>0</v>
      </c>
      <c r="DV51" s="6">
        <f>SUMPRODUCT((Results!$A$2:$A$5001=Schedule!DV$45)*(Results!$B$2:$B$5001=Schedule!$A51)*(Results!$D$2:$D$5001))</f>
        <v>0</v>
      </c>
      <c r="DW51" s="6">
        <f>SUMPRODUCT((Results!$A$2:$A$5001=Schedule!DW$45)*(Results!$B$2:$B$5001=Schedule!$A51)*(Results!$D$2:$D$5001))</f>
        <v>0</v>
      </c>
      <c r="DX51" s="6">
        <f>SUMPRODUCT((Results!$A$2:$A$5001=Schedule!DX$45)*(Results!$B$2:$B$5001=Schedule!$A51)*(Results!$D$2:$D$5001))</f>
        <v>0</v>
      </c>
      <c r="DY51" s="6">
        <f>SUMPRODUCT((Results!$A$2:$A$5001=Schedule!DY$45)*(Results!$B$2:$B$5001=Schedule!$A51)*(Results!$D$2:$D$5001))</f>
        <v>0</v>
      </c>
      <c r="DZ51" s="6">
        <f>SUMPRODUCT((Results!$A$2:$A$5001=Schedule!DZ$45)*(Results!$B$2:$B$5001=Schedule!$A51)*(Results!$D$2:$D$5001))</f>
        <v>0</v>
      </c>
      <c r="EA51" s="6">
        <f>SUMPRODUCT((Results!$A$2:$A$5001=Schedule!EA$45)*(Results!$B$2:$B$5001=Schedule!$A51)*(Results!$D$2:$D$5001))</f>
        <v>0</v>
      </c>
      <c r="EB51" s="6">
        <f>SUMPRODUCT((Results!$A$2:$A$5001=Schedule!EB$45)*(Results!$B$2:$B$5001=Schedule!$A51)*(Results!$D$2:$D$5001))</f>
        <v>0</v>
      </c>
      <c r="EC51" s="6">
        <f>SUMPRODUCT((Results!$A$2:$A$5001=Schedule!EC$45)*(Results!$B$2:$B$5001=Schedule!$A51)*(Results!$D$2:$D$5001))</f>
        <v>0</v>
      </c>
      <c r="ED51" s="6">
        <f>SUMPRODUCT((Results!$A$2:$A$5001=Schedule!ED$45)*(Results!$B$2:$B$5001=Schedule!$A51)*(Results!$D$2:$D$5001))</f>
        <v>0</v>
      </c>
      <c r="EE51" s="6">
        <f>SUMPRODUCT((Results!$A$2:$A$5001=Schedule!EE$45)*(Results!$B$2:$B$5001=Schedule!$A51)*(Results!$D$2:$D$5001))</f>
        <v>0</v>
      </c>
      <c r="EF51" s="6">
        <f>SUMPRODUCT((Results!$A$2:$A$5001=Schedule!EF$45)*(Results!$B$2:$B$5001=Schedule!$A51)*(Results!$D$2:$D$5001))</f>
        <v>0</v>
      </c>
      <c r="EG51" s="6">
        <f>SUMPRODUCT((Results!$A$2:$A$5001=Schedule!EG$45)*(Results!$B$2:$B$5001=Schedule!$A51)*(Results!$D$2:$D$5001))</f>
        <v>0</v>
      </c>
      <c r="EH51" s="6">
        <f>SUMPRODUCT((Results!$A$2:$A$5001=Schedule!EH$45)*(Results!$B$2:$B$5001=Schedule!$A51)*(Results!$D$2:$D$5001))</f>
        <v>0</v>
      </c>
      <c r="EI51" s="6">
        <f>SUMPRODUCT((Results!$A$2:$A$5001=Schedule!EI$45)*(Results!$B$2:$B$5001=Schedule!$A51)*(Results!$D$2:$D$5001))</f>
        <v>0</v>
      </c>
      <c r="EJ51" s="6">
        <f>SUMPRODUCT((Results!$A$2:$A$5001=Schedule!EJ$45)*(Results!$B$2:$B$5001=Schedule!$A51)*(Results!$D$2:$D$5001))</f>
        <v>0</v>
      </c>
      <c r="EK51" s="6">
        <f>SUMPRODUCT((Results!$A$2:$A$5001=Schedule!EK$45)*(Results!$B$2:$B$5001=Schedule!$A51)*(Results!$D$2:$D$5001))</f>
        <v>0</v>
      </c>
      <c r="EL51" s="6">
        <f>SUMPRODUCT((Results!$A$2:$A$5001=Schedule!EL$45)*(Results!$B$2:$B$5001=Schedule!$A51)*(Results!$D$2:$D$5001))</f>
        <v>0</v>
      </c>
      <c r="EM51" s="6">
        <f>SUMPRODUCT((Results!$A$2:$A$5001=Schedule!EM$45)*(Results!$B$2:$B$5001=Schedule!$A51)*(Results!$D$2:$D$5001))</f>
        <v>0</v>
      </c>
      <c r="EN51" s="6">
        <f>SUMPRODUCT((Results!$A$2:$A$5001=Schedule!EN$45)*(Results!$B$2:$B$5001=Schedule!$A51)*(Results!$D$2:$D$5001))</f>
        <v>0</v>
      </c>
      <c r="EO51" s="6">
        <f>SUMPRODUCT((Results!$A$2:$A$5001=Schedule!EO$45)*(Results!$B$2:$B$5001=Schedule!$A51)*(Results!$D$2:$D$5001))</f>
        <v>0</v>
      </c>
      <c r="EP51" s="6">
        <f>SUMPRODUCT((Results!$A$2:$A$5001=Schedule!EP$45)*(Results!$B$2:$B$5001=Schedule!$A51)*(Results!$D$2:$D$5001))</f>
        <v>0</v>
      </c>
      <c r="EQ51" s="6">
        <f>SUMPRODUCT((Results!$A$2:$A$5001=Schedule!EQ$45)*(Results!$B$2:$B$5001=Schedule!$A51)*(Results!$D$2:$D$5001))</f>
        <v>0</v>
      </c>
      <c r="ER51" s="6">
        <f>SUMPRODUCT((Results!$A$2:$A$5001=Schedule!ER$45)*(Results!$B$2:$B$5001=Schedule!$A51)*(Results!$D$2:$D$5001))</f>
        <v>0</v>
      </c>
      <c r="ES51" s="6">
        <f>SUMPRODUCT((Results!$A$2:$A$5001=Schedule!ES$45)*(Results!$B$2:$B$5001=Schedule!$A51)*(Results!$D$2:$D$5001))</f>
        <v>0</v>
      </c>
      <c r="ET51" s="6">
        <f>SUMPRODUCT((Results!$A$2:$A$5001=Schedule!ET$45)*(Results!$B$2:$B$5001=Schedule!$A51)*(Results!$D$2:$D$5001))</f>
        <v>0</v>
      </c>
      <c r="EU51" s="6">
        <f>SUMPRODUCT((Results!$A$2:$A$5001=Schedule!EU$45)*(Results!$B$2:$B$5001=Schedule!$A51)*(Results!$D$2:$D$5001))</f>
        <v>0</v>
      </c>
      <c r="EV51" s="6">
        <f>SUMPRODUCT((Results!$A$2:$A$5001=Schedule!EV$45)*(Results!$B$2:$B$5001=Schedule!$A51)*(Results!$D$2:$D$5001))</f>
        <v>0</v>
      </c>
      <c r="EW51" s="6">
        <f>SUMPRODUCT((Results!$A$2:$A$5001=Schedule!EW$45)*(Results!$B$2:$B$5001=Schedule!$A51)*(Results!$D$2:$D$5001))</f>
        <v>0</v>
      </c>
      <c r="EX51" s="6">
        <f>SUMPRODUCT((Results!$A$2:$A$5001=Schedule!EX$45)*(Results!$B$2:$B$5001=Schedule!$A51)*(Results!$D$2:$D$5001))</f>
        <v>0</v>
      </c>
      <c r="EY51" s="6">
        <f>SUMPRODUCT((Results!$A$2:$A$5001=Schedule!EY$45)*(Results!$B$2:$B$5001=Schedule!$A51)*(Results!$D$2:$D$5001))</f>
        <v>0</v>
      </c>
      <c r="EZ51" s="6">
        <f>SUMPRODUCT((Results!$A$2:$A$5001=Schedule!EZ$45)*(Results!$B$2:$B$5001=Schedule!$A51)*(Results!$D$2:$D$5001))</f>
        <v>0</v>
      </c>
      <c r="FA51" s="6">
        <f>SUMPRODUCT((Results!$A$2:$A$5001=Schedule!FA$45)*(Results!$B$2:$B$5001=Schedule!$A51)*(Results!$D$2:$D$5001))</f>
        <v>0</v>
      </c>
      <c r="FB51" s="6">
        <f>SUMPRODUCT((Results!$A$2:$A$5001=Schedule!FB$45)*(Results!$B$2:$B$5001=Schedule!$A51)*(Results!$D$2:$D$5001))</f>
        <v>0</v>
      </c>
      <c r="FC51" s="6">
        <f>SUMPRODUCT((Results!$A$2:$A$5001=Schedule!FC$45)*(Results!$B$2:$B$5001=Schedule!$A51)*(Results!$D$2:$D$5001))</f>
        <v>0</v>
      </c>
      <c r="FD51" s="6">
        <f>SUMPRODUCT((Results!$A$2:$A$5001=Schedule!FD$45)*(Results!$B$2:$B$5001=Schedule!$A51)*(Results!$D$2:$D$5001))</f>
        <v>0</v>
      </c>
      <c r="FE51" s="6">
        <f>SUMPRODUCT((Results!$A$2:$A$5001=Schedule!FE$45)*(Results!$B$2:$B$5001=Schedule!$A51)*(Results!$D$2:$D$5001))</f>
        <v>0</v>
      </c>
      <c r="FF51" s="6">
        <f>SUMPRODUCT((Results!$A$2:$A$5001=Schedule!FF$45)*(Results!$B$2:$B$5001=Schedule!$A51)*(Results!$D$2:$D$5001))</f>
        <v>0</v>
      </c>
      <c r="FG51" s="6">
        <f>SUMPRODUCT((Results!$A$2:$A$5001=Schedule!FG$45)*(Results!$B$2:$B$5001=Schedule!$A51)*(Results!$D$2:$D$5001))</f>
        <v>0</v>
      </c>
      <c r="FH51" s="6">
        <f>SUMPRODUCT((Results!$A$2:$A$5001=Schedule!FH$45)*(Results!$B$2:$B$5001=Schedule!$A51)*(Results!$D$2:$D$5001))</f>
        <v>0</v>
      </c>
      <c r="FI51" s="6">
        <f>SUMPRODUCT((Results!$A$2:$A$5001=Schedule!FI$45)*(Results!$B$2:$B$5001=Schedule!$A51)*(Results!$D$2:$D$5001))</f>
        <v>0</v>
      </c>
      <c r="FJ51" s="6">
        <f>SUMPRODUCT((Results!$A$2:$A$5001=Schedule!FJ$45)*(Results!$B$2:$B$5001=Schedule!$A51)*(Results!$D$2:$D$5001))</f>
        <v>0</v>
      </c>
      <c r="FK51" s="6">
        <f>SUMPRODUCT((Results!$A$2:$A$5001=Schedule!FK$45)*(Results!$B$2:$B$5001=Schedule!$A51)*(Results!$D$2:$D$5001))</f>
        <v>0</v>
      </c>
      <c r="FL51" s="6">
        <f>SUMPRODUCT((Results!$A$2:$A$5001=Schedule!FL$45)*(Results!$B$2:$B$5001=Schedule!$A51)*(Results!$D$2:$D$5001))</f>
        <v>0</v>
      </c>
      <c r="FM51" s="6">
        <f>SUMPRODUCT((Results!$A$2:$A$5001=Schedule!FM$45)*(Results!$B$2:$B$5001=Schedule!$A51)*(Results!$D$2:$D$5001))</f>
        <v>0</v>
      </c>
      <c r="FN51" s="6">
        <f>SUMPRODUCT((Results!$A$2:$A$5001=Schedule!FN$45)*(Results!$B$2:$B$5001=Schedule!$A51)*(Results!$D$2:$D$5001))</f>
        <v>0</v>
      </c>
      <c r="FO51" s="6">
        <f>SUMPRODUCT((Results!$A$2:$A$5001=Schedule!FO$45)*(Results!$B$2:$B$5001=Schedule!$A51)*(Results!$D$2:$D$5001))</f>
        <v>0</v>
      </c>
      <c r="FP51" s="6">
        <f>SUMPRODUCT((Results!$A$2:$A$5001=Schedule!FP$45)*(Results!$B$2:$B$5001=Schedule!$A51)*(Results!$D$2:$D$5001))</f>
        <v>0</v>
      </c>
      <c r="FQ51" s="6">
        <f>SUMPRODUCT((Results!$A$2:$A$5001=Schedule!FQ$45)*(Results!$B$2:$B$5001=Schedule!$A51)*(Results!$D$2:$D$5001))</f>
        <v>0</v>
      </c>
      <c r="FR51" s="6">
        <f>SUMPRODUCT((Results!$A$2:$A$5001=Schedule!FR$45)*(Results!$B$2:$B$5001=Schedule!$A51)*(Results!$D$2:$D$5001))</f>
        <v>0</v>
      </c>
      <c r="FS51" s="6">
        <f>SUMPRODUCT((Results!$A$2:$A$5001=Schedule!FS$45)*(Results!$B$2:$B$5001=Schedule!$A51)*(Results!$D$2:$D$5001))</f>
        <v>0</v>
      </c>
      <c r="FT51" s="6">
        <f>SUMPRODUCT((Results!$A$2:$A$5001=Schedule!FT$45)*(Results!$B$2:$B$5001=Schedule!$A51)*(Results!$D$2:$D$5001))</f>
        <v>0</v>
      </c>
      <c r="FU51" s="6">
        <f>SUMPRODUCT((Results!$A$2:$A$5001=Schedule!FU$45)*(Results!$B$2:$B$5001=Schedule!$A51)*(Results!$D$2:$D$5001))</f>
        <v>0</v>
      </c>
      <c r="FV51" s="6">
        <f>SUMPRODUCT((Results!$A$2:$A$5001=Schedule!FV$45)*(Results!$B$2:$B$5001=Schedule!$A51)*(Results!$D$2:$D$5001))</f>
        <v>0</v>
      </c>
      <c r="FW51" s="6">
        <f>SUMPRODUCT((Results!$A$2:$A$5001=Schedule!FW$45)*(Results!$B$2:$B$5001=Schedule!$A51)*(Results!$D$2:$D$5001))</f>
        <v>0</v>
      </c>
      <c r="FX51" s="6">
        <f>SUMPRODUCT((Results!$A$2:$A$5001=Schedule!FX$45)*(Results!$B$2:$B$5001=Schedule!$A51)*(Results!$D$2:$D$5001))</f>
        <v>0</v>
      </c>
      <c r="FY51" s="6">
        <f>SUMPRODUCT((Results!$A$2:$A$5001=Schedule!FY$45)*(Results!$B$2:$B$5001=Schedule!$A51)*(Results!$D$2:$D$5001))</f>
        <v>0</v>
      </c>
      <c r="FZ51" s="6">
        <f>SUMPRODUCT((Results!$A$2:$A$5001=Schedule!FZ$45)*(Results!$B$2:$B$5001=Schedule!$A51)*(Results!$D$2:$D$5001))</f>
        <v>0</v>
      </c>
      <c r="GA51" s="6">
        <f>SUMPRODUCT((Results!$A$2:$A$5001=Schedule!GA$45)*(Results!$B$2:$B$5001=Schedule!$A51)*(Results!$D$2:$D$5001))</f>
        <v>0</v>
      </c>
      <c r="GB51" s="6">
        <f>SUMPRODUCT((Results!$A$2:$A$5001=Schedule!GB$45)*(Results!$B$2:$B$5001=Schedule!$A51)*(Results!$D$2:$D$5001))</f>
        <v>0</v>
      </c>
      <c r="GC51" s="6">
        <f>SUMPRODUCT((Results!$A$2:$A$5001=Schedule!GC$45)*(Results!$B$2:$B$5001=Schedule!$A51)*(Results!$D$2:$D$5001))</f>
        <v>0</v>
      </c>
      <c r="GD51" s="6">
        <f>SUMPRODUCT((Results!$A$2:$A$5001=Schedule!GD$45)*(Results!$B$2:$B$5001=Schedule!$A51)*(Results!$D$2:$D$5001))</f>
        <v>0</v>
      </c>
      <c r="GE51" s="6">
        <f>SUMPRODUCT((Results!$A$2:$A$5001=Schedule!GE$45)*(Results!$B$2:$B$5001=Schedule!$A51)*(Results!$D$2:$D$5001))</f>
        <v>0</v>
      </c>
      <c r="GF51" s="6">
        <f>SUMPRODUCT((Results!$A$2:$A$5001=Schedule!GF$45)*(Results!$B$2:$B$5001=Schedule!$A51)*(Results!$D$2:$D$5001))</f>
        <v>0</v>
      </c>
      <c r="GG51" s="6">
        <f>SUMPRODUCT((Results!$A$2:$A$5001=Schedule!GG$45)*(Results!$B$2:$B$5001=Schedule!$A51)*(Results!$D$2:$D$5001))</f>
        <v>0</v>
      </c>
      <c r="GH51" s="6">
        <f>SUMPRODUCT((Results!$A$2:$A$5001=Schedule!GH$45)*(Results!$B$2:$B$5001=Schedule!$A51)*(Results!$D$2:$D$5001))</f>
        <v>0</v>
      </c>
      <c r="GI51" s="6">
        <f>SUMPRODUCT((Results!$A$2:$A$5001=Schedule!GI$45)*(Results!$B$2:$B$5001=Schedule!$A51)*(Results!$D$2:$D$5001))</f>
        <v>0</v>
      </c>
      <c r="GJ51" s="6">
        <f>SUMPRODUCT((Results!$A$2:$A$5001=Schedule!GJ$45)*(Results!$B$2:$B$5001=Schedule!$A51)*(Results!$D$2:$D$5001))</f>
        <v>0</v>
      </c>
      <c r="GK51" s="6">
        <f>SUMPRODUCT((Results!$A$2:$A$5001=Schedule!GK$45)*(Results!$B$2:$B$5001=Schedule!$A51)*(Results!$D$2:$D$5001))</f>
        <v>0</v>
      </c>
      <c r="GL51" s="6">
        <f>SUMPRODUCT((Results!$A$2:$A$5001=Schedule!GL$45)*(Results!$B$2:$B$5001=Schedule!$A51)*(Results!$D$2:$D$5001))</f>
        <v>0</v>
      </c>
      <c r="GM51" s="6">
        <f>SUMPRODUCT((Results!$A$2:$A$5001=Schedule!GM$45)*(Results!$B$2:$B$5001=Schedule!$A51)*(Results!$D$2:$D$5001))</f>
        <v>0</v>
      </c>
      <c r="GN51" s="6">
        <f>SUMPRODUCT((Results!$A$2:$A$5001=Schedule!GN$45)*(Results!$B$2:$B$5001=Schedule!$A51)*(Results!$D$2:$D$5001))</f>
        <v>0</v>
      </c>
      <c r="GO51" s="6">
        <f>SUMPRODUCT((Results!$A$2:$A$5001=Schedule!GO$45)*(Results!$B$2:$B$5001=Schedule!$A51)*(Results!$D$2:$D$5001))</f>
        <v>0</v>
      </c>
      <c r="GP51" s="6">
        <f>SUMPRODUCT((Results!$A$2:$A$5001=Schedule!GP$45)*(Results!$B$2:$B$5001=Schedule!$A51)*(Results!$D$2:$D$5001))</f>
        <v>0</v>
      </c>
      <c r="GQ51" s="6">
        <f>SUMPRODUCT((Results!$A$2:$A$5001=Schedule!GQ$45)*(Results!$B$2:$B$5001=Schedule!$A51)*(Results!$D$2:$D$5001))</f>
        <v>0</v>
      </c>
      <c r="GR51" s="6">
        <f>SUMPRODUCT((Results!$A$2:$A$5001=Schedule!GR$45)*(Results!$B$2:$B$5001=Schedule!$A51)*(Results!$D$2:$D$5001))</f>
        <v>0</v>
      </c>
      <c r="GS51" s="6">
        <f>SUMPRODUCT((Results!$A$2:$A$5001=Schedule!GS$45)*(Results!$B$2:$B$5001=Schedule!$A51)*(Results!$D$2:$D$5001))</f>
        <v>0</v>
      </c>
      <c r="GT51" s="6">
        <f>SUMPRODUCT((Results!$A$2:$A$5001=Schedule!GT$45)*(Results!$B$2:$B$5001=Schedule!$A51)*(Results!$D$2:$D$5001))</f>
        <v>0</v>
      </c>
      <c r="GU51" s="6">
        <f>SUMPRODUCT((Results!$A$2:$A$5001=Schedule!GU$45)*(Results!$B$2:$B$5001=Schedule!$A51)*(Results!$D$2:$D$5001))</f>
        <v>0</v>
      </c>
    </row>
    <row r="52" spans="1:203" ht="13.5" customHeight="1" x14ac:dyDescent="0.2">
      <c r="A52" s="40">
        <v>7</v>
      </c>
      <c r="B52" s="6">
        <f t="shared" si="17"/>
        <v>0.20669999999999999</v>
      </c>
      <c r="C52" s="6">
        <f>SUMPRODUCT((Results!$A$2:$A$5001=Schedule!C$45)*(Results!$B$2:$B$5001=Schedule!$A52)*(Results!$D$2:$D$5001))</f>
        <v>0.20669999999999999</v>
      </c>
      <c r="D52" s="6">
        <f>SUMPRODUCT((Results!$A$2:$A$5001=Schedule!D$45)*(Results!$B$2:$B$5001=Schedule!$A52)*(Results!$D$2:$D$5001))</f>
        <v>0</v>
      </c>
      <c r="E52" s="6">
        <f>SUMPRODUCT((Results!$A$2:$A$5001=Schedule!E$45)*(Results!$B$2:$B$5001=Schedule!$A52)*(Results!$D$2:$D$5001))</f>
        <v>0</v>
      </c>
      <c r="F52" s="6">
        <f>SUMPRODUCT((Results!$A$2:$A$5001=Schedule!F$45)*(Results!$B$2:$B$5001=Schedule!$A52)*(Results!$D$2:$D$5001))</f>
        <v>0</v>
      </c>
      <c r="G52" s="6">
        <f>SUMPRODUCT((Results!$A$2:$A$5001=Schedule!G$45)*(Results!$B$2:$B$5001=Schedule!$A52)*(Results!$D$2:$D$5001))</f>
        <v>0</v>
      </c>
      <c r="H52" s="6">
        <f>SUMPRODUCT((Results!$A$2:$A$5001=Schedule!H$45)*(Results!$B$2:$B$5001=Schedule!$A52)*(Results!$D$2:$D$5001))</f>
        <v>0</v>
      </c>
      <c r="I52" s="6">
        <f>SUMPRODUCT((Results!$A$2:$A$5001=Schedule!I$45)*(Results!$B$2:$B$5001=Schedule!$A52)*(Results!$D$2:$D$5001))</f>
        <v>0</v>
      </c>
      <c r="J52" s="6">
        <f>SUMPRODUCT((Results!$A$2:$A$5001=Schedule!J$45)*(Results!$B$2:$B$5001=Schedule!$A52)*(Results!$D$2:$D$5001))</f>
        <v>0</v>
      </c>
      <c r="K52" s="6">
        <f>SUMPRODUCT((Results!$A$2:$A$5001=Schedule!K$45)*(Results!$B$2:$B$5001=Schedule!$A52)*(Results!$D$2:$D$5001))</f>
        <v>0</v>
      </c>
      <c r="L52" s="6">
        <f>SUMPRODUCT((Results!$A$2:$A$5001=Schedule!L$45)*(Results!$B$2:$B$5001=Schedule!$A52)*(Results!$D$2:$D$5001))</f>
        <v>0</v>
      </c>
      <c r="M52" s="6">
        <f>SUMPRODUCT((Results!$A$2:$A$5001=Schedule!M$45)*(Results!$B$2:$B$5001=Schedule!$A52)*(Results!$D$2:$D$5001))</f>
        <v>0</v>
      </c>
      <c r="N52" s="6">
        <f>SUMPRODUCT((Results!$A$2:$A$5001=Schedule!N$45)*(Results!$B$2:$B$5001=Schedule!$A52)*(Results!$D$2:$D$5001))</f>
        <v>0</v>
      </c>
      <c r="O52" s="6">
        <f>SUMPRODUCT((Results!$A$2:$A$5001=Schedule!O$45)*(Results!$B$2:$B$5001=Schedule!$A52)*(Results!$D$2:$D$5001))</f>
        <v>0</v>
      </c>
      <c r="P52" s="6">
        <f>SUMPRODUCT((Results!$A$2:$A$5001=Schedule!P$45)*(Results!$B$2:$B$5001=Schedule!$A52)*(Results!$D$2:$D$5001))</f>
        <v>0</v>
      </c>
      <c r="Q52" s="6">
        <f>SUMPRODUCT((Results!$A$2:$A$5001=Schedule!Q$45)*(Results!$B$2:$B$5001=Schedule!$A52)*(Results!$D$2:$D$5001))</f>
        <v>0</v>
      </c>
      <c r="R52" s="6">
        <f>SUMPRODUCT((Results!$A$2:$A$5001=Schedule!R$45)*(Results!$B$2:$B$5001=Schedule!$A52)*(Results!$D$2:$D$5001))</f>
        <v>0</v>
      </c>
      <c r="S52" s="6">
        <f>SUMPRODUCT((Results!$A$2:$A$5001=Schedule!S$45)*(Results!$B$2:$B$5001=Schedule!$A52)*(Results!$D$2:$D$5001))</f>
        <v>0</v>
      </c>
      <c r="T52" s="6">
        <f>SUMPRODUCT((Results!$A$2:$A$5001=Schedule!T$45)*(Results!$B$2:$B$5001=Schedule!$A52)*(Results!$D$2:$D$5001))</f>
        <v>0</v>
      </c>
      <c r="U52" s="6">
        <f>SUMPRODUCT((Results!$A$2:$A$5001=Schedule!U$45)*(Results!$B$2:$B$5001=Schedule!$A52)*(Results!$D$2:$D$5001))</f>
        <v>0</v>
      </c>
      <c r="V52" s="6">
        <f>SUMPRODUCT((Results!$A$2:$A$5001=Schedule!V$45)*(Results!$B$2:$B$5001=Schedule!$A52)*(Results!$D$2:$D$5001))</f>
        <v>0</v>
      </c>
      <c r="W52" s="6">
        <f>SUMPRODUCT((Results!$A$2:$A$5001=Schedule!W$45)*(Results!$B$2:$B$5001=Schedule!$A52)*(Results!$D$2:$D$5001))</f>
        <v>0</v>
      </c>
      <c r="X52" s="6">
        <f>SUMPRODUCT((Results!$A$2:$A$5001=Schedule!X$45)*(Results!$B$2:$B$5001=Schedule!$A52)*(Results!$D$2:$D$5001))</f>
        <v>0</v>
      </c>
      <c r="Y52" s="6">
        <f>SUMPRODUCT((Results!$A$2:$A$5001=Schedule!Y$45)*(Results!$B$2:$B$5001=Schedule!$A52)*(Results!$D$2:$D$5001))</f>
        <v>0</v>
      </c>
      <c r="Z52" s="6">
        <f>SUMPRODUCT((Results!$A$2:$A$5001=Schedule!Z$45)*(Results!$B$2:$B$5001=Schedule!$A52)*(Results!$D$2:$D$5001))</f>
        <v>0</v>
      </c>
      <c r="AA52" s="6">
        <f>SUMPRODUCT((Results!$A$2:$A$5001=Schedule!AA$45)*(Results!$B$2:$B$5001=Schedule!$A52)*(Results!$D$2:$D$5001))</f>
        <v>0</v>
      </c>
      <c r="AB52" s="6">
        <f>SUMPRODUCT((Results!$A$2:$A$5001=Schedule!AB$45)*(Results!$B$2:$B$5001=Schedule!$A52)*(Results!$D$2:$D$5001))</f>
        <v>0</v>
      </c>
      <c r="AC52" s="6">
        <f>SUMPRODUCT((Results!$A$2:$A$5001=Schedule!AC$45)*(Results!$B$2:$B$5001=Schedule!$A52)*(Results!$D$2:$D$5001))</f>
        <v>0</v>
      </c>
      <c r="AD52" s="6">
        <f>SUMPRODUCT((Results!$A$2:$A$5001=Schedule!AD$45)*(Results!$B$2:$B$5001=Schedule!$A52)*(Results!$D$2:$D$5001))</f>
        <v>0</v>
      </c>
      <c r="AE52" s="6">
        <f>SUMPRODUCT((Results!$A$2:$A$5001=Schedule!AE$45)*(Results!$B$2:$B$5001=Schedule!$A52)*(Results!$D$2:$D$5001))</f>
        <v>0</v>
      </c>
      <c r="AF52" s="6">
        <f>SUMPRODUCT((Results!$A$2:$A$5001=Schedule!AF$45)*(Results!$B$2:$B$5001=Schedule!$A52)*(Results!$D$2:$D$5001))</f>
        <v>0</v>
      </c>
      <c r="AG52" s="6">
        <f>SUMPRODUCT((Results!$A$2:$A$5001=Schedule!AG$45)*(Results!$B$2:$B$5001=Schedule!$A52)*(Results!$D$2:$D$5001))</f>
        <v>0</v>
      </c>
      <c r="AH52" s="6">
        <f>SUMPRODUCT((Results!$A$2:$A$5001=Schedule!AH$45)*(Results!$B$2:$B$5001=Schedule!$A52)*(Results!$D$2:$D$5001))</f>
        <v>0</v>
      </c>
      <c r="AI52" s="6">
        <f>SUMPRODUCT((Results!$A$2:$A$5001=Schedule!AI$45)*(Results!$B$2:$B$5001=Schedule!$A52)*(Results!$D$2:$D$5001))</f>
        <v>0</v>
      </c>
      <c r="AJ52" s="6">
        <f>SUMPRODUCT((Results!$A$2:$A$5001=Schedule!AJ$45)*(Results!$B$2:$B$5001=Schedule!$A52)*(Results!$D$2:$D$5001))</f>
        <v>0</v>
      </c>
      <c r="AK52" s="6">
        <f>SUMPRODUCT((Results!$A$2:$A$5001=Schedule!AK$45)*(Results!$B$2:$B$5001=Schedule!$A52)*(Results!$D$2:$D$5001))</f>
        <v>0</v>
      </c>
      <c r="AL52" s="6">
        <f>SUMPRODUCT((Results!$A$2:$A$5001=Schedule!AL$45)*(Results!$B$2:$B$5001=Schedule!$A52)*(Results!$D$2:$D$5001))</f>
        <v>0</v>
      </c>
      <c r="AM52" s="6">
        <f>SUMPRODUCT((Results!$A$2:$A$5001=Schedule!AM$45)*(Results!$B$2:$B$5001=Schedule!$A52)*(Results!$D$2:$D$5001))</f>
        <v>0</v>
      </c>
      <c r="AN52" s="6">
        <f>SUMPRODUCT((Results!$A$2:$A$5001=Schedule!AN$45)*(Results!$B$2:$B$5001=Schedule!$A52)*(Results!$D$2:$D$5001))</f>
        <v>0</v>
      </c>
      <c r="AO52" s="6">
        <f>SUMPRODUCT((Results!$A$2:$A$5001=Schedule!AO$45)*(Results!$B$2:$B$5001=Schedule!$A52)*(Results!$D$2:$D$5001))</f>
        <v>0</v>
      </c>
      <c r="AP52" s="6">
        <f>SUMPRODUCT((Results!$A$2:$A$5001=Schedule!AP$45)*(Results!$B$2:$B$5001=Schedule!$A52)*(Results!$D$2:$D$5001))</f>
        <v>0</v>
      </c>
      <c r="AQ52" s="6">
        <f>SUMPRODUCT((Results!$A$2:$A$5001=Schedule!AQ$45)*(Results!$B$2:$B$5001=Schedule!$A52)*(Results!$D$2:$D$5001))</f>
        <v>0</v>
      </c>
      <c r="AR52" s="6">
        <f>SUMPRODUCT((Results!$A$2:$A$5001=Schedule!AR$45)*(Results!$B$2:$B$5001=Schedule!$A52)*(Results!$D$2:$D$5001))</f>
        <v>0</v>
      </c>
      <c r="AS52" s="6">
        <f>SUMPRODUCT((Results!$A$2:$A$5001=Schedule!AS$45)*(Results!$B$2:$B$5001=Schedule!$A52)*(Results!$D$2:$D$5001))</f>
        <v>0</v>
      </c>
      <c r="AT52" s="6">
        <f>SUMPRODUCT((Results!$A$2:$A$5001=Schedule!AT$45)*(Results!$B$2:$B$5001=Schedule!$A52)*(Results!$D$2:$D$5001))</f>
        <v>0</v>
      </c>
      <c r="AU52" s="6">
        <f>SUMPRODUCT((Results!$A$2:$A$5001=Schedule!AU$45)*(Results!$B$2:$B$5001=Schedule!$A52)*(Results!$D$2:$D$5001))</f>
        <v>0</v>
      </c>
      <c r="AV52" s="6">
        <f>SUMPRODUCT((Results!$A$2:$A$5001=Schedule!AV$45)*(Results!$B$2:$B$5001=Schedule!$A52)*(Results!$D$2:$D$5001))</f>
        <v>0</v>
      </c>
      <c r="AW52" s="6">
        <f>SUMPRODUCT((Results!$A$2:$A$5001=Schedule!AW$45)*(Results!$B$2:$B$5001=Schedule!$A52)*(Results!$D$2:$D$5001))</f>
        <v>0</v>
      </c>
      <c r="AX52" s="6">
        <f>SUMPRODUCT((Results!$A$2:$A$5001=Schedule!AX$45)*(Results!$B$2:$B$5001=Schedule!$A52)*(Results!$D$2:$D$5001))</f>
        <v>0</v>
      </c>
      <c r="AY52" s="6">
        <f>SUMPRODUCT((Results!$A$2:$A$5001=Schedule!AY$45)*(Results!$B$2:$B$5001=Schedule!$A52)*(Results!$D$2:$D$5001))</f>
        <v>0</v>
      </c>
      <c r="AZ52" s="6">
        <f>SUMPRODUCT((Results!$A$2:$A$5001=Schedule!AZ$45)*(Results!$B$2:$B$5001=Schedule!$A52)*(Results!$D$2:$D$5001))</f>
        <v>0</v>
      </c>
      <c r="BA52" s="6">
        <f>SUMPRODUCT((Results!$A$2:$A$5001=Schedule!BA$45)*(Results!$B$2:$B$5001=Schedule!$A52)*(Results!$D$2:$D$5001))</f>
        <v>0</v>
      </c>
      <c r="BB52" s="6">
        <f>SUMPRODUCT((Results!$A$2:$A$5001=Schedule!BB$45)*(Results!$B$2:$B$5001=Schedule!$A52)*(Results!$D$2:$D$5001))</f>
        <v>0</v>
      </c>
      <c r="BC52" s="6">
        <f>SUMPRODUCT((Results!$A$2:$A$5001=Schedule!BC$45)*(Results!$B$2:$B$5001=Schedule!$A52)*(Results!$D$2:$D$5001))</f>
        <v>0</v>
      </c>
      <c r="BD52" s="6">
        <f>SUMPRODUCT((Results!$A$2:$A$5001=Schedule!BD$45)*(Results!$B$2:$B$5001=Schedule!$A52)*(Results!$D$2:$D$5001))</f>
        <v>0</v>
      </c>
      <c r="BE52" s="6">
        <f>SUMPRODUCT((Results!$A$2:$A$5001=Schedule!BE$45)*(Results!$B$2:$B$5001=Schedule!$A52)*(Results!$D$2:$D$5001))</f>
        <v>0</v>
      </c>
      <c r="BF52" s="6">
        <f>SUMPRODUCT((Results!$A$2:$A$5001=Schedule!BF$45)*(Results!$B$2:$B$5001=Schedule!$A52)*(Results!$D$2:$D$5001))</f>
        <v>0</v>
      </c>
      <c r="BG52" s="6">
        <f>SUMPRODUCT((Results!$A$2:$A$5001=Schedule!BG$45)*(Results!$B$2:$B$5001=Schedule!$A52)*(Results!$D$2:$D$5001))</f>
        <v>0</v>
      </c>
      <c r="BH52" s="6">
        <f>SUMPRODUCT((Results!$A$2:$A$5001=Schedule!BH$45)*(Results!$B$2:$B$5001=Schedule!$A52)*(Results!$D$2:$D$5001))</f>
        <v>0</v>
      </c>
      <c r="BI52" s="6">
        <f>SUMPRODUCT((Results!$A$2:$A$5001=Schedule!BI$45)*(Results!$B$2:$B$5001=Schedule!$A52)*(Results!$D$2:$D$5001))</f>
        <v>0</v>
      </c>
      <c r="BJ52" s="6">
        <f>SUMPRODUCT((Results!$A$2:$A$5001=Schedule!BJ$45)*(Results!$B$2:$B$5001=Schedule!$A52)*(Results!$D$2:$D$5001))</f>
        <v>0</v>
      </c>
      <c r="BK52" s="6">
        <f>SUMPRODUCT((Results!$A$2:$A$5001=Schedule!BK$45)*(Results!$B$2:$B$5001=Schedule!$A52)*(Results!$D$2:$D$5001))</f>
        <v>0</v>
      </c>
      <c r="BL52" s="6">
        <f>SUMPRODUCT((Results!$A$2:$A$5001=Schedule!BL$45)*(Results!$B$2:$B$5001=Schedule!$A52)*(Results!$D$2:$D$5001))</f>
        <v>0</v>
      </c>
      <c r="BM52" s="6">
        <f>SUMPRODUCT((Results!$A$2:$A$5001=Schedule!BM$45)*(Results!$B$2:$B$5001=Schedule!$A52)*(Results!$D$2:$D$5001))</f>
        <v>0</v>
      </c>
      <c r="BN52" s="6">
        <f>SUMPRODUCT((Results!$A$2:$A$5001=Schedule!BN$45)*(Results!$B$2:$B$5001=Schedule!$A52)*(Results!$D$2:$D$5001))</f>
        <v>0</v>
      </c>
      <c r="BO52" s="6">
        <f>SUMPRODUCT((Results!$A$2:$A$5001=Schedule!BO$45)*(Results!$B$2:$B$5001=Schedule!$A52)*(Results!$D$2:$D$5001))</f>
        <v>0</v>
      </c>
      <c r="BP52" s="6">
        <f>SUMPRODUCT((Results!$A$2:$A$5001=Schedule!BP$45)*(Results!$B$2:$B$5001=Schedule!$A52)*(Results!$D$2:$D$5001))</f>
        <v>0</v>
      </c>
      <c r="BQ52" s="6">
        <f>SUMPRODUCT((Results!$A$2:$A$5001=Schedule!BQ$45)*(Results!$B$2:$B$5001=Schedule!$A52)*(Results!$D$2:$D$5001))</f>
        <v>0</v>
      </c>
      <c r="BR52" s="6">
        <f>SUMPRODUCT((Results!$A$2:$A$5001=Schedule!BR$45)*(Results!$B$2:$B$5001=Schedule!$A52)*(Results!$D$2:$D$5001))</f>
        <v>0</v>
      </c>
      <c r="BS52" s="6">
        <f>SUMPRODUCT((Results!$A$2:$A$5001=Schedule!BS$45)*(Results!$B$2:$B$5001=Schedule!$A52)*(Results!$D$2:$D$5001))</f>
        <v>0</v>
      </c>
      <c r="BT52" s="6">
        <f>SUMPRODUCT((Results!$A$2:$A$5001=Schedule!BT$45)*(Results!$B$2:$B$5001=Schedule!$A52)*(Results!$D$2:$D$5001))</f>
        <v>0</v>
      </c>
      <c r="BU52" s="6">
        <f>SUMPRODUCT((Results!$A$2:$A$5001=Schedule!BU$45)*(Results!$B$2:$B$5001=Schedule!$A52)*(Results!$D$2:$D$5001))</f>
        <v>0</v>
      </c>
      <c r="BV52" s="6">
        <f>SUMPRODUCT((Results!$A$2:$A$5001=Schedule!BV$45)*(Results!$B$2:$B$5001=Schedule!$A52)*(Results!$D$2:$D$5001))</f>
        <v>0</v>
      </c>
      <c r="BW52" s="6">
        <f>SUMPRODUCT((Results!$A$2:$A$5001=Schedule!BW$45)*(Results!$B$2:$B$5001=Schedule!$A52)*(Results!$D$2:$D$5001))</f>
        <v>0</v>
      </c>
      <c r="BX52" s="6">
        <f>SUMPRODUCT((Results!$A$2:$A$5001=Schedule!BX$45)*(Results!$B$2:$B$5001=Schedule!$A52)*(Results!$D$2:$D$5001))</f>
        <v>0</v>
      </c>
      <c r="BY52" s="6">
        <f>SUMPRODUCT((Results!$A$2:$A$5001=Schedule!BY$45)*(Results!$B$2:$B$5001=Schedule!$A52)*(Results!$D$2:$D$5001))</f>
        <v>0</v>
      </c>
      <c r="BZ52" s="6">
        <f>SUMPRODUCT((Results!$A$2:$A$5001=Schedule!BZ$45)*(Results!$B$2:$B$5001=Schedule!$A52)*(Results!$D$2:$D$5001))</f>
        <v>0</v>
      </c>
      <c r="CA52" s="6">
        <f>SUMPRODUCT((Results!$A$2:$A$5001=Schedule!CA$45)*(Results!$B$2:$B$5001=Schedule!$A52)*(Results!$D$2:$D$5001))</f>
        <v>0</v>
      </c>
      <c r="CB52" s="6">
        <f>SUMPRODUCT((Results!$A$2:$A$5001=Schedule!CB$45)*(Results!$B$2:$B$5001=Schedule!$A52)*(Results!$D$2:$D$5001))</f>
        <v>0</v>
      </c>
      <c r="CC52" s="6">
        <f>SUMPRODUCT((Results!$A$2:$A$5001=Schedule!CC$45)*(Results!$B$2:$B$5001=Schedule!$A52)*(Results!$D$2:$D$5001))</f>
        <v>0</v>
      </c>
      <c r="CD52" s="6">
        <f>SUMPRODUCT((Results!$A$2:$A$5001=Schedule!CD$45)*(Results!$B$2:$B$5001=Schedule!$A52)*(Results!$D$2:$D$5001))</f>
        <v>0</v>
      </c>
      <c r="CE52" s="6">
        <f>SUMPRODUCT((Results!$A$2:$A$5001=Schedule!CE$45)*(Results!$B$2:$B$5001=Schedule!$A52)*(Results!$D$2:$D$5001))</f>
        <v>0</v>
      </c>
      <c r="CF52" s="6">
        <f>SUMPRODUCT((Results!$A$2:$A$5001=Schedule!CF$45)*(Results!$B$2:$B$5001=Schedule!$A52)*(Results!$D$2:$D$5001))</f>
        <v>0</v>
      </c>
      <c r="CG52" s="6">
        <f>SUMPRODUCT((Results!$A$2:$A$5001=Schedule!CG$45)*(Results!$B$2:$B$5001=Schedule!$A52)*(Results!$D$2:$D$5001))</f>
        <v>0</v>
      </c>
      <c r="CH52" s="6">
        <f>SUMPRODUCT((Results!$A$2:$A$5001=Schedule!CH$45)*(Results!$B$2:$B$5001=Schedule!$A52)*(Results!$D$2:$D$5001))</f>
        <v>0</v>
      </c>
      <c r="CI52" s="6">
        <f>SUMPRODUCT((Results!$A$2:$A$5001=Schedule!CI$45)*(Results!$B$2:$B$5001=Schedule!$A52)*(Results!$D$2:$D$5001))</f>
        <v>0</v>
      </c>
      <c r="CJ52" s="6">
        <f>SUMPRODUCT((Results!$A$2:$A$5001=Schedule!CJ$45)*(Results!$B$2:$B$5001=Schedule!$A52)*(Results!$D$2:$D$5001))</f>
        <v>0</v>
      </c>
      <c r="CK52" s="6">
        <f>SUMPRODUCT((Results!$A$2:$A$5001=Schedule!CK$45)*(Results!$B$2:$B$5001=Schedule!$A52)*(Results!$D$2:$D$5001))</f>
        <v>0</v>
      </c>
      <c r="CL52" s="6">
        <f>SUMPRODUCT((Results!$A$2:$A$5001=Schedule!CL$45)*(Results!$B$2:$B$5001=Schedule!$A52)*(Results!$D$2:$D$5001))</f>
        <v>0</v>
      </c>
      <c r="CM52" s="6">
        <f>SUMPRODUCT((Results!$A$2:$A$5001=Schedule!CM$45)*(Results!$B$2:$B$5001=Schedule!$A52)*(Results!$D$2:$D$5001))</f>
        <v>0</v>
      </c>
      <c r="CN52" s="6">
        <f>SUMPRODUCT((Results!$A$2:$A$5001=Schedule!CN$45)*(Results!$B$2:$B$5001=Schedule!$A52)*(Results!$D$2:$D$5001))</f>
        <v>0</v>
      </c>
      <c r="CO52" s="6">
        <f>SUMPRODUCT((Results!$A$2:$A$5001=Schedule!CO$45)*(Results!$B$2:$B$5001=Schedule!$A52)*(Results!$D$2:$D$5001))</f>
        <v>0</v>
      </c>
      <c r="CP52" s="6">
        <f>SUMPRODUCT((Results!$A$2:$A$5001=Schedule!CP$45)*(Results!$B$2:$B$5001=Schedule!$A52)*(Results!$D$2:$D$5001))</f>
        <v>0</v>
      </c>
      <c r="CQ52" s="6">
        <f>SUMPRODUCT((Results!$A$2:$A$5001=Schedule!CQ$45)*(Results!$B$2:$B$5001=Schedule!$A52)*(Results!$D$2:$D$5001))</f>
        <v>0</v>
      </c>
      <c r="CR52" s="6">
        <f>SUMPRODUCT((Results!$A$2:$A$5001=Schedule!CR$45)*(Results!$B$2:$B$5001=Schedule!$A52)*(Results!$D$2:$D$5001))</f>
        <v>0</v>
      </c>
      <c r="CS52" s="6">
        <f>SUMPRODUCT((Results!$A$2:$A$5001=Schedule!CS$45)*(Results!$B$2:$B$5001=Schedule!$A52)*(Results!$D$2:$D$5001))</f>
        <v>0</v>
      </c>
      <c r="CT52" s="6">
        <f>SUMPRODUCT((Results!$A$2:$A$5001=Schedule!CT$45)*(Results!$B$2:$B$5001=Schedule!$A52)*(Results!$D$2:$D$5001))</f>
        <v>0</v>
      </c>
      <c r="CU52" s="6">
        <f>SUMPRODUCT((Results!$A$2:$A$5001=Schedule!CU$45)*(Results!$B$2:$B$5001=Schedule!$A52)*(Results!$D$2:$D$5001))</f>
        <v>0</v>
      </c>
      <c r="CV52" s="6">
        <f>SUMPRODUCT((Results!$A$2:$A$5001=Schedule!CV$45)*(Results!$B$2:$B$5001=Schedule!$A52)*(Results!$D$2:$D$5001))</f>
        <v>0</v>
      </c>
      <c r="CW52" s="6">
        <f>SUMPRODUCT((Results!$A$2:$A$5001=Schedule!CW$45)*(Results!$B$2:$B$5001=Schedule!$A52)*(Results!$D$2:$D$5001))</f>
        <v>0</v>
      </c>
      <c r="CX52" s="6">
        <f>SUMPRODUCT((Results!$A$2:$A$5001=Schedule!CX$45)*(Results!$B$2:$B$5001=Schedule!$A52)*(Results!$D$2:$D$5001))</f>
        <v>0</v>
      </c>
      <c r="CY52" s="6">
        <f>SUMPRODUCT((Results!$A$2:$A$5001=Schedule!CY$45)*(Results!$B$2:$B$5001=Schedule!$A52)*(Results!$D$2:$D$5001))</f>
        <v>0</v>
      </c>
      <c r="CZ52" s="6">
        <f>SUMPRODUCT((Results!$A$2:$A$5001=Schedule!CZ$45)*(Results!$B$2:$B$5001=Schedule!$A52)*(Results!$D$2:$D$5001))</f>
        <v>0</v>
      </c>
      <c r="DA52" s="6">
        <f>SUMPRODUCT((Results!$A$2:$A$5001=Schedule!DA$45)*(Results!$B$2:$B$5001=Schedule!$A52)*(Results!$D$2:$D$5001))</f>
        <v>0</v>
      </c>
      <c r="DB52" s="6">
        <f>SUMPRODUCT((Results!$A$2:$A$5001=Schedule!DB$45)*(Results!$B$2:$B$5001=Schedule!$A52)*(Results!$D$2:$D$5001))</f>
        <v>0</v>
      </c>
      <c r="DC52" s="6">
        <f>SUMPRODUCT((Results!$A$2:$A$5001=Schedule!DC$45)*(Results!$B$2:$B$5001=Schedule!$A52)*(Results!$D$2:$D$5001))</f>
        <v>0</v>
      </c>
      <c r="DD52" s="6">
        <f>SUMPRODUCT((Results!$A$2:$A$5001=Schedule!DD$45)*(Results!$B$2:$B$5001=Schedule!$A52)*(Results!$D$2:$D$5001))</f>
        <v>0</v>
      </c>
      <c r="DE52" s="6">
        <f>SUMPRODUCT((Results!$A$2:$A$5001=Schedule!DE$45)*(Results!$B$2:$B$5001=Schedule!$A52)*(Results!$D$2:$D$5001))</f>
        <v>0</v>
      </c>
      <c r="DF52" s="6">
        <f>SUMPRODUCT((Results!$A$2:$A$5001=Schedule!DF$45)*(Results!$B$2:$B$5001=Schedule!$A52)*(Results!$D$2:$D$5001))</f>
        <v>0</v>
      </c>
      <c r="DG52" s="6">
        <f>SUMPRODUCT((Results!$A$2:$A$5001=Schedule!DG$45)*(Results!$B$2:$B$5001=Schedule!$A52)*(Results!$D$2:$D$5001))</f>
        <v>0</v>
      </c>
      <c r="DH52" s="6">
        <f>SUMPRODUCT((Results!$A$2:$A$5001=Schedule!DH$45)*(Results!$B$2:$B$5001=Schedule!$A52)*(Results!$D$2:$D$5001))</f>
        <v>0</v>
      </c>
      <c r="DI52" s="6">
        <f>SUMPRODUCT((Results!$A$2:$A$5001=Schedule!DI$45)*(Results!$B$2:$B$5001=Schedule!$A52)*(Results!$D$2:$D$5001))</f>
        <v>0</v>
      </c>
      <c r="DJ52" s="6">
        <f>SUMPRODUCT((Results!$A$2:$A$5001=Schedule!DJ$45)*(Results!$B$2:$B$5001=Schedule!$A52)*(Results!$D$2:$D$5001))</f>
        <v>0</v>
      </c>
      <c r="DK52" s="6">
        <f>SUMPRODUCT((Results!$A$2:$A$5001=Schedule!DK$45)*(Results!$B$2:$B$5001=Schedule!$A52)*(Results!$D$2:$D$5001))</f>
        <v>0</v>
      </c>
      <c r="DL52" s="6">
        <f>SUMPRODUCT((Results!$A$2:$A$5001=Schedule!DL$45)*(Results!$B$2:$B$5001=Schedule!$A52)*(Results!$D$2:$D$5001))</f>
        <v>0</v>
      </c>
      <c r="DM52" s="6">
        <f>SUMPRODUCT((Results!$A$2:$A$5001=Schedule!DM$45)*(Results!$B$2:$B$5001=Schedule!$A52)*(Results!$D$2:$D$5001))</f>
        <v>0</v>
      </c>
      <c r="DN52" s="6">
        <f>SUMPRODUCT((Results!$A$2:$A$5001=Schedule!DN$45)*(Results!$B$2:$B$5001=Schedule!$A52)*(Results!$D$2:$D$5001))</f>
        <v>0</v>
      </c>
      <c r="DO52" s="6">
        <f>SUMPRODUCT((Results!$A$2:$A$5001=Schedule!DO$45)*(Results!$B$2:$B$5001=Schedule!$A52)*(Results!$D$2:$D$5001))</f>
        <v>0</v>
      </c>
      <c r="DP52" s="6">
        <f>SUMPRODUCT((Results!$A$2:$A$5001=Schedule!DP$45)*(Results!$B$2:$B$5001=Schedule!$A52)*(Results!$D$2:$D$5001))</f>
        <v>0</v>
      </c>
      <c r="DQ52" s="6">
        <f>SUMPRODUCT((Results!$A$2:$A$5001=Schedule!DQ$45)*(Results!$B$2:$B$5001=Schedule!$A52)*(Results!$D$2:$D$5001))</f>
        <v>0</v>
      </c>
      <c r="DR52" s="6">
        <f>SUMPRODUCT((Results!$A$2:$A$5001=Schedule!DR$45)*(Results!$B$2:$B$5001=Schedule!$A52)*(Results!$D$2:$D$5001))</f>
        <v>0</v>
      </c>
      <c r="DS52" s="6">
        <f>SUMPRODUCT((Results!$A$2:$A$5001=Schedule!DS$45)*(Results!$B$2:$B$5001=Schedule!$A52)*(Results!$D$2:$D$5001))</f>
        <v>0</v>
      </c>
      <c r="DT52" s="6">
        <f>SUMPRODUCT((Results!$A$2:$A$5001=Schedule!DT$45)*(Results!$B$2:$B$5001=Schedule!$A52)*(Results!$D$2:$D$5001))</f>
        <v>0</v>
      </c>
      <c r="DU52" s="6">
        <f>SUMPRODUCT((Results!$A$2:$A$5001=Schedule!DU$45)*(Results!$B$2:$B$5001=Schedule!$A52)*(Results!$D$2:$D$5001))</f>
        <v>0</v>
      </c>
      <c r="DV52" s="6">
        <f>SUMPRODUCT((Results!$A$2:$A$5001=Schedule!DV$45)*(Results!$B$2:$B$5001=Schedule!$A52)*(Results!$D$2:$D$5001))</f>
        <v>0</v>
      </c>
      <c r="DW52" s="6">
        <f>SUMPRODUCT((Results!$A$2:$A$5001=Schedule!DW$45)*(Results!$B$2:$B$5001=Schedule!$A52)*(Results!$D$2:$D$5001))</f>
        <v>0</v>
      </c>
      <c r="DX52" s="6">
        <f>SUMPRODUCT((Results!$A$2:$A$5001=Schedule!DX$45)*(Results!$B$2:$B$5001=Schedule!$A52)*(Results!$D$2:$D$5001))</f>
        <v>0</v>
      </c>
      <c r="DY52" s="6">
        <f>SUMPRODUCT((Results!$A$2:$A$5001=Schedule!DY$45)*(Results!$B$2:$B$5001=Schedule!$A52)*(Results!$D$2:$D$5001))</f>
        <v>0</v>
      </c>
      <c r="DZ52" s="6">
        <f>SUMPRODUCT((Results!$A$2:$A$5001=Schedule!DZ$45)*(Results!$B$2:$B$5001=Schedule!$A52)*(Results!$D$2:$D$5001))</f>
        <v>0</v>
      </c>
      <c r="EA52" s="6">
        <f>SUMPRODUCT((Results!$A$2:$A$5001=Schedule!EA$45)*(Results!$B$2:$B$5001=Schedule!$A52)*(Results!$D$2:$D$5001))</f>
        <v>0</v>
      </c>
      <c r="EB52" s="6">
        <f>SUMPRODUCT((Results!$A$2:$A$5001=Schedule!EB$45)*(Results!$B$2:$B$5001=Schedule!$A52)*(Results!$D$2:$D$5001))</f>
        <v>0</v>
      </c>
      <c r="EC52" s="6">
        <f>SUMPRODUCT((Results!$A$2:$A$5001=Schedule!EC$45)*(Results!$B$2:$B$5001=Schedule!$A52)*(Results!$D$2:$D$5001))</f>
        <v>0</v>
      </c>
      <c r="ED52" s="6">
        <f>SUMPRODUCT((Results!$A$2:$A$5001=Schedule!ED$45)*(Results!$B$2:$B$5001=Schedule!$A52)*(Results!$D$2:$D$5001))</f>
        <v>0</v>
      </c>
      <c r="EE52" s="6">
        <f>SUMPRODUCT((Results!$A$2:$A$5001=Schedule!EE$45)*(Results!$B$2:$B$5001=Schedule!$A52)*(Results!$D$2:$D$5001))</f>
        <v>0</v>
      </c>
      <c r="EF52" s="6">
        <f>SUMPRODUCT((Results!$A$2:$A$5001=Schedule!EF$45)*(Results!$B$2:$B$5001=Schedule!$A52)*(Results!$D$2:$D$5001))</f>
        <v>0</v>
      </c>
      <c r="EG52" s="6">
        <f>SUMPRODUCT((Results!$A$2:$A$5001=Schedule!EG$45)*(Results!$B$2:$B$5001=Schedule!$A52)*(Results!$D$2:$D$5001))</f>
        <v>0</v>
      </c>
      <c r="EH52" s="6">
        <f>SUMPRODUCT((Results!$A$2:$A$5001=Schedule!EH$45)*(Results!$B$2:$B$5001=Schedule!$A52)*(Results!$D$2:$D$5001))</f>
        <v>0</v>
      </c>
      <c r="EI52" s="6">
        <f>SUMPRODUCT((Results!$A$2:$A$5001=Schedule!EI$45)*(Results!$B$2:$B$5001=Schedule!$A52)*(Results!$D$2:$D$5001))</f>
        <v>0</v>
      </c>
      <c r="EJ52" s="6">
        <f>SUMPRODUCT((Results!$A$2:$A$5001=Schedule!EJ$45)*(Results!$B$2:$B$5001=Schedule!$A52)*(Results!$D$2:$D$5001))</f>
        <v>0</v>
      </c>
      <c r="EK52" s="6">
        <f>SUMPRODUCT((Results!$A$2:$A$5001=Schedule!EK$45)*(Results!$B$2:$B$5001=Schedule!$A52)*(Results!$D$2:$D$5001))</f>
        <v>0</v>
      </c>
      <c r="EL52" s="6">
        <f>SUMPRODUCT((Results!$A$2:$A$5001=Schedule!EL$45)*(Results!$B$2:$B$5001=Schedule!$A52)*(Results!$D$2:$D$5001))</f>
        <v>0</v>
      </c>
      <c r="EM52" s="6">
        <f>SUMPRODUCT((Results!$A$2:$A$5001=Schedule!EM$45)*(Results!$B$2:$B$5001=Schedule!$A52)*(Results!$D$2:$D$5001))</f>
        <v>0</v>
      </c>
      <c r="EN52" s="6">
        <f>SUMPRODUCT((Results!$A$2:$A$5001=Schedule!EN$45)*(Results!$B$2:$B$5001=Schedule!$A52)*(Results!$D$2:$D$5001))</f>
        <v>0</v>
      </c>
      <c r="EO52" s="6">
        <f>SUMPRODUCT((Results!$A$2:$A$5001=Schedule!EO$45)*(Results!$B$2:$B$5001=Schedule!$A52)*(Results!$D$2:$D$5001))</f>
        <v>0</v>
      </c>
      <c r="EP52" s="6">
        <f>SUMPRODUCT((Results!$A$2:$A$5001=Schedule!EP$45)*(Results!$B$2:$B$5001=Schedule!$A52)*(Results!$D$2:$D$5001))</f>
        <v>0</v>
      </c>
      <c r="EQ52" s="6">
        <f>SUMPRODUCT((Results!$A$2:$A$5001=Schedule!EQ$45)*(Results!$B$2:$B$5001=Schedule!$A52)*(Results!$D$2:$D$5001))</f>
        <v>0</v>
      </c>
      <c r="ER52" s="6">
        <f>SUMPRODUCT((Results!$A$2:$A$5001=Schedule!ER$45)*(Results!$B$2:$B$5001=Schedule!$A52)*(Results!$D$2:$D$5001))</f>
        <v>0</v>
      </c>
      <c r="ES52" s="6">
        <f>SUMPRODUCT((Results!$A$2:$A$5001=Schedule!ES$45)*(Results!$B$2:$B$5001=Schedule!$A52)*(Results!$D$2:$D$5001))</f>
        <v>0</v>
      </c>
      <c r="ET52" s="6">
        <f>SUMPRODUCT((Results!$A$2:$A$5001=Schedule!ET$45)*(Results!$B$2:$B$5001=Schedule!$A52)*(Results!$D$2:$D$5001))</f>
        <v>0</v>
      </c>
      <c r="EU52" s="6">
        <f>SUMPRODUCT((Results!$A$2:$A$5001=Schedule!EU$45)*(Results!$B$2:$B$5001=Schedule!$A52)*(Results!$D$2:$D$5001))</f>
        <v>0</v>
      </c>
      <c r="EV52" s="6">
        <f>SUMPRODUCT((Results!$A$2:$A$5001=Schedule!EV$45)*(Results!$B$2:$B$5001=Schedule!$A52)*(Results!$D$2:$D$5001))</f>
        <v>0</v>
      </c>
      <c r="EW52" s="6">
        <f>SUMPRODUCT((Results!$A$2:$A$5001=Schedule!EW$45)*(Results!$B$2:$B$5001=Schedule!$A52)*(Results!$D$2:$D$5001))</f>
        <v>0</v>
      </c>
      <c r="EX52" s="6">
        <f>SUMPRODUCT((Results!$A$2:$A$5001=Schedule!EX$45)*(Results!$B$2:$B$5001=Schedule!$A52)*(Results!$D$2:$D$5001))</f>
        <v>0</v>
      </c>
      <c r="EY52" s="6">
        <f>SUMPRODUCT((Results!$A$2:$A$5001=Schedule!EY$45)*(Results!$B$2:$B$5001=Schedule!$A52)*(Results!$D$2:$D$5001))</f>
        <v>0</v>
      </c>
      <c r="EZ52" s="6">
        <f>SUMPRODUCT((Results!$A$2:$A$5001=Schedule!EZ$45)*(Results!$B$2:$B$5001=Schedule!$A52)*(Results!$D$2:$D$5001))</f>
        <v>0</v>
      </c>
      <c r="FA52" s="6">
        <f>SUMPRODUCT((Results!$A$2:$A$5001=Schedule!FA$45)*(Results!$B$2:$B$5001=Schedule!$A52)*(Results!$D$2:$D$5001))</f>
        <v>0</v>
      </c>
      <c r="FB52" s="6">
        <f>SUMPRODUCT((Results!$A$2:$A$5001=Schedule!FB$45)*(Results!$B$2:$B$5001=Schedule!$A52)*(Results!$D$2:$D$5001))</f>
        <v>0</v>
      </c>
      <c r="FC52" s="6">
        <f>SUMPRODUCT((Results!$A$2:$A$5001=Schedule!FC$45)*(Results!$B$2:$B$5001=Schedule!$A52)*(Results!$D$2:$D$5001))</f>
        <v>0</v>
      </c>
      <c r="FD52" s="6">
        <f>SUMPRODUCT((Results!$A$2:$A$5001=Schedule!FD$45)*(Results!$B$2:$B$5001=Schedule!$A52)*(Results!$D$2:$D$5001))</f>
        <v>0</v>
      </c>
      <c r="FE52" s="6">
        <f>SUMPRODUCT((Results!$A$2:$A$5001=Schedule!FE$45)*(Results!$B$2:$B$5001=Schedule!$A52)*(Results!$D$2:$D$5001))</f>
        <v>0</v>
      </c>
      <c r="FF52" s="6">
        <f>SUMPRODUCT((Results!$A$2:$A$5001=Schedule!FF$45)*(Results!$B$2:$B$5001=Schedule!$A52)*(Results!$D$2:$D$5001))</f>
        <v>0</v>
      </c>
      <c r="FG52" s="6">
        <f>SUMPRODUCT((Results!$A$2:$A$5001=Schedule!FG$45)*(Results!$B$2:$B$5001=Schedule!$A52)*(Results!$D$2:$D$5001))</f>
        <v>0</v>
      </c>
      <c r="FH52" s="6">
        <f>SUMPRODUCT((Results!$A$2:$A$5001=Schedule!FH$45)*(Results!$B$2:$B$5001=Schedule!$A52)*(Results!$D$2:$D$5001))</f>
        <v>0</v>
      </c>
      <c r="FI52" s="6">
        <f>SUMPRODUCT((Results!$A$2:$A$5001=Schedule!FI$45)*(Results!$B$2:$B$5001=Schedule!$A52)*(Results!$D$2:$D$5001))</f>
        <v>0</v>
      </c>
      <c r="FJ52" s="6">
        <f>SUMPRODUCT((Results!$A$2:$A$5001=Schedule!FJ$45)*(Results!$B$2:$B$5001=Schedule!$A52)*(Results!$D$2:$D$5001))</f>
        <v>0</v>
      </c>
      <c r="FK52" s="6">
        <f>SUMPRODUCT((Results!$A$2:$A$5001=Schedule!FK$45)*(Results!$B$2:$B$5001=Schedule!$A52)*(Results!$D$2:$D$5001))</f>
        <v>0</v>
      </c>
      <c r="FL52" s="6">
        <f>SUMPRODUCT((Results!$A$2:$A$5001=Schedule!FL$45)*(Results!$B$2:$B$5001=Schedule!$A52)*(Results!$D$2:$D$5001))</f>
        <v>0</v>
      </c>
      <c r="FM52" s="6">
        <f>SUMPRODUCT((Results!$A$2:$A$5001=Schedule!FM$45)*(Results!$B$2:$B$5001=Schedule!$A52)*(Results!$D$2:$D$5001))</f>
        <v>0</v>
      </c>
      <c r="FN52" s="6">
        <f>SUMPRODUCT((Results!$A$2:$A$5001=Schedule!FN$45)*(Results!$B$2:$B$5001=Schedule!$A52)*(Results!$D$2:$D$5001))</f>
        <v>0</v>
      </c>
      <c r="FO52" s="6">
        <f>SUMPRODUCT((Results!$A$2:$A$5001=Schedule!FO$45)*(Results!$B$2:$B$5001=Schedule!$A52)*(Results!$D$2:$D$5001))</f>
        <v>0</v>
      </c>
      <c r="FP52" s="6">
        <f>SUMPRODUCT((Results!$A$2:$A$5001=Schedule!FP$45)*(Results!$B$2:$B$5001=Schedule!$A52)*(Results!$D$2:$D$5001))</f>
        <v>0</v>
      </c>
      <c r="FQ52" s="6">
        <f>SUMPRODUCT((Results!$A$2:$A$5001=Schedule!FQ$45)*(Results!$B$2:$B$5001=Schedule!$A52)*(Results!$D$2:$D$5001))</f>
        <v>0</v>
      </c>
      <c r="FR52" s="6">
        <f>SUMPRODUCT((Results!$A$2:$A$5001=Schedule!FR$45)*(Results!$B$2:$B$5001=Schedule!$A52)*(Results!$D$2:$D$5001))</f>
        <v>0</v>
      </c>
      <c r="FS52" s="6">
        <f>SUMPRODUCT((Results!$A$2:$A$5001=Schedule!FS$45)*(Results!$B$2:$B$5001=Schedule!$A52)*(Results!$D$2:$D$5001))</f>
        <v>0</v>
      </c>
      <c r="FT52" s="6">
        <f>SUMPRODUCT((Results!$A$2:$A$5001=Schedule!FT$45)*(Results!$B$2:$B$5001=Schedule!$A52)*(Results!$D$2:$D$5001))</f>
        <v>0</v>
      </c>
      <c r="FU52" s="6">
        <f>SUMPRODUCT((Results!$A$2:$A$5001=Schedule!FU$45)*(Results!$B$2:$B$5001=Schedule!$A52)*(Results!$D$2:$D$5001))</f>
        <v>0</v>
      </c>
      <c r="FV52" s="6">
        <f>SUMPRODUCT((Results!$A$2:$A$5001=Schedule!FV$45)*(Results!$B$2:$B$5001=Schedule!$A52)*(Results!$D$2:$D$5001))</f>
        <v>0</v>
      </c>
      <c r="FW52" s="6">
        <f>SUMPRODUCT((Results!$A$2:$A$5001=Schedule!FW$45)*(Results!$B$2:$B$5001=Schedule!$A52)*(Results!$D$2:$D$5001))</f>
        <v>0</v>
      </c>
      <c r="FX52" s="6">
        <f>SUMPRODUCT((Results!$A$2:$A$5001=Schedule!FX$45)*(Results!$B$2:$B$5001=Schedule!$A52)*(Results!$D$2:$D$5001))</f>
        <v>0</v>
      </c>
      <c r="FY52" s="6">
        <f>SUMPRODUCT((Results!$A$2:$A$5001=Schedule!FY$45)*(Results!$B$2:$B$5001=Schedule!$A52)*(Results!$D$2:$D$5001))</f>
        <v>0</v>
      </c>
      <c r="FZ52" s="6">
        <f>SUMPRODUCT((Results!$A$2:$A$5001=Schedule!FZ$45)*(Results!$B$2:$B$5001=Schedule!$A52)*(Results!$D$2:$D$5001))</f>
        <v>0</v>
      </c>
      <c r="GA52" s="6">
        <f>SUMPRODUCT((Results!$A$2:$A$5001=Schedule!GA$45)*(Results!$B$2:$B$5001=Schedule!$A52)*(Results!$D$2:$D$5001))</f>
        <v>0</v>
      </c>
      <c r="GB52" s="6">
        <f>SUMPRODUCT((Results!$A$2:$A$5001=Schedule!GB$45)*(Results!$B$2:$B$5001=Schedule!$A52)*(Results!$D$2:$D$5001))</f>
        <v>0</v>
      </c>
      <c r="GC52" s="6">
        <f>SUMPRODUCT((Results!$A$2:$A$5001=Schedule!GC$45)*(Results!$B$2:$B$5001=Schedule!$A52)*(Results!$D$2:$D$5001))</f>
        <v>0</v>
      </c>
      <c r="GD52" s="6">
        <f>SUMPRODUCT((Results!$A$2:$A$5001=Schedule!GD$45)*(Results!$B$2:$B$5001=Schedule!$A52)*(Results!$D$2:$D$5001))</f>
        <v>0</v>
      </c>
      <c r="GE52" s="6">
        <f>SUMPRODUCT((Results!$A$2:$A$5001=Schedule!GE$45)*(Results!$B$2:$B$5001=Schedule!$A52)*(Results!$D$2:$D$5001))</f>
        <v>0</v>
      </c>
      <c r="GF52" s="6">
        <f>SUMPRODUCT((Results!$A$2:$A$5001=Schedule!GF$45)*(Results!$B$2:$B$5001=Schedule!$A52)*(Results!$D$2:$D$5001))</f>
        <v>0</v>
      </c>
      <c r="GG52" s="6">
        <f>SUMPRODUCT((Results!$A$2:$A$5001=Schedule!GG$45)*(Results!$B$2:$B$5001=Schedule!$A52)*(Results!$D$2:$D$5001))</f>
        <v>0</v>
      </c>
      <c r="GH52" s="6">
        <f>SUMPRODUCT((Results!$A$2:$A$5001=Schedule!GH$45)*(Results!$B$2:$B$5001=Schedule!$A52)*(Results!$D$2:$D$5001))</f>
        <v>0</v>
      </c>
      <c r="GI52" s="6">
        <f>SUMPRODUCT((Results!$A$2:$A$5001=Schedule!GI$45)*(Results!$B$2:$B$5001=Schedule!$A52)*(Results!$D$2:$D$5001))</f>
        <v>0</v>
      </c>
      <c r="GJ52" s="6">
        <f>SUMPRODUCT((Results!$A$2:$A$5001=Schedule!GJ$45)*(Results!$B$2:$B$5001=Schedule!$A52)*(Results!$D$2:$D$5001))</f>
        <v>0</v>
      </c>
      <c r="GK52" s="6">
        <f>SUMPRODUCT((Results!$A$2:$A$5001=Schedule!GK$45)*(Results!$B$2:$B$5001=Schedule!$A52)*(Results!$D$2:$D$5001))</f>
        <v>0</v>
      </c>
      <c r="GL52" s="6">
        <f>SUMPRODUCT((Results!$A$2:$A$5001=Schedule!GL$45)*(Results!$B$2:$B$5001=Schedule!$A52)*(Results!$D$2:$D$5001))</f>
        <v>0</v>
      </c>
      <c r="GM52" s="6">
        <f>SUMPRODUCT((Results!$A$2:$A$5001=Schedule!GM$45)*(Results!$B$2:$B$5001=Schedule!$A52)*(Results!$D$2:$D$5001))</f>
        <v>0</v>
      </c>
      <c r="GN52" s="6">
        <f>SUMPRODUCT((Results!$A$2:$A$5001=Schedule!GN$45)*(Results!$B$2:$B$5001=Schedule!$A52)*(Results!$D$2:$D$5001))</f>
        <v>0</v>
      </c>
      <c r="GO52" s="6">
        <f>SUMPRODUCT((Results!$A$2:$A$5001=Schedule!GO$45)*(Results!$B$2:$B$5001=Schedule!$A52)*(Results!$D$2:$D$5001))</f>
        <v>0</v>
      </c>
      <c r="GP52" s="6">
        <f>SUMPRODUCT((Results!$A$2:$A$5001=Schedule!GP$45)*(Results!$B$2:$B$5001=Schedule!$A52)*(Results!$D$2:$D$5001))</f>
        <v>0</v>
      </c>
      <c r="GQ52" s="6">
        <f>SUMPRODUCT((Results!$A$2:$A$5001=Schedule!GQ$45)*(Results!$B$2:$B$5001=Schedule!$A52)*(Results!$D$2:$D$5001))</f>
        <v>0</v>
      </c>
      <c r="GR52" s="6">
        <f>SUMPRODUCT((Results!$A$2:$A$5001=Schedule!GR$45)*(Results!$B$2:$B$5001=Schedule!$A52)*(Results!$D$2:$D$5001))</f>
        <v>0</v>
      </c>
      <c r="GS52" s="6">
        <f>SUMPRODUCT((Results!$A$2:$A$5001=Schedule!GS$45)*(Results!$B$2:$B$5001=Schedule!$A52)*(Results!$D$2:$D$5001))</f>
        <v>0</v>
      </c>
      <c r="GT52" s="6">
        <f>SUMPRODUCT((Results!$A$2:$A$5001=Schedule!GT$45)*(Results!$B$2:$B$5001=Schedule!$A52)*(Results!$D$2:$D$5001))</f>
        <v>0</v>
      </c>
      <c r="GU52" s="6">
        <f>SUMPRODUCT((Results!$A$2:$A$5001=Schedule!GU$45)*(Results!$B$2:$B$5001=Schedule!$A52)*(Results!$D$2:$D$5001))</f>
        <v>0</v>
      </c>
    </row>
    <row r="53" spans="1:203" ht="13.5" customHeight="1" x14ac:dyDescent="0.2">
      <c r="A53" s="40">
        <v>8</v>
      </c>
      <c r="B53" s="6">
        <f t="shared" si="17"/>
        <v>96.308300000000003</v>
      </c>
      <c r="C53" s="6">
        <f>SUMPRODUCT((Results!$A$2:$A$5001=Schedule!C$45)*(Results!$B$2:$B$5001=Schedule!$A53)*(Results!$D$2:$D$5001))</f>
        <v>8.9099999999999999E-2</v>
      </c>
      <c r="D53" s="6">
        <f>SUMPRODUCT((Results!$A$2:$A$5001=Schedule!D$45)*(Results!$B$2:$B$5001=Schedule!$A53)*(Results!$D$2:$D$5001))</f>
        <v>10.8043</v>
      </c>
      <c r="E53" s="6">
        <f>SUMPRODUCT((Results!$A$2:$A$5001=Schedule!E$45)*(Results!$B$2:$B$5001=Schedule!$A53)*(Results!$D$2:$D$5001))</f>
        <v>39.549700000000001</v>
      </c>
      <c r="F53" s="6">
        <f>SUMPRODUCT((Results!$A$2:$A$5001=Schedule!F$45)*(Results!$B$2:$B$5001=Schedule!$A53)*(Results!$D$2:$D$5001))</f>
        <v>38.114599999999996</v>
      </c>
      <c r="G53" s="6">
        <f>SUMPRODUCT((Results!$A$2:$A$5001=Schedule!G$45)*(Results!$B$2:$B$5001=Schedule!$A53)*(Results!$D$2:$D$5001))</f>
        <v>7.7506000000000004</v>
      </c>
      <c r="H53" s="6">
        <f>SUMPRODUCT((Results!$A$2:$A$5001=Schedule!H$45)*(Results!$B$2:$B$5001=Schedule!$A53)*(Results!$D$2:$D$5001))</f>
        <v>0</v>
      </c>
      <c r="I53" s="6">
        <f>SUMPRODUCT((Results!$A$2:$A$5001=Schedule!I$45)*(Results!$B$2:$B$5001=Schedule!$A53)*(Results!$D$2:$D$5001))</f>
        <v>0</v>
      </c>
      <c r="J53" s="6">
        <f>SUMPRODUCT((Results!$A$2:$A$5001=Schedule!J$45)*(Results!$B$2:$B$5001=Schedule!$A53)*(Results!$D$2:$D$5001))</f>
        <v>0</v>
      </c>
      <c r="K53" s="6">
        <f>SUMPRODUCT((Results!$A$2:$A$5001=Schedule!K$45)*(Results!$B$2:$B$5001=Schedule!$A53)*(Results!$D$2:$D$5001))</f>
        <v>0</v>
      </c>
      <c r="L53" s="6">
        <f>SUMPRODUCT((Results!$A$2:$A$5001=Schedule!L$45)*(Results!$B$2:$B$5001=Schedule!$A53)*(Results!$D$2:$D$5001))</f>
        <v>0</v>
      </c>
      <c r="M53" s="6">
        <f>SUMPRODUCT((Results!$A$2:$A$5001=Schedule!M$45)*(Results!$B$2:$B$5001=Schedule!$A53)*(Results!$D$2:$D$5001))</f>
        <v>0</v>
      </c>
      <c r="N53" s="6">
        <f>SUMPRODUCT((Results!$A$2:$A$5001=Schedule!N$45)*(Results!$B$2:$B$5001=Schedule!$A53)*(Results!$D$2:$D$5001))</f>
        <v>0</v>
      </c>
      <c r="O53" s="6">
        <f>SUMPRODUCT((Results!$A$2:$A$5001=Schedule!O$45)*(Results!$B$2:$B$5001=Schedule!$A53)*(Results!$D$2:$D$5001))</f>
        <v>0</v>
      </c>
      <c r="P53" s="6">
        <f>SUMPRODUCT((Results!$A$2:$A$5001=Schedule!P$45)*(Results!$B$2:$B$5001=Schedule!$A53)*(Results!$D$2:$D$5001))</f>
        <v>0</v>
      </c>
      <c r="Q53" s="6">
        <f>SUMPRODUCT((Results!$A$2:$A$5001=Schedule!Q$45)*(Results!$B$2:$B$5001=Schedule!$A53)*(Results!$D$2:$D$5001))</f>
        <v>0</v>
      </c>
      <c r="R53" s="6">
        <f>SUMPRODUCT((Results!$A$2:$A$5001=Schedule!R$45)*(Results!$B$2:$B$5001=Schedule!$A53)*(Results!$D$2:$D$5001))</f>
        <v>0</v>
      </c>
      <c r="S53" s="6">
        <f>SUMPRODUCT((Results!$A$2:$A$5001=Schedule!S$45)*(Results!$B$2:$B$5001=Schedule!$A53)*(Results!$D$2:$D$5001))</f>
        <v>0</v>
      </c>
      <c r="T53" s="6">
        <f>SUMPRODUCT((Results!$A$2:$A$5001=Schedule!T$45)*(Results!$B$2:$B$5001=Schedule!$A53)*(Results!$D$2:$D$5001))</f>
        <v>0</v>
      </c>
      <c r="U53" s="6">
        <f>SUMPRODUCT((Results!$A$2:$A$5001=Schedule!U$45)*(Results!$B$2:$B$5001=Schedule!$A53)*(Results!$D$2:$D$5001))</f>
        <v>0</v>
      </c>
      <c r="V53" s="6">
        <f>SUMPRODUCT((Results!$A$2:$A$5001=Schedule!V$45)*(Results!$B$2:$B$5001=Schedule!$A53)*(Results!$D$2:$D$5001))</f>
        <v>0</v>
      </c>
      <c r="W53" s="6">
        <f>SUMPRODUCT((Results!$A$2:$A$5001=Schedule!W$45)*(Results!$B$2:$B$5001=Schedule!$A53)*(Results!$D$2:$D$5001))</f>
        <v>0</v>
      </c>
      <c r="X53" s="6">
        <f>SUMPRODUCT((Results!$A$2:$A$5001=Schedule!X$45)*(Results!$B$2:$B$5001=Schedule!$A53)*(Results!$D$2:$D$5001))</f>
        <v>0</v>
      </c>
      <c r="Y53" s="6">
        <f>SUMPRODUCT((Results!$A$2:$A$5001=Schedule!Y$45)*(Results!$B$2:$B$5001=Schedule!$A53)*(Results!$D$2:$D$5001))</f>
        <v>0</v>
      </c>
      <c r="Z53" s="6">
        <f>SUMPRODUCT((Results!$A$2:$A$5001=Schedule!Z$45)*(Results!$B$2:$B$5001=Schedule!$A53)*(Results!$D$2:$D$5001))</f>
        <v>0</v>
      </c>
      <c r="AA53" s="6">
        <f>SUMPRODUCT((Results!$A$2:$A$5001=Schedule!AA$45)*(Results!$B$2:$B$5001=Schedule!$A53)*(Results!$D$2:$D$5001))</f>
        <v>0</v>
      </c>
      <c r="AB53" s="6">
        <f>SUMPRODUCT((Results!$A$2:$A$5001=Schedule!AB$45)*(Results!$B$2:$B$5001=Schedule!$A53)*(Results!$D$2:$D$5001))</f>
        <v>0</v>
      </c>
      <c r="AC53" s="6">
        <f>SUMPRODUCT((Results!$A$2:$A$5001=Schedule!AC$45)*(Results!$B$2:$B$5001=Schedule!$A53)*(Results!$D$2:$D$5001))</f>
        <v>0</v>
      </c>
      <c r="AD53" s="6">
        <f>SUMPRODUCT((Results!$A$2:$A$5001=Schedule!AD$45)*(Results!$B$2:$B$5001=Schedule!$A53)*(Results!$D$2:$D$5001))</f>
        <v>0</v>
      </c>
      <c r="AE53" s="6">
        <f>SUMPRODUCT((Results!$A$2:$A$5001=Schedule!AE$45)*(Results!$B$2:$B$5001=Schedule!$A53)*(Results!$D$2:$D$5001))</f>
        <v>0</v>
      </c>
      <c r="AF53" s="6">
        <f>SUMPRODUCT((Results!$A$2:$A$5001=Schedule!AF$45)*(Results!$B$2:$B$5001=Schedule!$A53)*(Results!$D$2:$D$5001))</f>
        <v>0</v>
      </c>
      <c r="AG53" s="6">
        <f>SUMPRODUCT((Results!$A$2:$A$5001=Schedule!AG$45)*(Results!$B$2:$B$5001=Schedule!$A53)*(Results!$D$2:$D$5001))</f>
        <v>0</v>
      </c>
      <c r="AH53" s="6">
        <f>SUMPRODUCT((Results!$A$2:$A$5001=Schedule!AH$45)*(Results!$B$2:$B$5001=Schedule!$A53)*(Results!$D$2:$D$5001))</f>
        <v>0</v>
      </c>
      <c r="AI53" s="6">
        <f>SUMPRODUCT((Results!$A$2:$A$5001=Schedule!AI$45)*(Results!$B$2:$B$5001=Schedule!$A53)*(Results!$D$2:$D$5001))</f>
        <v>0</v>
      </c>
      <c r="AJ53" s="6">
        <f>SUMPRODUCT((Results!$A$2:$A$5001=Schedule!AJ$45)*(Results!$B$2:$B$5001=Schedule!$A53)*(Results!$D$2:$D$5001))</f>
        <v>0</v>
      </c>
      <c r="AK53" s="6">
        <f>SUMPRODUCT((Results!$A$2:$A$5001=Schedule!AK$45)*(Results!$B$2:$B$5001=Schedule!$A53)*(Results!$D$2:$D$5001))</f>
        <v>0</v>
      </c>
      <c r="AL53" s="6">
        <f>SUMPRODUCT((Results!$A$2:$A$5001=Schedule!AL$45)*(Results!$B$2:$B$5001=Schedule!$A53)*(Results!$D$2:$D$5001))</f>
        <v>0</v>
      </c>
      <c r="AM53" s="6">
        <f>SUMPRODUCT((Results!$A$2:$A$5001=Schedule!AM$45)*(Results!$B$2:$B$5001=Schedule!$A53)*(Results!$D$2:$D$5001))</f>
        <v>0</v>
      </c>
      <c r="AN53" s="6">
        <f>SUMPRODUCT((Results!$A$2:$A$5001=Schedule!AN$45)*(Results!$B$2:$B$5001=Schedule!$A53)*(Results!$D$2:$D$5001))</f>
        <v>0</v>
      </c>
      <c r="AO53" s="6">
        <f>SUMPRODUCT((Results!$A$2:$A$5001=Schedule!AO$45)*(Results!$B$2:$B$5001=Schedule!$A53)*(Results!$D$2:$D$5001))</f>
        <v>0</v>
      </c>
      <c r="AP53" s="6">
        <f>SUMPRODUCT((Results!$A$2:$A$5001=Schedule!AP$45)*(Results!$B$2:$B$5001=Schedule!$A53)*(Results!$D$2:$D$5001))</f>
        <v>0</v>
      </c>
      <c r="AQ53" s="6">
        <f>SUMPRODUCT((Results!$A$2:$A$5001=Schedule!AQ$45)*(Results!$B$2:$B$5001=Schedule!$A53)*(Results!$D$2:$D$5001))</f>
        <v>0</v>
      </c>
      <c r="AR53" s="6">
        <f>SUMPRODUCT((Results!$A$2:$A$5001=Schedule!AR$45)*(Results!$B$2:$B$5001=Schedule!$A53)*(Results!$D$2:$D$5001))</f>
        <v>0</v>
      </c>
      <c r="AS53" s="6">
        <f>SUMPRODUCT((Results!$A$2:$A$5001=Schedule!AS$45)*(Results!$B$2:$B$5001=Schedule!$A53)*(Results!$D$2:$D$5001))</f>
        <v>0</v>
      </c>
      <c r="AT53" s="6">
        <f>SUMPRODUCT((Results!$A$2:$A$5001=Schedule!AT$45)*(Results!$B$2:$B$5001=Schedule!$A53)*(Results!$D$2:$D$5001))</f>
        <v>0</v>
      </c>
      <c r="AU53" s="6">
        <f>SUMPRODUCT((Results!$A$2:$A$5001=Schedule!AU$45)*(Results!$B$2:$B$5001=Schedule!$A53)*(Results!$D$2:$D$5001))</f>
        <v>0</v>
      </c>
      <c r="AV53" s="6">
        <f>SUMPRODUCT((Results!$A$2:$A$5001=Schedule!AV$45)*(Results!$B$2:$B$5001=Schedule!$A53)*(Results!$D$2:$D$5001))</f>
        <v>0</v>
      </c>
      <c r="AW53" s="6">
        <f>SUMPRODUCT((Results!$A$2:$A$5001=Schedule!AW$45)*(Results!$B$2:$B$5001=Schedule!$A53)*(Results!$D$2:$D$5001))</f>
        <v>0</v>
      </c>
      <c r="AX53" s="6">
        <f>SUMPRODUCT((Results!$A$2:$A$5001=Schedule!AX$45)*(Results!$B$2:$B$5001=Schedule!$A53)*(Results!$D$2:$D$5001))</f>
        <v>0</v>
      </c>
      <c r="AY53" s="6">
        <f>SUMPRODUCT((Results!$A$2:$A$5001=Schedule!AY$45)*(Results!$B$2:$B$5001=Schedule!$A53)*(Results!$D$2:$D$5001))</f>
        <v>0</v>
      </c>
      <c r="AZ53" s="6">
        <f>SUMPRODUCT((Results!$A$2:$A$5001=Schedule!AZ$45)*(Results!$B$2:$B$5001=Schedule!$A53)*(Results!$D$2:$D$5001))</f>
        <v>0</v>
      </c>
      <c r="BA53" s="6">
        <f>SUMPRODUCT((Results!$A$2:$A$5001=Schedule!BA$45)*(Results!$B$2:$B$5001=Schedule!$A53)*(Results!$D$2:$D$5001))</f>
        <v>0</v>
      </c>
      <c r="BB53" s="6">
        <f>SUMPRODUCT((Results!$A$2:$A$5001=Schedule!BB$45)*(Results!$B$2:$B$5001=Schedule!$A53)*(Results!$D$2:$D$5001))</f>
        <v>0</v>
      </c>
      <c r="BC53" s="6">
        <f>SUMPRODUCT((Results!$A$2:$A$5001=Schedule!BC$45)*(Results!$B$2:$B$5001=Schedule!$A53)*(Results!$D$2:$D$5001))</f>
        <v>0</v>
      </c>
      <c r="BD53" s="6">
        <f>SUMPRODUCT((Results!$A$2:$A$5001=Schedule!BD$45)*(Results!$B$2:$B$5001=Schedule!$A53)*(Results!$D$2:$D$5001))</f>
        <v>0</v>
      </c>
      <c r="BE53" s="6">
        <f>SUMPRODUCT((Results!$A$2:$A$5001=Schedule!BE$45)*(Results!$B$2:$B$5001=Schedule!$A53)*(Results!$D$2:$D$5001))</f>
        <v>0</v>
      </c>
      <c r="BF53" s="6">
        <f>SUMPRODUCT((Results!$A$2:$A$5001=Schedule!BF$45)*(Results!$B$2:$B$5001=Schedule!$A53)*(Results!$D$2:$D$5001))</f>
        <v>0</v>
      </c>
      <c r="BG53" s="6">
        <f>SUMPRODUCT((Results!$A$2:$A$5001=Schedule!BG$45)*(Results!$B$2:$B$5001=Schedule!$A53)*(Results!$D$2:$D$5001))</f>
        <v>0</v>
      </c>
      <c r="BH53" s="6">
        <f>SUMPRODUCT((Results!$A$2:$A$5001=Schedule!BH$45)*(Results!$B$2:$B$5001=Schedule!$A53)*(Results!$D$2:$D$5001))</f>
        <v>0</v>
      </c>
      <c r="BI53" s="6">
        <f>SUMPRODUCT((Results!$A$2:$A$5001=Schedule!BI$45)*(Results!$B$2:$B$5001=Schedule!$A53)*(Results!$D$2:$D$5001))</f>
        <v>0</v>
      </c>
      <c r="BJ53" s="6">
        <f>SUMPRODUCT((Results!$A$2:$A$5001=Schedule!BJ$45)*(Results!$B$2:$B$5001=Schedule!$A53)*(Results!$D$2:$D$5001))</f>
        <v>0</v>
      </c>
      <c r="BK53" s="6">
        <f>SUMPRODUCT((Results!$A$2:$A$5001=Schedule!BK$45)*(Results!$B$2:$B$5001=Schedule!$A53)*(Results!$D$2:$D$5001))</f>
        <v>0</v>
      </c>
      <c r="BL53" s="6">
        <f>SUMPRODUCT((Results!$A$2:$A$5001=Schedule!BL$45)*(Results!$B$2:$B$5001=Schedule!$A53)*(Results!$D$2:$D$5001))</f>
        <v>0</v>
      </c>
      <c r="BM53" s="6">
        <f>SUMPRODUCT((Results!$A$2:$A$5001=Schedule!BM$45)*(Results!$B$2:$B$5001=Schedule!$A53)*(Results!$D$2:$D$5001))</f>
        <v>0</v>
      </c>
      <c r="BN53" s="6">
        <f>SUMPRODUCT((Results!$A$2:$A$5001=Schedule!BN$45)*(Results!$B$2:$B$5001=Schedule!$A53)*(Results!$D$2:$D$5001))</f>
        <v>0</v>
      </c>
      <c r="BO53" s="6">
        <f>SUMPRODUCT((Results!$A$2:$A$5001=Schedule!BO$45)*(Results!$B$2:$B$5001=Schedule!$A53)*(Results!$D$2:$D$5001))</f>
        <v>0</v>
      </c>
      <c r="BP53" s="6">
        <f>SUMPRODUCT((Results!$A$2:$A$5001=Schedule!BP$45)*(Results!$B$2:$B$5001=Schedule!$A53)*(Results!$D$2:$D$5001))</f>
        <v>0</v>
      </c>
      <c r="BQ53" s="6">
        <f>SUMPRODUCT((Results!$A$2:$A$5001=Schedule!BQ$45)*(Results!$B$2:$B$5001=Schedule!$A53)*(Results!$D$2:$D$5001))</f>
        <v>0</v>
      </c>
      <c r="BR53" s="6">
        <f>SUMPRODUCT((Results!$A$2:$A$5001=Schedule!BR$45)*(Results!$B$2:$B$5001=Schedule!$A53)*(Results!$D$2:$D$5001))</f>
        <v>0</v>
      </c>
      <c r="BS53" s="6">
        <f>SUMPRODUCT((Results!$A$2:$A$5001=Schedule!BS$45)*(Results!$B$2:$B$5001=Schedule!$A53)*(Results!$D$2:$D$5001))</f>
        <v>0</v>
      </c>
      <c r="BT53" s="6">
        <f>SUMPRODUCT((Results!$A$2:$A$5001=Schedule!BT$45)*(Results!$B$2:$B$5001=Schedule!$A53)*(Results!$D$2:$D$5001))</f>
        <v>0</v>
      </c>
      <c r="BU53" s="6">
        <f>SUMPRODUCT((Results!$A$2:$A$5001=Schedule!BU$45)*(Results!$B$2:$B$5001=Schedule!$A53)*(Results!$D$2:$D$5001))</f>
        <v>0</v>
      </c>
      <c r="BV53" s="6">
        <f>SUMPRODUCT((Results!$A$2:$A$5001=Schedule!BV$45)*(Results!$B$2:$B$5001=Schedule!$A53)*(Results!$D$2:$D$5001))</f>
        <v>0</v>
      </c>
      <c r="BW53" s="6">
        <f>SUMPRODUCT((Results!$A$2:$A$5001=Schedule!BW$45)*(Results!$B$2:$B$5001=Schedule!$A53)*(Results!$D$2:$D$5001))</f>
        <v>0</v>
      </c>
      <c r="BX53" s="6">
        <f>SUMPRODUCT((Results!$A$2:$A$5001=Schedule!BX$45)*(Results!$B$2:$B$5001=Schedule!$A53)*(Results!$D$2:$D$5001))</f>
        <v>0</v>
      </c>
      <c r="BY53" s="6">
        <f>SUMPRODUCT((Results!$A$2:$A$5001=Schedule!BY$45)*(Results!$B$2:$B$5001=Schedule!$A53)*(Results!$D$2:$D$5001))</f>
        <v>0</v>
      </c>
      <c r="BZ53" s="6">
        <f>SUMPRODUCT((Results!$A$2:$A$5001=Schedule!BZ$45)*(Results!$B$2:$B$5001=Schedule!$A53)*(Results!$D$2:$D$5001))</f>
        <v>0</v>
      </c>
      <c r="CA53" s="6">
        <f>SUMPRODUCT((Results!$A$2:$A$5001=Schedule!CA$45)*(Results!$B$2:$B$5001=Schedule!$A53)*(Results!$D$2:$D$5001))</f>
        <v>0</v>
      </c>
      <c r="CB53" s="6">
        <f>SUMPRODUCT((Results!$A$2:$A$5001=Schedule!CB$45)*(Results!$B$2:$B$5001=Schedule!$A53)*(Results!$D$2:$D$5001))</f>
        <v>0</v>
      </c>
      <c r="CC53" s="6">
        <f>SUMPRODUCT((Results!$A$2:$A$5001=Schedule!CC$45)*(Results!$B$2:$B$5001=Schedule!$A53)*(Results!$D$2:$D$5001))</f>
        <v>0</v>
      </c>
      <c r="CD53" s="6">
        <f>SUMPRODUCT((Results!$A$2:$A$5001=Schedule!CD$45)*(Results!$B$2:$B$5001=Schedule!$A53)*(Results!$D$2:$D$5001))</f>
        <v>0</v>
      </c>
      <c r="CE53" s="6">
        <f>SUMPRODUCT((Results!$A$2:$A$5001=Schedule!CE$45)*(Results!$B$2:$B$5001=Schedule!$A53)*(Results!$D$2:$D$5001))</f>
        <v>0</v>
      </c>
      <c r="CF53" s="6">
        <f>SUMPRODUCT((Results!$A$2:$A$5001=Schedule!CF$45)*(Results!$B$2:$B$5001=Schedule!$A53)*(Results!$D$2:$D$5001))</f>
        <v>0</v>
      </c>
      <c r="CG53" s="6">
        <f>SUMPRODUCT((Results!$A$2:$A$5001=Schedule!CG$45)*(Results!$B$2:$B$5001=Schedule!$A53)*(Results!$D$2:$D$5001))</f>
        <v>0</v>
      </c>
      <c r="CH53" s="6">
        <f>SUMPRODUCT((Results!$A$2:$A$5001=Schedule!CH$45)*(Results!$B$2:$B$5001=Schedule!$A53)*(Results!$D$2:$D$5001))</f>
        <v>0</v>
      </c>
      <c r="CI53" s="6">
        <f>SUMPRODUCT((Results!$A$2:$A$5001=Schedule!CI$45)*(Results!$B$2:$B$5001=Schedule!$A53)*(Results!$D$2:$D$5001))</f>
        <v>0</v>
      </c>
      <c r="CJ53" s="6">
        <f>SUMPRODUCT((Results!$A$2:$A$5001=Schedule!CJ$45)*(Results!$B$2:$B$5001=Schedule!$A53)*(Results!$D$2:$D$5001))</f>
        <v>0</v>
      </c>
      <c r="CK53" s="6">
        <f>SUMPRODUCT((Results!$A$2:$A$5001=Schedule!CK$45)*(Results!$B$2:$B$5001=Schedule!$A53)*(Results!$D$2:$D$5001))</f>
        <v>0</v>
      </c>
      <c r="CL53" s="6">
        <f>SUMPRODUCT((Results!$A$2:$A$5001=Schedule!CL$45)*(Results!$B$2:$B$5001=Schedule!$A53)*(Results!$D$2:$D$5001))</f>
        <v>0</v>
      </c>
      <c r="CM53" s="6">
        <f>SUMPRODUCT((Results!$A$2:$A$5001=Schedule!CM$45)*(Results!$B$2:$B$5001=Schedule!$A53)*(Results!$D$2:$D$5001))</f>
        <v>0</v>
      </c>
      <c r="CN53" s="6">
        <f>SUMPRODUCT((Results!$A$2:$A$5001=Schedule!CN$45)*(Results!$B$2:$B$5001=Schedule!$A53)*(Results!$D$2:$D$5001))</f>
        <v>0</v>
      </c>
      <c r="CO53" s="6">
        <f>SUMPRODUCT((Results!$A$2:$A$5001=Schedule!CO$45)*(Results!$B$2:$B$5001=Schedule!$A53)*(Results!$D$2:$D$5001))</f>
        <v>0</v>
      </c>
      <c r="CP53" s="6">
        <f>SUMPRODUCT((Results!$A$2:$A$5001=Schedule!CP$45)*(Results!$B$2:$B$5001=Schedule!$A53)*(Results!$D$2:$D$5001))</f>
        <v>0</v>
      </c>
      <c r="CQ53" s="6">
        <f>SUMPRODUCT((Results!$A$2:$A$5001=Schedule!CQ$45)*(Results!$B$2:$B$5001=Schedule!$A53)*(Results!$D$2:$D$5001))</f>
        <v>0</v>
      </c>
      <c r="CR53" s="6">
        <f>SUMPRODUCT((Results!$A$2:$A$5001=Schedule!CR$45)*(Results!$B$2:$B$5001=Schedule!$A53)*(Results!$D$2:$D$5001))</f>
        <v>0</v>
      </c>
      <c r="CS53" s="6">
        <f>SUMPRODUCT((Results!$A$2:$A$5001=Schedule!CS$45)*(Results!$B$2:$B$5001=Schedule!$A53)*(Results!$D$2:$D$5001))</f>
        <v>0</v>
      </c>
      <c r="CT53" s="6">
        <f>SUMPRODUCT((Results!$A$2:$A$5001=Schedule!CT$45)*(Results!$B$2:$B$5001=Schedule!$A53)*(Results!$D$2:$D$5001))</f>
        <v>0</v>
      </c>
      <c r="CU53" s="6">
        <f>SUMPRODUCT((Results!$A$2:$A$5001=Schedule!CU$45)*(Results!$B$2:$B$5001=Schedule!$A53)*(Results!$D$2:$D$5001))</f>
        <v>0</v>
      </c>
      <c r="CV53" s="6">
        <f>SUMPRODUCT((Results!$A$2:$A$5001=Schedule!CV$45)*(Results!$B$2:$B$5001=Schedule!$A53)*(Results!$D$2:$D$5001))</f>
        <v>0</v>
      </c>
      <c r="CW53" s="6">
        <f>SUMPRODUCT((Results!$A$2:$A$5001=Schedule!CW$45)*(Results!$B$2:$B$5001=Schedule!$A53)*(Results!$D$2:$D$5001))</f>
        <v>0</v>
      </c>
      <c r="CX53" s="6">
        <f>SUMPRODUCT((Results!$A$2:$A$5001=Schedule!CX$45)*(Results!$B$2:$B$5001=Schedule!$A53)*(Results!$D$2:$D$5001))</f>
        <v>0</v>
      </c>
      <c r="CY53" s="6">
        <f>SUMPRODUCT((Results!$A$2:$A$5001=Schedule!CY$45)*(Results!$B$2:$B$5001=Schedule!$A53)*(Results!$D$2:$D$5001))</f>
        <v>0</v>
      </c>
      <c r="CZ53" s="6">
        <f>SUMPRODUCT((Results!$A$2:$A$5001=Schedule!CZ$45)*(Results!$B$2:$B$5001=Schedule!$A53)*(Results!$D$2:$D$5001))</f>
        <v>0</v>
      </c>
      <c r="DA53" s="6">
        <f>SUMPRODUCT((Results!$A$2:$A$5001=Schedule!DA$45)*(Results!$B$2:$B$5001=Schedule!$A53)*(Results!$D$2:$D$5001))</f>
        <v>0</v>
      </c>
      <c r="DB53" s="6">
        <f>SUMPRODUCT((Results!$A$2:$A$5001=Schedule!DB$45)*(Results!$B$2:$B$5001=Schedule!$A53)*(Results!$D$2:$D$5001))</f>
        <v>0</v>
      </c>
      <c r="DC53" s="6">
        <f>SUMPRODUCT((Results!$A$2:$A$5001=Schedule!DC$45)*(Results!$B$2:$B$5001=Schedule!$A53)*(Results!$D$2:$D$5001))</f>
        <v>0</v>
      </c>
      <c r="DD53" s="6">
        <f>SUMPRODUCT((Results!$A$2:$A$5001=Schedule!DD$45)*(Results!$B$2:$B$5001=Schedule!$A53)*(Results!$D$2:$D$5001))</f>
        <v>0</v>
      </c>
      <c r="DE53" s="6">
        <f>SUMPRODUCT((Results!$A$2:$A$5001=Schedule!DE$45)*(Results!$B$2:$B$5001=Schedule!$A53)*(Results!$D$2:$D$5001))</f>
        <v>0</v>
      </c>
      <c r="DF53" s="6">
        <f>SUMPRODUCT((Results!$A$2:$A$5001=Schedule!DF$45)*(Results!$B$2:$B$5001=Schedule!$A53)*(Results!$D$2:$D$5001))</f>
        <v>0</v>
      </c>
      <c r="DG53" s="6">
        <f>SUMPRODUCT((Results!$A$2:$A$5001=Schedule!DG$45)*(Results!$B$2:$B$5001=Schedule!$A53)*(Results!$D$2:$D$5001))</f>
        <v>0</v>
      </c>
      <c r="DH53" s="6">
        <f>SUMPRODUCT((Results!$A$2:$A$5001=Schedule!DH$45)*(Results!$B$2:$B$5001=Schedule!$A53)*(Results!$D$2:$D$5001))</f>
        <v>0</v>
      </c>
      <c r="DI53" s="6">
        <f>SUMPRODUCT((Results!$A$2:$A$5001=Schedule!DI$45)*(Results!$B$2:$B$5001=Schedule!$A53)*(Results!$D$2:$D$5001))</f>
        <v>0</v>
      </c>
      <c r="DJ53" s="6">
        <f>SUMPRODUCT((Results!$A$2:$A$5001=Schedule!DJ$45)*(Results!$B$2:$B$5001=Schedule!$A53)*(Results!$D$2:$D$5001))</f>
        <v>0</v>
      </c>
      <c r="DK53" s="6">
        <f>SUMPRODUCT((Results!$A$2:$A$5001=Schedule!DK$45)*(Results!$B$2:$B$5001=Schedule!$A53)*(Results!$D$2:$D$5001))</f>
        <v>0</v>
      </c>
      <c r="DL53" s="6">
        <f>SUMPRODUCT((Results!$A$2:$A$5001=Schedule!DL$45)*(Results!$B$2:$B$5001=Schedule!$A53)*(Results!$D$2:$D$5001))</f>
        <v>0</v>
      </c>
      <c r="DM53" s="6">
        <f>SUMPRODUCT((Results!$A$2:$A$5001=Schedule!DM$45)*(Results!$B$2:$B$5001=Schedule!$A53)*(Results!$D$2:$D$5001))</f>
        <v>0</v>
      </c>
      <c r="DN53" s="6">
        <f>SUMPRODUCT((Results!$A$2:$A$5001=Schedule!DN$45)*(Results!$B$2:$B$5001=Schedule!$A53)*(Results!$D$2:$D$5001))</f>
        <v>0</v>
      </c>
      <c r="DO53" s="6">
        <f>SUMPRODUCT((Results!$A$2:$A$5001=Schedule!DO$45)*(Results!$B$2:$B$5001=Schedule!$A53)*(Results!$D$2:$D$5001))</f>
        <v>0</v>
      </c>
      <c r="DP53" s="6">
        <f>SUMPRODUCT((Results!$A$2:$A$5001=Schedule!DP$45)*(Results!$B$2:$B$5001=Schedule!$A53)*(Results!$D$2:$D$5001))</f>
        <v>0</v>
      </c>
      <c r="DQ53" s="6">
        <f>SUMPRODUCT((Results!$A$2:$A$5001=Schedule!DQ$45)*(Results!$B$2:$B$5001=Schedule!$A53)*(Results!$D$2:$D$5001))</f>
        <v>0</v>
      </c>
      <c r="DR53" s="6">
        <f>SUMPRODUCT((Results!$A$2:$A$5001=Schedule!DR$45)*(Results!$B$2:$B$5001=Schedule!$A53)*(Results!$D$2:$D$5001))</f>
        <v>0</v>
      </c>
      <c r="DS53" s="6">
        <f>SUMPRODUCT((Results!$A$2:$A$5001=Schedule!DS$45)*(Results!$B$2:$B$5001=Schedule!$A53)*(Results!$D$2:$D$5001))</f>
        <v>0</v>
      </c>
      <c r="DT53" s="6">
        <f>SUMPRODUCT((Results!$A$2:$A$5001=Schedule!DT$45)*(Results!$B$2:$B$5001=Schedule!$A53)*(Results!$D$2:$D$5001))</f>
        <v>0</v>
      </c>
      <c r="DU53" s="6">
        <f>SUMPRODUCT((Results!$A$2:$A$5001=Schedule!DU$45)*(Results!$B$2:$B$5001=Schedule!$A53)*(Results!$D$2:$D$5001))</f>
        <v>0</v>
      </c>
      <c r="DV53" s="6">
        <f>SUMPRODUCT((Results!$A$2:$A$5001=Schedule!DV$45)*(Results!$B$2:$B$5001=Schedule!$A53)*(Results!$D$2:$D$5001))</f>
        <v>0</v>
      </c>
      <c r="DW53" s="6">
        <f>SUMPRODUCT((Results!$A$2:$A$5001=Schedule!DW$45)*(Results!$B$2:$B$5001=Schedule!$A53)*(Results!$D$2:$D$5001))</f>
        <v>0</v>
      </c>
      <c r="DX53" s="6">
        <f>SUMPRODUCT((Results!$A$2:$A$5001=Schedule!DX$45)*(Results!$B$2:$B$5001=Schedule!$A53)*(Results!$D$2:$D$5001))</f>
        <v>0</v>
      </c>
      <c r="DY53" s="6">
        <f>SUMPRODUCT((Results!$A$2:$A$5001=Schedule!DY$45)*(Results!$B$2:$B$5001=Schedule!$A53)*(Results!$D$2:$D$5001))</f>
        <v>0</v>
      </c>
      <c r="DZ53" s="6">
        <f>SUMPRODUCT((Results!$A$2:$A$5001=Schedule!DZ$45)*(Results!$B$2:$B$5001=Schedule!$A53)*(Results!$D$2:$D$5001))</f>
        <v>0</v>
      </c>
      <c r="EA53" s="6">
        <f>SUMPRODUCT((Results!$A$2:$A$5001=Schedule!EA$45)*(Results!$B$2:$B$5001=Schedule!$A53)*(Results!$D$2:$D$5001))</f>
        <v>0</v>
      </c>
      <c r="EB53" s="6">
        <f>SUMPRODUCT((Results!$A$2:$A$5001=Schedule!EB$45)*(Results!$B$2:$B$5001=Schedule!$A53)*(Results!$D$2:$D$5001))</f>
        <v>0</v>
      </c>
      <c r="EC53" s="6">
        <f>SUMPRODUCT((Results!$A$2:$A$5001=Schedule!EC$45)*(Results!$B$2:$B$5001=Schedule!$A53)*(Results!$D$2:$D$5001))</f>
        <v>0</v>
      </c>
      <c r="ED53" s="6">
        <f>SUMPRODUCT((Results!$A$2:$A$5001=Schedule!ED$45)*(Results!$B$2:$B$5001=Schedule!$A53)*(Results!$D$2:$D$5001))</f>
        <v>0</v>
      </c>
      <c r="EE53" s="6">
        <f>SUMPRODUCT((Results!$A$2:$A$5001=Schedule!EE$45)*(Results!$B$2:$B$5001=Schedule!$A53)*(Results!$D$2:$D$5001))</f>
        <v>0</v>
      </c>
      <c r="EF53" s="6">
        <f>SUMPRODUCT((Results!$A$2:$A$5001=Schedule!EF$45)*(Results!$B$2:$B$5001=Schedule!$A53)*(Results!$D$2:$D$5001))</f>
        <v>0</v>
      </c>
      <c r="EG53" s="6">
        <f>SUMPRODUCT((Results!$A$2:$A$5001=Schedule!EG$45)*(Results!$B$2:$B$5001=Schedule!$A53)*(Results!$D$2:$D$5001))</f>
        <v>0</v>
      </c>
      <c r="EH53" s="6">
        <f>SUMPRODUCT((Results!$A$2:$A$5001=Schedule!EH$45)*(Results!$B$2:$B$5001=Schedule!$A53)*(Results!$D$2:$D$5001))</f>
        <v>0</v>
      </c>
      <c r="EI53" s="6">
        <f>SUMPRODUCT((Results!$A$2:$A$5001=Schedule!EI$45)*(Results!$B$2:$B$5001=Schedule!$A53)*(Results!$D$2:$D$5001))</f>
        <v>0</v>
      </c>
      <c r="EJ53" s="6">
        <f>SUMPRODUCT((Results!$A$2:$A$5001=Schedule!EJ$45)*(Results!$B$2:$B$5001=Schedule!$A53)*(Results!$D$2:$D$5001))</f>
        <v>0</v>
      </c>
      <c r="EK53" s="6">
        <f>SUMPRODUCT((Results!$A$2:$A$5001=Schedule!EK$45)*(Results!$B$2:$B$5001=Schedule!$A53)*(Results!$D$2:$D$5001))</f>
        <v>0</v>
      </c>
      <c r="EL53" s="6">
        <f>SUMPRODUCT((Results!$A$2:$A$5001=Schedule!EL$45)*(Results!$B$2:$B$5001=Schedule!$A53)*(Results!$D$2:$D$5001))</f>
        <v>0</v>
      </c>
      <c r="EM53" s="6">
        <f>SUMPRODUCT((Results!$A$2:$A$5001=Schedule!EM$45)*(Results!$B$2:$B$5001=Schedule!$A53)*(Results!$D$2:$D$5001))</f>
        <v>0</v>
      </c>
      <c r="EN53" s="6">
        <f>SUMPRODUCT((Results!$A$2:$A$5001=Schedule!EN$45)*(Results!$B$2:$B$5001=Schedule!$A53)*(Results!$D$2:$D$5001))</f>
        <v>0</v>
      </c>
      <c r="EO53" s="6">
        <f>SUMPRODUCT((Results!$A$2:$A$5001=Schedule!EO$45)*(Results!$B$2:$B$5001=Schedule!$A53)*(Results!$D$2:$D$5001))</f>
        <v>0</v>
      </c>
      <c r="EP53" s="6">
        <f>SUMPRODUCT((Results!$A$2:$A$5001=Schedule!EP$45)*(Results!$B$2:$B$5001=Schedule!$A53)*(Results!$D$2:$D$5001))</f>
        <v>0</v>
      </c>
      <c r="EQ53" s="6">
        <f>SUMPRODUCT((Results!$A$2:$A$5001=Schedule!EQ$45)*(Results!$B$2:$B$5001=Schedule!$A53)*(Results!$D$2:$D$5001))</f>
        <v>0</v>
      </c>
      <c r="ER53" s="6">
        <f>SUMPRODUCT((Results!$A$2:$A$5001=Schedule!ER$45)*(Results!$B$2:$B$5001=Schedule!$A53)*(Results!$D$2:$D$5001))</f>
        <v>0</v>
      </c>
      <c r="ES53" s="6">
        <f>SUMPRODUCT((Results!$A$2:$A$5001=Schedule!ES$45)*(Results!$B$2:$B$5001=Schedule!$A53)*(Results!$D$2:$D$5001))</f>
        <v>0</v>
      </c>
      <c r="ET53" s="6">
        <f>SUMPRODUCT((Results!$A$2:$A$5001=Schedule!ET$45)*(Results!$B$2:$B$5001=Schedule!$A53)*(Results!$D$2:$D$5001))</f>
        <v>0</v>
      </c>
      <c r="EU53" s="6">
        <f>SUMPRODUCT((Results!$A$2:$A$5001=Schedule!EU$45)*(Results!$B$2:$B$5001=Schedule!$A53)*(Results!$D$2:$D$5001))</f>
        <v>0</v>
      </c>
      <c r="EV53" s="6">
        <f>SUMPRODUCT((Results!$A$2:$A$5001=Schedule!EV$45)*(Results!$B$2:$B$5001=Schedule!$A53)*(Results!$D$2:$D$5001))</f>
        <v>0</v>
      </c>
      <c r="EW53" s="6">
        <f>SUMPRODUCT((Results!$A$2:$A$5001=Schedule!EW$45)*(Results!$B$2:$B$5001=Schedule!$A53)*(Results!$D$2:$D$5001))</f>
        <v>0</v>
      </c>
      <c r="EX53" s="6">
        <f>SUMPRODUCT((Results!$A$2:$A$5001=Schedule!EX$45)*(Results!$B$2:$B$5001=Schedule!$A53)*(Results!$D$2:$D$5001))</f>
        <v>0</v>
      </c>
      <c r="EY53" s="6">
        <f>SUMPRODUCT((Results!$A$2:$A$5001=Schedule!EY$45)*(Results!$B$2:$B$5001=Schedule!$A53)*(Results!$D$2:$D$5001))</f>
        <v>0</v>
      </c>
      <c r="EZ53" s="6">
        <f>SUMPRODUCT((Results!$A$2:$A$5001=Schedule!EZ$45)*(Results!$B$2:$B$5001=Schedule!$A53)*(Results!$D$2:$D$5001))</f>
        <v>0</v>
      </c>
      <c r="FA53" s="6">
        <f>SUMPRODUCT((Results!$A$2:$A$5001=Schedule!FA$45)*(Results!$B$2:$B$5001=Schedule!$A53)*(Results!$D$2:$D$5001))</f>
        <v>0</v>
      </c>
      <c r="FB53" s="6">
        <f>SUMPRODUCT((Results!$A$2:$A$5001=Schedule!FB$45)*(Results!$B$2:$B$5001=Schedule!$A53)*(Results!$D$2:$D$5001))</f>
        <v>0</v>
      </c>
      <c r="FC53" s="6">
        <f>SUMPRODUCT((Results!$A$2:$A$5001=Schedule!FC$45)*(Results!$B$2:$B$5001=Schedule!$A53)*(Results!$D$2:$D$5001))</f>
        <v>0</v>
      </c>
      <c r="FD53" s="6">
        <f>SUMPRODUCT((Results!$A$2:$A$5001=Schedule!FD$45)*(Results!$B$2:$B$5001=Schedule!$A53)*(Results!$D$2:$D$5001))</f>
        <v>0</v>
      </c>
      <c r="FE53" s="6">
        <f>SUMPRODUCT((Results!$A$2:$A$5001=Schedule!FE$45)*(Results!$B$2:$B$5001=Schedule!$A53)*(Results!$D$2:$D$5001))</f>
        <v>0</v>
      </c>
      <c r="FF53" s="6">
        <f>SUMPRODUCT((Results!$A$2:$A$5001=Schedule!FF$45)*(Results!$B$2:$B$5001=Schedule!$A53)*(Results!$D$2:$D$5001))</f>
        <v>0</v>
      </c>
      <c r="FG53" s="6">
        <f>SUMPRODUCT((Results!$A$2:$A$5001=Schedule!FG$45)*(Results!$B$2:$B$5001=Schedule!$A53)*(Results!$D$2:$D$5001))</f>
        <v>0</v>
      </c>
      <c r="FH53" s="6">
        <f>SUMPRODUCT((Results!$A$2:$A$5001=Schedule!FH$45)*(Results!$B$2:$B$5001=Schedule!$A53)*(Results!$D$2:$D$5001))</f>
        <v>0</v>
      </c>
      <c r="FI53" s="6">
        <f>SUMPRODUCT((Results!$A$2:$A$5001=Schedule!FI$45)*(Results!$B$2:$B$5001=Schedule!$A53)*(Results!$D$2:$D$5001))</f>
        <v>0</v>
      </c>
      <c r="FJ53" s="6">
        <f>SUMPRODUCT((Results!$A$2:$A$5001=Schedule!FJ$45)*(Results!$B$2:$B$5001=Schedule!$A53)*(Results!$D$2:$D$5001))</f>
        <v>0</v>
      </c>
      <c r="FK53" s="6">
        <f>SUMPRODUCT((Results!$A$2:$A$5001=Schedule!FK$45)*(Results!$B$2:$B$5001=Schedule!$A53)*(Results!$D$2:$D$5001))</f>
        <v>0</v>
      </c>
      <c r="FL53" s="6">
        <f>SUMPRODUCT((Results!$A$2:$A$5001=Schedule!FL$45)*(Results!$B$2:$B$5001=Schedule!$A53)*(Results!$D$2:$D$5001))</f>
        <v>0</v>
      </c>
      <c r="FM53" s="6">
        <f>SUMPRODUCT((Results!$A$2:$A$5001=Schedule!FM$45)*(Results!$B$2:$B$5001=Schedule!$A53)*(Results!$D$2:$D$5001))</f>
        <v>0</v>
      </c>
      <c r="FN53" s="6">
        <f>SUMPRODUCT((Results!$A$2:$A$5001=Schedule!FN$45)*(Results!$B$2:$B$5001=Schedule!$A53)*(Results!$D$2:$D$5001))</f>
        <v>0</v>
      </c>
      <c r="FO53" s="6">
        <f>SUMPRODUCT((Results!$A$2:$A$5001=Schedule!FO$45)*(Results!$B$2:$B$5001=Schedule!$A53)*(Results!$D$2:$D$5001))</f>
        <v>0</v>
      </c>
      <c r="FP53" s="6">
        <f>SUMPRODUCT((Results!$A$2:$A$5001=Schedule!FP$45)*(Results!$B$2:$B$5001=Schedule!$A53)*(Results!$D$2:$D$5001))</f>
        <v>0</v>
      </c>
      <c r="FQ53" s="6">
        <f>SUMPRODUCT((Results!$A$2:$A$5001=Schedule!FQ$45)*(Results!$B$2:$B$5001=Schedule!$A53)*(Results!$D$2:$D$5001))</f>
        <v>0</v>
      </c>
      <c r="FR53" s="6">
        <f>SUMPRODUCT((Results!$A$2:$A$5001=Schedule!FR$45)*(Results!$B$2:$B$5001=Schedule!$A53)*(Results!$D$2:$D$5001))</f>
        <v>0</v>
      </c>
      <c r="FS53" s="6">
        <f>SUMPRODUCT((Results!$A$2:$A$5001=Schedule!FS$45)*(Results!$B$2:$B$5001=Schedule!$A53)*(Results!$D$2:$D$5001))</f>
        <v>0</v>
      </c>
      <c r="FT53" s="6">
        <f>SUMPRODUCT((Results!$A$2:$A$5001=Schedule!FT$45)*(Results!$B$2:$B$5001=Schedule!$A53)*(Results!$D$2:$D$5001))</f>
        <v>0</v>
      </c>
      <c r="FU53" s="6">
        <f>SUMPRODUCT((Results!$A$2:$A$5001=Schedule!FU$45)*(Results!$B$2:$B$5001=Schedule!$A53)*(Results!$D$2:$D$5001))</f>
        <v>0</v>
      </c>
      <c r="FV53" s="6">
        <f>SUMPRODUCT((Results!$A$2:$A$5001=Schedule!FV$45)*(Results!$B$2:$B$5001=Schedule!$A53)*(Results!$D$2:$D$5001))</f>
        <v>0</v>
      </c>
      <c r="FW53" s="6">
        <f>SUMPRODUCT((Results!$A$2:$A$5001=Schedule!FW$45)*(Results!$B$2:$B$5001=Schedule!$A53)*(Results!$D$2:$D$5001))</f>
        <v>0</v>
      </c>
      <c r="FX53" s="6">
        <f>SUMPRODUCT((Results!$A$2:$A$5001=Schedule!FX$45)*(Results!$B$2:$B$5001=Schedule!$A53)*(Results!$D$2:$D$5001))</f>
        <v>0</v>
      </c>
      <c r="FY53" s="6">
        <f>SUMPRODUCT((Results!$A$2:$A$5001=Schedule!FY$45)*(Results!$B$2:$B$5001=Schedule!$A53)*(Results!$D$2:$D$5001))</f>
        <v>0</v>
      </c>
      <c r="FZ53" s="6">
        <f>SUMPRODUCT((Results!$A$2:$A$5001=Schedule!FZ$45)*(Results!$B$2:$B$5001=Schedule!$A53)*(Results!$D$2:$D$5001))</f>
        <v>0</v>
      </c>
      <c r="GA53" s="6">
        <f>SUMPRODUCT((Results!$A$2:$A$5001=Schedule!GA$45)*(Results!$B$2:$B$5001=Schedule!$A53)*(Results!$D$2:$D$5001))</f>
        <v>0</v>
      </c>
      <c r="GB53" s="6">
        <f>SUMPRODUCT((Results!$A$2:$A$5001=Schedule!GB$45)*(Results!$B$2:$B$5001=Schedule!$A53)*(Results!$D$2:$D$5001))</f>
        <v>0</v>
      </c>
      <c r="GC53" s="6">
        <f>SUMPRODUCT((Results!$A$2:$A$5001=Schedule!GC$45)*(Results!$B$2:$B$5001=Schedule!$A53)*(Results!$D$2:$D$5001))</f>
        <v>0</v>
      </c>
      <c r="GD53" s="6">
        <f>SUMPRODUCT((Results!$A$2:$A$5001=Schedule!GD$45)*(Results!$B$2:$B$5001=Schedule!$A53)*(Results!$D$2:$D$5001))</f>
        <v>0</v>
      </c>
      <c r="GE53" s="6">
        <f>SUMPRODUCT((Results!$A$2:$A$5001=Schedule!GE$45)*(Results!$B$2:$B$5001=Schedule!$A53)*(Results!$D$2:$D$5001))</f>
        <v>0</v>
      </c>
      <c r="GF53" s="6">
        <f>SUMPRODUCT((Results!$A$2:$A$5001=Schedule!GF$45)*(Results!$B$2:$B$5001=Schedule!$A53)*(Results!$D$2:$D$5001))</f>
        <v>0</v>
      </c>
      <c r="GG53" s="6">
        <f>SUMPRODUCT((Results!$A$2:$A$5001=Schedule!GG$45)*(Results!$B$2:$B$5001=Schedule!$A53)*(Results!$D$2:$D$5001))</f>
        <v>0</v>
      </c>
      <c r="GH53" s="6">
        <f>SUMPRODUCT((Results!$A$2:$A$5001=Schedule!GH$45)*(Results!$B$2:$B$5001=Schedule!$A53)*(Results!$D$2:$D$5001))</f>
        <v>0</v>
      </c>
      <c r="GI53" s="6">
        <f>SUMPRODUCT((Results!$A$2:$A$5001=Schedule!GI$45)*(Results!$B$2:$B$5001=Schedule!$A53)*(Results!$D$2:$D$5001))</f>
        <v>0</v>
      </c>
      <c r="GJ53" s="6">
        <f>SUMPRODUCT((Results!$A$2:$A$5001=Schedule!GJ$45)*(Results!$B$2:$B$5001=Schedule!$A53)*(Results!$D$2:$D$5001))</f>
        <v>0</v>
      </c>
      <c r="GK53" s="6">
        <f>SUMPRODUCT((Results!$A$2:$A$5001=Schedule!GK$45)*(Results!$B$2:$B$5001=Schedule!$A53)*(Results!$D$2:$D$5001))</f>
        <v>0</v>
      </c>
      <c r="GL53" s="6">
        <f>SUMPRODUCT((Results!$A$2:$A$5001=Schedule!GL$45)*(Results!$B$2:$B$5001=Schedule!$A53)*(Results!$D$2:$D$5001))</f>
        <v>0</v>
      </c>
      <c r="GM53" s="6">
        <f>SUMPRODUCT((Results!$A$2:$A$5001=Schedule!GM$45)*(Results!$B$2:$B$5001=Schedule!$A53)*(Results!$D$2:$D$5001))</f>
        <v>0</v>
      </c>
      <c r="GN53" s="6">
        <f>SUMPRODUCT((Results!$A$2:$A$5001=Schedule!GN$45)*(Results!$B$2:$B$5001=Schedule!$A53)*(Results!$D$2:$D$5001))</f>
        <v>0</v>
      </c>
      <c r="GO53" s="6">
        <f>SUMPRODUCT((Results!$A$2:$A$5001=Schedule!GO$45)*(Results!$B$2:$B$5001=Schedule!$A53)*(Results!$D$2:$D$5001))</f>
        <v>0</v>
      </c>
      <c r="GP53" s="6">
        <f>SUMPRODUCT((Results!$A$2:$A$5001=Schedule!GP$45)*(Results!$B$2:$B$5001=Schedule!$A53)*(Results!$D$2:$D$5001))</f>
        <v>0</v>
      </c>
      <c r="GQ53" s="6">
        <f>SUMPRODUCT((Results!$A$2:$A$5001=Schedule!GQ$45)*(Results!$B$2:$B$5001=Schedule!$A53)*(Results!$D$2:$D$5001))</f>
        <v>0</v>
      </c>
      <c r="GR53" s="6">
        <f>SUMPRODUCT((Results!$A$2:$A$5001=Schedule!GR$45)*(Results!$B$2:$B$5001=Schedule!$A53)*(Results!$D$2:$D$5001))</f>
        <v>0</v>
      </c>
      <c r="GS53" s="6">
        <f>SUMPRODUCT((Results!$A$2:$A$5001=Schedule!GS$45)*(Results!$B$2:$B$5001=Schedule!$A53)*(Results!$D$2:$D$5001))</f>
        <v>0</v>
      </c>
      <c r="GT53" s="6">
        <f>SUMPRODUCT((Results!$A$2:$A$5001=Schedule!GT$45)*(Results!$B$2:$B$5001=Schedule!$A53)*(Results!$D$2:$D$5001))</f>
        <v>0</v>
      </c>
      <c r="GU53" s="6">
        <f>SUMPRODUCT((Results!$A$2:$A$5001=Schedule!GU$45)*(Results!$B$2:$B$5001=Schedule!$A53)*(Results!$D$2:$D$5001))</f>
        <v>0</v>
      </c>
    </row>
    <row r="54" spans="1:203" ht="13.5" customHeight="1" x14ac:dyDescent="0.2">
      <c r="A54" s="40">
        <v>9</v>
      </c>
      <c r="B54" s="6">
        <f t="shared" si="17"/>
        <v>0.22059999999999999</v>
      </c>
      <c r="C54" s="6">
        <f>SUMPRODUCT((Results!$A$2:$A$5001=Schedule!C$45)*(Results!$B$2:$B$5001=Schedule!$A54)*(Results!$D$2:$D$5001))</f>
        <v>0.22059999999999999</v>
      </c>
      <c r="D54" s="6">
        <f>SUMPRODUCT((Results!$A$2:$A$5001=Schedule!D$45)*(Results!$B$2:$B$5001=Schedule!$A54)*(Results!$D$2:$D$5001))</f>
        <v>0</v>
      </c>
      <c r="E54" s="6">
        <f>SUMPRODUCT((Results!$A$2:$A$5001=Schedule!E$45)*(Results!$B$2:$B$5001=Schedule!$A54)*(Results!$D$2:$D$5001))</f>
        <v>0</v>
      </c>
      <c r="F54" s="6">
        <f>SUMPRODUCT((Results!$A$2:$A$5001=Schedule!F$45)*(Results!$B$2:$B$5001=Schedule!$A54)*(Results!$D$2:$D$5001))</f>
        <v>0</v>
      </c>
      <c r="G54" s="6">
        <f>SUMPRODUCT((Results!$A$2:$A$5001=Schedule!G$45)*(Results!$B$2:$B$5001=Schedule!$A54)*(Results!$D$2:$D$5001))</f>
        <v>0</v>
      </c>
      <c r="H54" s="6">
        <f>SUMPRODUCT((Results!$A$2:$A$5001=Schedule!H$45)*(Results!$B$2:$B$5001=Schedule!$A54)*(Results!$D$2:$D$5001))</f>
        <v>0</v>
      </c>
      <c r="I54" s="6">
        <f>SUMPRODUCT((Results!$A$2:$A$5001=Schedule!I$45)*(Results!$B$2:$B$5001=Schedule!$A54)*(Results!$D$2:$D$5001))</f>
        <v>0</v>
      </c>
      <c r="J54" s="6">
        <f>SUMPRODUCT((Results!$A$2:$A$5001=Schedule!J$45)*(Results!$B$2:$B$5001=Schedule!$A54)*(Results!$D$2:$D$5001))</f>
        <v>0</v>
      </c>
      <c r="K54" s="6">
        <f>SUMPRODUCT((Results!$A$2:$A$5001=Schedule!K$45)*(Results!$B$2:$B$5001=Schedule!$A54)*(Results!$D$2:$D$5001))</f>
        <v>0</v>
      </c>
      <c r="L54" s="6">
        <f>SUMPRODUCT((Results!$A$2:$A$5001=Schedule!L$45)*(Results!$B$2:$B$5001=Schedule!$A54)*(Results!$D$2:$D$5001))</f>
        <v>0</v>
      </c>
      <c r="M54" s="6">
        <f>SUMPRODUCT((Results!$A$2:$A$5001=Schedule!M$45)*(Results!$B$2:$B$5001=Schedule!$A54)*(Results!$D$2:$D$5001))</f>
        <v>0</v>
      </c>
      <c r="N54" s="6">
        <f>SUMPRODUCT((Results!$A$2:$A$5001=Schedule!N$45)*(Results!$B$2:$B$5001=Schedule!$A54)*(Results!$D$2:$D$5001))</f>
        <v>0</v>
      </c>
      <c r="O54" s="6">
        <f>SUMPRODUCT((Results!$A$2:$A$5001=Schedule!O$45)*(Results!$B$2:$B$5001=Schedule!$A54)*(Results!$D$2:$D$5001))</f>
        <v>0</v>
      </c>
      <c r="P54" s="6">
        <f>SUMPRODUCT((Results!$A$2:$A$5001=Schedule!P$45)*(Results!$B$2:$B$5001=Schedule!$A54)*(Results!$D$2:$D$5001))</f>
        <v>0</v>
      </c>
      <c r="Q54" s="6">
        <f>SUMPRODUCT((Results!$A$2:$A$5001=Schedule!Q$45)*(Results!$B$2:$B$5001=Schedule!$A54)*(Results!$D$2:$D$5001))</f>
        <v>0</v>
      </c>
      <c r="R54" s="6">
        <f>SUMPRODUCT((Results!$A$2:$A$5001=Schedule!R$45)*(Results!$B$2:$B$5001=Schedule!$A54)*(Results!$D$2:$D$5001))</f>
        <v>0</v>
      </c>
      <c r="S54" s="6">
        <f>SUMPRODUCT((Results!$A$2:$A$5001=Schedule!S$45)*(Results!$B$2:$B$5001=Schedule!$A54)*(Results!$D$2:$D$5001))</f>
        <v>0</v>
      </c>
      <c r="T54" s="6">
        <f>SUMPRODUCT((Results!$A$2:$A$5001=Schedule!T$45)*(Results!$B$2:$B$5001=Schedule!$A54)*(Results!$D$2:$D$5001))</f>
        <v>0</v>
      </c>
      <c r="U54" s="6">
        <f>SUMPRODUCT((Results!$A$2:$A$5001=Schedule!U$45)*(Results!$B$2:$B$5001=Schedule!$A54)*(Results!$D$2:$D$5001))</f>
        <v>0</v>
      </c>
      <c r="V54" s="6">
        <f>SUMPRODUCT((Results!$A$2:$A$5001=Schedule!V$45)*(Results!$B$2:$B$5001=Schedule!$A54)*(Results!$D$2:$D$5001))</f>
        <v>0</v>
      </c>
      <c r="W54" s="6">
        <f>SUMPRODUCT((Results!$A$2:$A$5001=Schedule!W$45)*(Results!$B$2:$B$5001=Schedule!$A54)*(Results!$D$2:$D$5001))</f>
        <v>0</v>
      </c>
      <c r="X54" s="6">
        <f>SUMPRODUCT((Results!$A$2:$A$5001=Schedule!X$45)*(Results!$B$2:$B$5001=Schedule!$A54)*(Results!$D$2:$D$5001))</f>
        <v>0</v>
      </c>
      <c r="Y54" s="6">
        <f>SUMPRODUCT((Results!$A$2:$A$5001=Schedule!Y$45)*(Results!$B$2:$B$5001=Schedule!$A54)*(Results!$D$2:$D$5001))</f>
        <v>0</v>
      </c>
      <c r="Z54" s="6">
        <f>SUMPRODUCT((Results!$A$2:$A$5001=Schedule!Z$45)*(Results!$B$2:$B$5001=Schedule!$A54)*(Results!$D$2:$D$5001))</f>
        <v>0</v>
      </c>
      <c r="AA54" s="6">
        <f>SUMPRODUCT((Results!$A$2:$A$5001=Schedule!AA$45)*(Results!$B$2:$B$5001=Schedule!$A54)*(Results!$D$2:$D$5001))</f>
        <v>0</v>
      </c>
      <c r="AB54" s="6">
        <f>SUMPRODUCT((Results!$A$2:$A$5001=Schedule!AB$45)*(Results!$B$2:$B$5001=Schedule!$A54)*(Results!$D$2:$D$5001))</f>
        <v>0</v>
      </c>
      <c r="AC54" s="6">
        <f>SUMPRODUCT((Results!$A$2:$A$5001=Schedule!AC$45)*(Results!$B$2:$B$5001=Schedule!$A54)*(Results!$D$2:$D$5001))</f>
        <v>0</v>
      </c>
      <c r="AD54" s="6">
        <f>SUMPRODUCT((Results!$A$2:$A$5001=Schedule!AD$45)*(Results!$B$2:$B$5001=Schedule!$A54)*(Results!$D$2:$D$5001))</f>
        <v>0</v>
      </c>
      <c r="AE54" s="6">
        <f>SUMPRODUCT((Results!$A$2:$A$5001=Schedule!AE$45)*(Results!$B$2:$B$5001=Schedule!$A54)*(Results!$D$2:$D$5001))</f>
        <v>0</v>
      </c>
      <c r="AF54" s="6">
        <f>SUMPRODUCT((Results!$A$2:$A$5001=Schedule!AF$45)*(Results!$B$2:$B$5001=Schedule!$A54)*(Results!$D$2:$D$5001))</f>
        <v>0</v>
      </c>
      <c r="AG54" s="6">
        <f>SUMPRODUCT((Results!$A$2:$A$5001=Schedule!AG$45)*(Results!$B$2:$B$5001=Schedule!$A54)*(Results!$D$2:$D$5001))</f>
        <v>0</v>
      </c>
      <c r="AH54" s="6">
        <f>SUMPRODUCT((Results!$A$2:$A$5001=Schedule!AH$45)*(Results!$B$2:$B$5001=Schedule!$A54)*(Results!$D$2:$D$5001))</f>
        <v>0</v>
      </c>
      <c r="AI54" s="6">
        <f>SUMPRODUCT((Results!$A$2:$A$5001=Schedule!AI$45)*(Results!$B$2:$B$5001=Schedule!$A54)*(Results!$D$2:$D$5001))</f>
        <v>0</v>
      </c>
      <c r="AJ54" s="6">
        <f>SUMPRODUCT((Results!$A$2:$A$5001=Schedule!AJ$45)*(Results!$B$2:$B$5001=Schedule!$A54)*(Results!$D$2:$D$5001))</f>
        <v>0</v>
      </c>
      <c r="AK54" s="6">
        <f>SUMPRODUCT((Results!$A$2:$A$5001=Schedule!AK$45)*(Results!$B$2:$B$5001=Schedule!$A54)*(Results!$D$2:$D$5001))</f>
        <v>0</v>
      </c>
      <c r="AL54" s="6">
        <f>SUMPRODUCT((Results!$A$2:$A$5001=Schedule!AL$45)*(Results!$B$2:$B$5001=Schedule!$A54)*(Results!$D$2:$D$5001))</f>
        <v>0</v>
      </c>
      <c r="AM54" s="6">
        <f>SUMPRODUCT((Results!$A$2:$A$5001=Schedule!AM$45)*(Results!$B$2:$B$5001=Schedule!$A54)*(Results!$D$2:$D$5001))</f>
        <v>0</v>
      </c>
      <c r="AN54" s="6">
        <f>SUMPRODUCT((Results!$A$2:$A$5001=Schedule!AN$45)*(Results!$B$2:$B$5001=Schedule!$A54)*(Results!$D$2:$D$5001))</f>
        <v>0</v>
      </c>
      <c r="AO54" s="6">
        <f>SUMPRODUCT((Results!$A$2:$A$5001=Schedule!AO$45)*(Results!$B$2:$B$5001=Schedule!$A54)*(Results!$D$2:$D$5001))</f>
        <v>0</v>
      </c>
      <c r="AP54" s="6">
        <f>SUMPRODUCT((Results!$A$2:$A$5001=Schedule!AP$45)*(Results!$B$2:$B$5001=Schedule!$A54)*(Results!$D$2:$D$5001))</f>
        <v>0</v>
      </c>
      <c r="AQ54" s="6">
        <f>SUMPRODUCT((Results!$A$2:$A$5001=Schedule!AQ$45)*(Results!$B$2:$B$5001=Schedule!$A54)*(Results!$D$2:$D$5001))</f>
        <v>0</v>
      </c>
      <c r="AR54" s="6">
        <f>SUMPRODUCT((Results!$A$2:$A$5001=Schedule!AR$45)*(Results!$B$2:$B$5001=Schedule!$A54)*(Results!$D$2:$D$5001))</f>
        <v>0</v>
      </c>
      <c r="AS54" s="6">
        <f>SUMPRODUCT((Results!$A$2:$A$5001=Schedule!AS$45)*(Results!$B$2:$B$5001=Schedule!$A54)*(Results!$D$2:$D$5001))</f>
        <v>0</v>
      </c>
      <c r="AT54" s="6">
        <f>SUMPRODUCT((Results!$A$2:$A$5001=Schedule!AT$45)*(Results!$B$2:$B$5001=Schedule!$A54)*(Results!$D$2:$D$5001))</f>
        <v>0</v>
      </c>
      <c r="AU54" s="6">
        <f>SUMPRODUCT((Results!$A$2:$A$5001=Schedule!AU$45)*(Results!$B$2:$B$5001=Schedule!$A54)*(Results!$D$2:$D$5001))</f>
        <v>0</v>
      </c>
      <c r="AV54" s="6">
        <f>SUMPRODUCT((Results!$A$2:$A$5001=Schedule!AV$45)*(Results!$B$2:$B$5001=Schedule!$A54)*(Results!$D$2:$D$5001))</f>
        <v>0</v>
      </c>
      <c r="AW54" s="6">
        <f>SUMPRODUCT((Results!$A$2:$A$5001=Schedule!AW$45)*(Results!$B$2:$B$5001=Schedule!$A54)*(Results!$D$2:$D$5001))</f>
        <v>0</v>
      </c>
      <c r="AX54" s="6">
        <f>SUMPRODUCT((Results!$A$2:$A$5001=Schedule!AX$45)*(Results!$B$2:$B$5001=Schedule!$A54)*(Results!$D$2:$D$5001))</f>
        <v>0</v>
      </c>
      <c r="AY54" s="6">
        <f>SUMPRODUCT((Results!$A$2:$A$5001=Schedule!AY$45)*(Results!$B$2:$B$5001=Schedule!$A54)*(Results!$D$2:$D$5001))</f>
        <v>0</v>
      </c>
      <c r="AZ54" s="6">
        <f>SUMPRODUCT((Results!$A$2:$A$5001=Schedule!AZ$45)*(Results!$B$2:$B$5001=Schedule!$A54)*(Results!$D$2:$D$5001))</f>
        <v>0</v>
      </c>
      <c r="BA54" s="6">
        <f>SUMPRODUCT((Results!$A$2:$A$5001=Schedule!BA$45)*(Results!$B$2:$B$5001=Schedule!$A54)*(Results!$D$2:$D$5001))</f>
        <v>0</v>
      </c>
      <c r="BB54" s="6">
        <f>SUMPRODUCT((Results!$A$2:$A$5001=Schedule!BB$45)*(Results!$B$2:$B$5001=Schedule!$A54)*(Results!$D$2:$D$5001))</f>
        <v>0</v>
      </c>
      <c r="BC54" s="6">
        <f>SUMPRODUCT((Results!$A$2:$A$5001=Schedule!BC$45)*(Results!$B$2:$B$5001=Schedule!$A54)*(Results!$D$2:$D$5001))</f>
        <v>0</v>
      </c>
      <c r="BD54" s="6">
        <f>SUMPRODUCT((Results!$A$2:$A$5001=Schedule!BD$45)*(Results!$B$2:$B$5001=Schedule!$A54)*(Results!$D$2:$D$5001))</f>
        <v>0</v>
      </c>
      <c r="BE54" s="6">
        <f>SUMPRODUCT((Results!$A$2:$A$5001=Schedule!BE$45)*(Results!$B$2:$B$5001=Schedule!$A54)*(Results!$D$2:$D$5001))</f>
        <v>0</v>
      </c>
      <c r="BF54" s="6">
        <f>SUMPRODUCT((Results!$A$2:$A$5001=Schedule!BF$45)*(Results!$B$2:$B$5001=Schedule!$A54)*(Results!$D$2:$D$5001))</f>
        <v>0</v>
      </c>
      <c r="BG54" s="6">
        <f>SUMPRODUCT((Results!$A$2:$A$5001=Schedule!BG$45)*(Results!$B$2:$B$5001=Schedule!$A54)*(Results!$D$2:$D$5001))</f>
        <v>0</v>
      </c>
      <c r="BH54" s="6">
        <f>SUMPRODUCT((Results!$A$2:$A$5001=Schedule!BH$45)*(Results!$B$2:$B$5001=Schedule!$A54)*(Results!$D$2:$D$5001))</f>
        <v>0</v>
      </c>
      <c r="BI54" s="6">
        <f>SUMPRODUCT((Results!$A$2:$A$5001=Schedule!BI$45)*(Results!$B$2:$B$5001=Schedule!$A54)*(Results!$D$2:$D$5001))</f>
        <v>0</v>
      </c>
      <c r="BJ54" s="6">
        <f>SUMPRODUCT((Results!$A$2:$A$5001=Schedule!BJ$45)*(Results!$B$2:$B$5001=Schedule!$A54)*(Results!$D$2:$D$5001))</f>
        <v>0</v>
      </c>
      <c r="BK54" s="6">
        <f>SUMPRODUCT((Results!$A$2:$A$5001=Schedule!BK$45)*(Results!$B$2:$B$5001=Schedule!$A54)*(Results!$D$2:$D$5001))</f>
        <v>0</v>
      </c>
      <c r="BL54" s="6">
        <f>SUMPRODUCT((Results!$A$2:$A$5001=Schedule!BL$45)*(Results!$B$2:$B$5001=Schedule!$A54)*(Results!$D$2:$D$5001))</f>
        <v>0</v>
      </c>
      <c r="BM54" s="6">
        <f>SUMPRODUCT((Results!$A$2:$A$5001=Schedule!BM$45)*(Results!$B$2:$B$5001=Schedule!$A54)*(Results!$D$2:$D$5001))</f>
        <v>0</v>
      </c>
      <c r="BN54" s="6">
        <f>SUMPRODUCT((Results!$A$2:$A$5001=Schedule!BN$45)*(Results!$B$2:$B$5001=Schedule!$A54)*(Results!$D$2:$D$5001))</f>
        <v>0</v>
      </c>
      <c r="BO54" s="6">
        <f>SUMPRODUCT((Results!$A$2:$A$5001=Schedule!BO$45)*(Results!$B$2:$B$5001=Schedule!$A54)*(Results!$D$2:$D$5001))</f>
        <v>0</v>
      </c>
      <c r="BP54" s="6">
        <f>SUMPRODUCT((Results!$A$2:$A$5001=Schedule!BP$45)*(Results!$B$2:$B$5001=Schedule!$A54)*(Results!$D$2:$D$5001))</f>
        <v>0</v>
      </c>
      <c r="BQ54" s="6">
        <f>SUMPRODUCT((Results!$A$2:$A$5001=Schedule!BQ$45)*(Results!$B$2:$B$5001=Schedule!$A54)*(Results!$D$2:$D$5001))</f>
        <v>0</v>
      </c>
      <c r="BR54" s="6">
        <f>SUMPRODUCT((Results!$A$2:$A$5001=Schedule!BR$45)*(Results!$B$2:$B$5001=Schedule!$A54)*(Results!$D$2:$D$5001))</f>
        <v>0</v>
      </c>
      <c r="BS54" s="6">
        <f>SUMPRODUCT((Results!$A$2:$A$5001=Schedule!BS$45)*(Results!$B$2:$B$5001=Schedule!$A54)*(Results!$D$2:$D$5001))</f>
        <v>0</v>
      </c>
      <c r="BT54" s="6">
        <f>SUMPRODUCT((Results!$A$2:$A$5001=Schedule!BT$45)*(Results!$B$2:$B$5001=Schedule!$A54)*(Results!$D$2:$D$5001))</f>
        <v>0</v>
      </c>
      <c r="BU54" s="6">
        <f>SUMPRODUCT((Results!$A$2:$A$5001=Schedule!BU$45)*(Results!$B$2:$B$5001=Schedule!$A54)*(Results!$D$2:$D$5001))</f>
        <v>0</v>
      </c>
      <c r="BV54" s="6">
        <f>SUMPRODUCT((Results!$A$2:$A$5001=Schedule!BV$45)*(Results!$B$2:$B$5001=Schedule!$A54)*(Results!$D$2:$D$5001))</f>
        <v>0</v>
      </c>
      <c r="BW54" s="6">
        <f>SUMPRODUCT((Results!$A$2:$A$5001=Schedule!BW$45)*(Results!$B$2:$B$5001=Schedule!$A54)*(Results!$D$2:$D$5001))</f>
        <v>0</v>
      </c>
      <c r="BX54" s="6">
        <f>SUMPRODUCT((Results!$A$2:$A$5001=Schedule!BX$45)*(Results!$B$2:$B$5001=Schedule!$A54)*(Results!$D$2:$D$5001))</f>
        <v>0</v>
      </c>
      <c r="BY54" s="6">
        <f>SUMPRODUCT((Results!$A$2:$A$5001=Schedule!BY$45)*(Results!$B$2:$B$5001=Schedule!$A54)*(Results!$D$2:$D$5001))</f>
        <v>0</v>
      </c>
      <c r="BZ54" s="6">
        <f>SUMPRODUCT((Results!$A$2:$A$5001=Schedule!BZ$45)*(Results!$B$2:$B$5001=Schedule!$A54)*(Results!$D$2:$D$5001))</f>
        <v>0</v>
      </c>
      <c r="CA54" s="6">
        <f>SUMPRODUCT((Results!$A$2:$A$5001=Schedule!CA$45)*(Results!$B$2:$B$5001=Schedule!$A54)*(Results!$D$2:$D$5001))</f>
        <v>0</v>
      </c>
      <c r="CB54" s="6">
        <f>SUMPRODUCT((Results!$A$2:$A$5001=Schedule!CB$45)*(Results!$B$2:$B$5001=Schedule!$A54)*(Results!$D$2:$D$5001))</f>
        <v>0</v>
      </c>
      <c r="CC54" s="6">
        <f>SUMPRODUCT((Results!$A$2:$A$5001=Schedule!CC$45)*(Results!$B$2:$B$5001=Schedule!$A54)*(Results!$D$2:$D$5001))</f>
        <v>0</v>
      </c>
      <c r="CD54" s="6">
        <f>SUMPRODUCT((Results!$A$2:$A$5001=Schedule!CD$45)*(Results!$B$2:$B$5001=Schedule!$A54)*(Results!$D$2:$D$5001))</f>
        <v>0</v>
      </c>
      <c r="CE54" s="6">
        <f>SUMPRODUCT((Results!$A$2:$A$5001=Schedule!CE$45)*(Results!$B$2:$B$5001=Schedule!$A54)*(Results!$D$2:$D$5001))</f>
        <v>0</v>
      </c>
      <c r="CF54" s="6">
        <f>SUMPRODUCT((Results!$A$2:$A$5001=Schedule!CF$45)*(Results!$B$2:$B$5001=Schedule!$A54)*(Results!$D$2:$D$5001))</f>
        <v>0</v>
      </c>
      <c r="CG54" s="6">
        <f>SUMPRODUCT((Results!$A$2:$A$5001=Schedule!CG$45)*(Results!$B$2:$B$5001=Schedule!$A54)*(Results!$D$2:$D$5001))</f>
        <v>0</v>
      </c>
      <c r="CH54" s="6">
        <f>SUMPRODUCT((Results!$A$2:$A$5001=Schedule!CH$45)*(Results!$B$2:$B$5001=Schedule!$A54)*(Results!$D$2:$D$5001))</f>
        <v>0</v>
      </c>
      <c r="CI54" s="6">
        <f>SUMPRODUCT((Results!$A$2:$A$5001=Schedule!CI$45)*(Results!$B$2:$B$5001=Schedule!$A54)*(Results!$D$2:$D$5001))</f>
        <v>0</v>
      </c>
      <c r="CJ54" s="6">
        <f>SUMPRODUCT((Results!$A$2:$A$5001=Schedule!CJ$45)*(Results!$B$2:$B$5001=Schedule!$A54)*(Results!$D$2:$D$5001))</f>
        <v>0</v>
      </c>
      <c r="CK54" s="6">
        <f>SUMPRODUCT((Results!$A$2:$A$5001=Schedule!CK$45)*(Results!$B$2:$B$5001=Schedule!$A54)*(Results!$D$2:$D$5001))</f>
        <v>0</v>
      </c>
      <c r="CL54" s="6">
        <f>SUMPRODUCT((Results!$A$2:$A$5001=Schedule!CL$45)*(Results!$B$2:$B$5001=Schedule!$A54)*(Results!$D$2:$D$5001))</f>
        <v>0</v>
      </c>
      <c r="CM54" s="6">
        <f>SUMPRODUCT((Results!$A$2:$A$5001=Schedule!CM$45)*(Results!$B$2:$B$5001=Schedule!$A54)*(Results!$D$2:$D$5001))</f>
        <v>0</v>
      </c>
      <c r="CN54" s="6">
        <f>SUMPRODUCT((Results!$A$2:$A$5001=Schedule!CN$45)*(Results!$B$2:$B$5001=Schedule!$A54)*(Results!$D$2:$D$5001))</f>
        <v>0</v>
      </c>
      <c r="CO54" s="6">
        <f>SUMPRODUCT((Results!$A$2:$A$5001=Schedule!CO$45)*(Results!$B$2:$B$5001=Schedule!$A54)*(Results!$D$2:$D$5001))</f>
        <v>0</v>
      </c>
      <c r="CP54" s="6">
        <f>SUMPRODUCT((Results!$A$2:$A$5001=Schedule!CP$45)*(Results!$B$2:$B$5001=Schedule!$A54)*(Results!$D$2:$D$5001))</f>
        <v>0</v>
      </c>
      <c r="CQ54" s="6">
        <f>SUMPRODUCT((Results!$A$2:$A$5001=Schedule!CQ$45)*(Results!$B$2:$B$5001=Schedule!$A54)*(Results!$D$2:$D$5001))</f>
        <v>0</v>
      </c>
      <c r="CR54" s="6">
        <f>SUMPRODUCT((Results!$A$2:$A$5001=Schedule!CR$45)*(Results!$B$2:$B$5001=Schedule!$A54)*(Results!$D$2:$D$5001))</f>
        <v>0</v>
      </c>
      <c r="CS54" s="6">
        <f>SUMPRODUCT((Results!$A$2:$A$5001=Schedule!CS$45)*(Results!$B$2:$B$5001=Schedule!$A54)*(Results!$D$2:$D$5001))</f>
        <v>0</v>
      </c>
      <c r="CT54" s="6">
        <f>SUMPRODUCT((Results!$A$2:$A$5001=Schedule!CT$45)*(Results!$B$2:$B$5001=Schedule!$A54)*(Results!$D$2:$D$5001))</f>
        <v>0</v>
      </c>
      <c r="CU54" s="6">
        <f>SUMPRODUCT((Results!$A$2:$A$5001=Schedule!CU$45)*(Results!$B$2:$B$5001=Schedule!$A54)*(Results!$D$2:$D$5001))</f>
        <v>0</v>
      </c>
      <c r="CV54" s="6">
        <f>SUMPRODUCT((Results!$A$2:$A$5001=Schedule!CV$45)*(Results!$B$2:$B$5001=Schedule!$A54)*(Results!$D$2:$D$5001))</f>
        <v>0</v>
      </c>
      <c r="CW54" s="6">
        <f>SUMPRODUCT((Results!$A$2:$A$5001=Schedule!CW$45)*(Results!$B$2:$B$5001=Schedule!$A54)*(Results!$D$2:$D$5001))</f>
        <v>0</v>
      </c>
      <c r="CX54" s="6">
        <f>SUMPRODUCT((Results!$A$2:$A$5001=Schedule!CX$45)*(Results!$B$2:$B$5001=Schedule!$A54)*(Results!$D$2:$D$5001))</f>
        <v>0</v>
      </c>
      <c r="CY54" s="6">
        <f>SUMPRODUCT((Results!$A$2:$A$5001=Schedule!CY$45)*(Results!$B$2:$B$5001=Schedule!$A54)*(Results!$D$2:$D$5001))</f>
        <v>0</v>
      </c>
      <c r="CZ54" s="6">
        <f>SUMPRODUCT((Results!$A$2:$A$5001=Schedule!CZ$45)*(Results!$B$2:$B$5001=Schedule!$A54)*(Results!$D$2:$D$5001))</f>
        <v>0</v>
      </c>
      <c r="DA54" s="6">
        <f>SUMPRODUCT((Results!$A$2:$A$5001=Schedule!DA$45)*(Results!$B$2:$B$5001=Schedule!$A54)*(Results!$D$2:$D$5001))</f>
        <v>0</v>
      </c>
      <c r="DB54" s="6">
        <f>SUMPRODUCT((Results!$A$2:$A$5001=Schedule!DB$45)*(Results!$B$2:$B$5001=Schedule!$A54)*(Results!$D$2:$D$5001))</f>
        <v>0</v>
      </c>
      <c r="DC54" s="6">
        <f>SUMPRODUCT((Results!$A$2:$A$5001=Schedule!DC$45)*(Results!$B$2:$B$5001=Schedule!$A54)*(Results!$D$2:$D$5001))</f>
        <v>0</v>
      </c>
      <c r="DD54" s="6">
        <f>SUMPRODUCT((Results!$A$2:$A$5001=Schedule!DD$45)*(Results!$B$2:$B$5001=Schedule!$A54)*(Results!$D$2:$D$5001))</f>
        <v>0</v>
      </c>
      <c r="DE54" s="6">
        <f>SUMPRODUCT((Results!$A$2:$A$5001=Schedule!DE$45)*(Results!$B$2:$B$5001=Schedule!$A54)*(Results!$D$2:$D$5001))</f>
        <v>0</v>
      </c>
      <c r="DF54" s="6">
        <f>SUMPRODUCT((Results!$A$2:$A$5001=Schedule!DF$45)*(Results!$B$2:$B$5001=Schedule!$A54)*(Results!$D$2:$D$5001))</f>
        <v>0</v>
      </c>
      <c r="DG54" s="6">
        <f>SUMPRODUCT((Results!$A$2:$A$5001=Schedule!DG$45)*(Results!$B$2:$B$5001=Schedule!$A54)*(Results!$D$2:$D$5001))</f>
        <v>0</v>
      </c>
      <c r="DH54" s="6">
        <f>SUMPRODUCT((Results!$A$2:$A$5001=Schedule!DH$45)*(Results!$B$2:$B$5001=Schedule!$A54)*(Results!$D$2:$D$5001))</f>
        <v>0</v>
      </c>
      <c r="DI54" s="6">
        <f>SUMPRODUCT((Results!$A$2:$A$5001=Schedule!DI$45)*(Results!$B$2:$B$5001=Schedule!$A54)*(Results!$D$2:$D$5001))</f>
        <v>0</v>
      </c>
      <c r="DJ54" s="6">
        <f>SUMPRODUCT((Results!$A$2:$A$5001=Schedule!DJ$45)*(Results!$B$2:$B$5001=Schedule!$A54)*(Results!$D$2:$D$5001))</f>
        <v>0</v>
      </c>
      <c r="DK54" s="6">
        <f>SUMPRODUCT((Results!$A$2:$A$5001=Schedule!DK$45)*(Results!$B$2:$B$5001=Schedule!$A54)*(Results!$D$2:$D$5001))</f>
        <v>0</v>
      </c>
      <c r="DL54" s="6">
        <f>SUMPRODUCT((Results!$A$2:$A$5001=Schedule!DL$45)*(Results!$B$2:$B$5001=Schedule!$A54)*(Results!$D$2:$D$5001))</f>
        <v>0</v>
      </c>
      <c r="DM54" s="6">
        <f>SUMPRODUCT((Results!$A$2:$A$5001=Schedule!DM$45)*(Results!$B$2:$B$5001=Schedule!$A54)*(Results!$D$2:$D$5001))</f>
        <v>0</v>
      </c>
      <c r="DN54" s="6">
        <f>SUMPRODUCT((Results!$A$2:$A$5001=Schedule!DN$45)*(Results!$B$2:$B$5001=Schedule!$A54)*(Results!$D$2:$D$5001))</f>
        <v>0</v>
      </c>
      <c r="DO54" s="6">
        <f>SUMPRODUCT((Results!$A$2:$A$5001=Schedule!DO$45)*(Results!$B$2:$B$5001=Schedule!$A54)*(Results!$D$2:$D$5001))</f>
        <v>0</v>
      </c>
      <c r="DP54" s="6">
        <f>SUMPRODUCT((Results!$A$2:$A$5001=Schedule!DP$45)*(Results!$B$2:$B$5001=Schedule!$A54)*(Results!$D$2:$D$5001))</f>
        <v>0</v>
      </c>
      <c r="DQ54" s="6">
        <f>SUMPRODUCT((Results!$A$2:$A$5001=Schedule!DQ$45)*(Results!$B$2:$B$5001=Schedule!$A54)*(Results!$D$2:$D$5001))</f>
        <v>0</v>
      </c>
      <c r="DR54" s="6">
        <f>SUMPRODUCT((Results!$A$2:$A$5001=Schedule!DR$45)*(Results!$B$2:$B$5001=Schedule!$A54)*(Results!$D$2:$D$5001))</f>
        <v>0</v>
      </c>
      <c r="DS54" s="6">
        <f>SUMPRODUCT((Results!$A$2:$A$5001=Schedule!DS$45)*(Results!$B$2:$B$5001=Schedule!$A54)*(Results!$D$2:$D$5001))</f>
        <v>0</v>
      </c>
      <c r="DT54" s="6">
        <f>SUMPRODUCT((Results!$A$2:$A$5001=Schedule!DT$45)*(Results!$B$2:$B$5001=Schedule!$A54)*(Results!$D$2:$D$5001))</f>
        <v>0</v>
      </c>
      <c r="DU54" s="6">
        <f>SUMPRODUCT((Results!$A$2:$A$5001=Schedule!DU$45)*(Results!$B$2:$B$5001=Schedule!$A54)*(Results!$D$2:$D$5001))</f>
        <v>0</v>
      </c>
      <c r="DV54" s="6">
        <f>SUMPRODUCT((Results!$A$2:$A$5001=Schedule!DV$45)*(Results!$B$2:$B$5001=Schedule!$A54)*(Results!$D$2:$D$5001))</f>
        <v>0</v>
      </c>
      <c r="DW54" s="6">
        <f>SUMPRODUCT((Results!$A$2:$A$5001=Schedule!DW$45)*(Results!$B$2:$B$5001=Schedule!$A54)*(Results!$D$2:$D$5001))</f>
        <v>0</v>
      </c>
      <c r="DX54" s="6">
        <f>SUMPRODUCT((Results!$A$2:$A$5001=Schedule!DX$45)*(Results!$B$2:$B$5001=Schedule!$A54)*(Results!$D$2:$D$5001))</f>
        <v>0</v>
      </c>
      <c r="DY54" s="6">
        <f>SUMPRODUCT((Results!$A$2:$A$5001=Schedule!DY$45)*(Results!$B$2:$B$5001=Schedule!$A54)*(Results!$D$2:$D$5001))</f>
        <v>0</v>
      </c>
      <c r="DZ54" s="6">
        <f>SUMPRODUCT((Results!$A$2:$A$5001=Schedule!DZ$45)*(Results!$B$2:$B$5001=Schedule!$A54)*(Results!$D$2:$D$5001))</f>
        <v>0</v>
      </c>
      <c r="EA54" s="6">
        <f>SUMPRODUCT((Results!$A$2:$A$5001=Schedule!EA$45)*(Results!$B$2:$B$5001=Schedule!$A54)*(Results!$D$2:$D$5001))</f>
        <v>0</v>
      </c>
      <c r="EB54" s="6">
        <f>SUMPRODUCT((Results!$A$2:$A$5001=Schedule!EB$45)*(Results!$B$2:$B$5001=Schedule!$A54)*(Results!$D$2:$D$5001))</f>
        <v>0</v>
      </c>
      <c r="EC54" s="6">
        <f>SUMPRODUCT((Results!$A$2:$A$5001=Schedule!EC$45)*(Results!$B$2:$B$5001=Schedule!$A54)*(Results!$D$2:$D$5001))</f>
        <v>0</v>
      </c>
      <c r="ED54" s="6">
        <f>SUMPRODUCT((Results!$A$2:$A$5001=Schedule!ED$45)*(Results!$B$2:$B$5001=Schedule!$A54)*(Results!$D$2:$D$5001))</f>
        <v>0</v>
      </c>
      <c r="EE54" s="6">
        <f>SUMPRODUCT((Results!$A$2:$A$5001=Schedule!EE$45)*(Results!$B$2:$B$5001=Schedule!$A54)*(Results!$D$2:$D$5001))</f>
        <v>0</v>
      </c>
      <c r="EF54" s="6">
        <f>SUMPRODUCT((Results!$A$2:$A$5001=Schedule!EF$45)*(Results!$B$2:$B$5001=Schedule!$A54)*(Results!$D$2:$D$5001))</f>
        <v>0</v>
      </c>
      <c r="EG54" s="6">
        <f>SUMPRODUCT((Results!$A$2:$A$5001=Schedule!EG$45)*(Results!$B$2:$B$5001=Schedule!$A54)*(Results!$D$2:$D$5001))</f>
        <v>0</v>
      </c>
      <c r="EH54" s="6">
        <f>SUMPRODUCT((Results!$A$2:$A$5001=Schedule!EH$45)*(Results!$B$2:$B$5001=Schedule!$A54)*(Results!$D$2:$D$5001))</f>
        <v>0</v>
      </c>
      <c r="EI54" s="6">
        <f>SUMPRODUCT((Results!$A$2:$A$5001=Schedule!EI$45)*(Results!$B$2:$B$5001=Schedule!$A54)*(Results!$D$2:$D$5001))</f>
        <v>0</v>
      </c>
      <c r="EJ54" s="6">
        <f>SUMPRODUCT((Results!$A$2:$A$5001=Schedule!EJ$45)*(Results!$B$2:$B$5001=Schedule!$A54)*(Results!$D$2:$D$5001))</f>
        <v>0</v>
      </c>
      <c r="EK54" s="6">
        <f>SUMPRODUCT((Results!$A$2:$A$5001=Schedule!EK$45)*(Results!$B$2:$B$5001=Schedule!$A54)*(Results!$D$2:$D$5001))</f>
        <v>0</v>
      </c>
      <c r="EL54" s="6">
        <f>SUMPRODUCT((Results!$A$2:$A$5001=Schedule!EL$45)*(Results!$B$2:$B$5001=Schedule!$A54)*(Results!$D$2:$D$5001))</f>
        <v>0</v>
      </c>
      <c r="EM54" s="6">
        <f>SUMPRODUCT((Results!$A$2:$A$5001=Schedule!EM$45)*(Results!$B$2:$B$5001=Schedule!$A54)*(Results!$D$2:$D$5001))</f>
        <v>0</v>
      </c>
      <c r="EN54" s="6">
        <f>SUMPRODUCT((Results!$A$2:$A$5001=Schedule!EN$45)*(Results!$B$2:$B$5001=Schedule!$A54)*(Results!$D$2:$D$5001))</f>
        <v>0</v>
      </c>
      <c r="EO54" s="6">
        <f>SUMPRODUCT((Results!$A$2:$A$5001=Schedule!EO$45)*(Results!$B$2:$B$5001=Schedule!$A54)*(Results!$D$2:$D$5001))</f>
        <v>0</v>
      </c>
      <c r="EP54" s="6">
        <f>SUMPRODUCT((Results!$A$2:$A$5001=Schedule!EP$45)*(Results!$B$2:$B$5001=Schedule!$A54)*(Results!$D$2:$D$5001))</f>
        <v>0</v>
      </c>
      <c r="EQ54" s="6">
        <f>SUMPRODUCT((Results!$A$2:$A$5001=Schedule!EQ$45)*(Results!$B$2:$B$5001=Schedule!$A54)*(Results!$D$2:$D$5001))</f>
        <v>0</v>
      </c>
      <c r="ER54" s="6">
        <f>SUMPRODUCT((Results!$A$2:$A$5001=Schedule!ER$45)*(Results!$B$2:$B$5001=Schedule!$A54)*(Results!$D$2:$D$5001))</f>
        <v>0</v>
      </c>
      <c r="ES54" s="6">
        <f>SUMPRODUCT((Results!$A$2:$A$5001=Schedule!ES$45)*(Results!$B$2:$B$5001=Schedule!$A54)*(Results!$D$2:$D$5001))</f>
        <v>0</v>
      </c>
      <c r="ET54" s="6">
        <f>SUMPRODUCT((Results!$A$2:$A$5001=Schedule!ET$45)*(Results!$B$2:$B$5001=Schedule!$A54)*(Results!$D$2:$D$5001))</f>
        <v>0</v>
      </c>
      <c r="EU54" s="6">
        <f>SUMPRODUCT((Results!$A$2:$A$5001=Schedule!EU$45)*(Results!$B$2:$B$5001=Schedule!$A54)*(Results!$D$2:$D$5001))</f>
        <v>0</v>
      </c>
      <c r="EV54" s="6">
        <f>SUMPRODUCT((Results!$A$2:$A$5001=Schedule!EV$45)*(Results!$B$2:$B$5001=Schedule!$A54)*(Results!$D$2:$D$5001))</f>
        <v>0</v>
      </c>
      <c r="EW54" s="6">
        <f>SUMPRODUCT((Results!$A$2:$A$5001=Schedule!EW$45)*(Results!$B$2:$B$5001=Schedule!$A54)*(Results!$D$2:$D$5001))</f>
        <v>0</v>
      </c>
      <c r="EX54" s="6">
        <f>SUMPRODUCT((Results!$A$2:$A$5001=Schedule!EX$45)*(Results!$B$2:$B$5001=Schedule!$A54)*(Results!$D$2:$D$5001))</f>
        <v>0</v>
      </c>
      <c r="EY54" s="6">
        <f>SUMPRODUCT((Results!$A$2:$A$5001=Schedule!EY$45)*(Results!$B$2:$B$5001=Schedule!$A54)*(Results!$D$2:$D$5001))</f>
        <v>0</v>
      </c>
      <c r="EZ54" s="6">
        <f>SUMPRODUCT((Results!$A$2:$A$5001=Schedule!EZ$45)*(Results!$B$2:$B$5001=Schedule!$A54)*(Results!$D$2:$D$5001))</f>
        <v>0</v>
      </c>
      <c r="FA54" s="6">
        <f>SUMPRODUCT((Results!$A$2:$A$5001=Schedule!FA$45)*(Results!$B$2:$B$5001=Schedule!$A54)*(Results!$D$2:$D$5001))</f>
        <v>0</v>
      </c>
      <c r="FB54" s="6">
        <f>SUMPRODUCT((Results!$A$2:$A$5001=Schedule!FB$45)*(Results!$B$2:$B$5001=Schedule!$A54)*(Results!$D$2:$D$5001))</f>
        <v>0</v>
      </c>
      <c r="FC54" s="6">
        <f>SUMPRODUCT((Results!$A$2:$A$5001=Schedule!FC$45)*(Results!$B$2:$B$5001=Schedule!$A54)*(Results!$D$2:$D$5001))</f>
        <v>0</v>
      </c>
      <c r="FD54" s="6">
        <f>SUMPRODUCT((Results!$A$2:$A$5001=Schedule!FD$45)*(Results!$B$2:$B$5001=Schedule!$A54)*(Results!$D$2:$D$5001))</f>
        <v>0</v>
      </c>
      <c r="FE54" s="6">
        <f>SUMPRODUCT((Results!$A$2:$A$5001=Schedule!FE$45)*(Results!$B$2:$B$5001=Schedule!$A54)*(Results!$D$2:$D$5001))</f>
        <v>0</v>
      </c>
      <c r="FF54" s="6">
        <f>SUMPRODUCT((Results!$A$2:$A$5001=Schedule!FF$45)*(Results!$B$2:$B$5001=Schedule!$A54)*(Results!$D$2:$D$5001))</f>
        <v>0</v>
      </c>
      <c r="FG54" s="6">
        <f>SUMPRODUCT((Results!$A$2:$A$5001=Schedule!FG$45)*(Results!$B$2:$B$5001=Schedule!$A54)*(Results!$D$2:$D$5001))</f>
        <v>0</v>
      </c>
      <c r="FH54" s="6">
        <f>SUMPRODUCT((Results!$A$2:$A$5001=Schedule!FH$45)*(Results!$B$2:$B$5001=Schedule!$A54)*(Results!$D$2:$D$5001))</f>
        <v>0</v>
      </c>
      <c r="FI54" s="6">
        <f>SUMPRODUCT((Results!$A$2:$A$5001=Schedule!FI$45)*(Results!$B$2:$B$5001=Schedule!$A54)*(Results!$D$2:$D$5001))</f>
        <v>0</v>
      </c>
      <c r="FJ54" s="6">
        <f>SUMPRODUCT((Results!$A$2:$A$5001=Schedule!FJ$45)*(Results!$B$2:$B$5001=Schedule!$A54)*(Results!$D$2:$D$5001))</f>
        <v>0</v>
      </c>
      <c r="FK54" s="6">
        <f>SUMPRODUCT((Results!$A$2:$A$5001=Schedule!FK$45)*(Results!$B$2:$B$5001=Schedule!$A54)*(Results!$D$2:$D$5001))</f>
        <v>0</v>
      </c>
      <c r="FL54" s="6">
        <f>SUMPRODUCT((Results!$A$2:$A$5001=Schedule!FL$45)*(Results!$B$2:$B$5001=Schedule!$A54)*(Results!$D$2:$D$5001))</f>
        <v>0</v>
      </c>
      <c r="FM54" s="6">
        <f>SUMPRODUCT((Results!$A$2:$A$5001=Schedule!FM$45)*(Results!$B$2:$B$5001=Schedule!$A54)*(Results!$D$2:$D$5001))</f>
        <v>0</v>
      </c>
      <c r="FN54" s="6">
        <f>SUMPRODUCT((Results!$A$2:$A$5001=Schedule!FN$45)*(Results!$B$2:$B$5001=Schedule!$A54)*(Results!$D$2:$D$5001))</f>
        <v>0</v>
      </c>
      <c r="FO54" s="6">
        <f>SUMPRODUCT((Results!$A$2:$A$5001=Schedule!FO$45)*(Results!$B$2:$B$5001=Schedule!$A54)*(Results!$D$2:$D$5001))</f>
        <v>0</v>
      </c>
      <c r="FP54" s="6">
        <f>SUMPRODUCT((Results!$A$2:$A$5001=Schedule!FP$45)*(Results!$B$2:$B$5001=Schedule!$A54)*(Results!$D$2:$D$5001))</f>
        <v>0</v>
      </c>
      <c r="FQ54" s="6">
        <f>SUMPRODUCT((Results!$A$2:$A$5001=Schedule!FQ$45)*(Results!$B$2:$B$5001=Schedule!$A54)*(Results!$D$2:$D$5001))</f>
        <v>0</v>
      </c>
      <c r="FR54" s="6">
        <f>SUMPRODUCT((Results!$A$2:$A$5001=Schedule!FR$45)*(Results!$B$2:$B$5001=Schedule!$A54)*(Results!$D$2:$D$5001))</f>
        <v>0</v>
      </c>
      <c r="FS54" s="6">
        <f>SUMPRODUCT((Results!$A$2:$A$5001=Schedule!FS$45)*(Results!$B$2:$B$5001=Schedule!$A54)*(Results!$D$2:$D$5001))</f>
        <v>0</v>
      </c>
      <c r="FT54" s="6">
        <f>SUMPRODUCT((Results!$A$2:$A$5001=Schedule!FT$45)*(Results!$B$2:$B$5001=Schedule!$A54)*(Results!$D$2:$D$5001))</f>
        <v>0</v>
      </c>
      <c r="FU54" s="6">
        <f>SUMPRODUCT((Results!$A$2:$A$5001=Schedule!FU$45)*(Results!$B$2:$B$5001=Schedule!$A54)*(Results!$D$2:$D$5001))</f>
        <v>0</v>
      </c>
      <c r="FV54" s="6">
        <f>SUMPRODUCT((Results!$A$2:$A$5001=Schedule!FV$45)*(Results!$B$2:$B$5001=Schedule!$A54)*(Results!$D$2:$D$5001))</f>
        <v>0</v>
      </c>
      <c r="FW54" s="6">
        <f>SUMPRODUCT((Results!$A$2:$A$5001=Schedule!FW$45)*(Results!$B$2:$B$5001=Schedule!$A54)*(Results!$D$2:$D$5001))</f>
        <v>0</v>
      </c>
      <c r="FX54" s="6">
        <f>SUMPRODUCT((Results!$A$2:$A$5001=Schedule!FX$45)*(Results!$B$2:$B$5001=Schedule!$A54)*(Results!$D$2:$D$5001))</f>
        <v>0</v>
      </c>
      <c r="FY54" s="6">
        <f>SUMPRODUCT((Results!$A$2:$A$5001=Schedule!FY$45)*(Results!$B$2:$B$5001=Schedule!$A54)*(Results!$D$2:$D$5001))</f>
        <v>0</v>
      </c>
      <c r="FZ54" s="6">
        <f>SUMPRODUCT((Results!$A$2:$A$5001=Schedule!FZ$45)*(Results!$B$2:$B$5001=Schedule!$A54)*(Results!$D$2:$D$5001))</f>
        <v>0</v>
      </c>
      <c r="GA54" s="6">
        <f>SUMPRODUCT((Results!$A$2:$A$5001=Schedule!GA$45)*(Results!$B$2:$B$5001=Schedule!$A54)*(Results!$D$2:$D$5001))</f>
        <v>0</v>
      </c>
      <c r="GB54" s="6">
        <f>SUMPRODUCT((Results!$A$2:$A$5001=Schedule!GB$45)*(Results!$B$2:$B$5001=Schedule!$A54)*(Results!$D$2:$D$5001))</f>
        <v>0</v>
      </c>
      <c r="GC54" s="6">
        <f>SUMPRODUCT((Results!$A$2:$A$5001=Schedule!GC$45)*(Results!$B$2:$B$5001=Schedule!$A54)*(Results!$D$2:$D$5001))</f>
        <v>0</v>
      </c>
      <c r="GD54" s="6">
        <f>SUMPRODUCT((Results!$A$2:$A$5001=Schedule!GD$45)*(Results!$B$2:$B$5001=Schedule!$A54)*(Results!$D$2:$D$5001))</f>
        <v>0</v>
      </c>
      <c r="GE54" s="6">
        <f>SUMPRODUCT((Results!$A$2:$A$5001=Schedule!GE$45)*(Results!$B$2:$B$5001=Schedule!$A54)*(Results!$D$2:$D$5001))</f>
        <v>0</v>
      </c>
      <c r="GF54" s="6">
        <f>SUMPRODUCT((Results!$A$2:$A$5001=Schedule!GF$45)*(Results!$B$2:$B$5001=Schedule!$A54)*(Results!$D$2:$D$5001))</f>
        <v>0</v>
      </c>
      <c r="GG54" s="6">
        <f>SUMPRODUCT((Results!$A$2:$A$5001=Schedule!GG$45)*(Results!$B$2:$B$5001=Schedule!$A54)*(Results!$D$2:$D$5001))</f>
        <v>0</v>
      </c>
      <c r="GH54" s="6">
        <f>SUMPRODUCT((Results!$A$2:$A$5001=Schedule!GH$45)*(Results!$B$2:$B$5001=Schedule!$A54)*(Results!$D$2:$D$5001))</f>
        <v>0</v>
      </c>
      <c r="GI54" s="6">
        <f>SUMPRODUCT((Results!$A$2:$A$5001=Schedule!GI$45)*(Results!$B$2:$B$5001=Schedule!$A54)*(Results!$D$2:$D$5001))</f>
        <v>0</v>
      </c>
      <c r="GJ54" s="6">
        <f>SUMPRODUCT((Results!$A$2:$A$5001=Schedule!GJ$45)*(Results!$B$2:$B$5001=Schedule!$A54)*(Results!$D$2:$D$5001))</f>
        <v>0</v>
      </c>
      <c r="GK54" s="6">
        <f>SUMPRODUCT((Results!$A$2:$A$5001=Schedule!GK$45)*(Results!$B$2:$B$5001=Schedule!$A54)*(Results!$D$2:$D$5001))</f>
        <v>0</v>
      </c>
      <c r="GL54" s="6">
        <f>SUMPRODUCT((Results!$A$2:$A$5001=Schedule!GL$45)*(Results!$B$2:$B$5001=Schedule!$A54)*(Results!$D$2:$D$5001))</f>
        <v>0</v>
      </c>
      <c r="GM54" s="6">
        <f>SUMPRODUCT((Results!$A$2:$A$5001=Schedule!GM$45)*(Results!$B$2:$B$5001=Schedule!$A54)*(Results!$D$2:$D$5001))</f>
        <v>0</v>
      </c>
      <c r="GN54" s="6">
        <f>SUMPRODUCT((Results!$A$2:$A$5001=Schedule!GN$45)*(Results!$B$2:$B$5001=Schedule!$A54)*(Results!$D$2:$D$5001))</f>
        <v>0</v>
      </c>
      <c r="GO54" s="6">
        <f>SUMPRODUCT((Results!$A$2:$A$5001=Schedule!GO$45)*(Results!$B$2:$B$5001=Schedule!$A54)*(Results!$D$2:$D$5001))</f>
        <v>0</v>
      </c>
      <c r="GP54" s="6">
        <f>SUMPRODUCT((Results!$A$2:$A$5001=Schedule!GP$45)*(Results!$B$2:$B$5001=Schedule!$A54)*(Results!$D$2:$D$5001))</f>
        <v>0</v>
      </c>
      <c r="GQ54" s="6">
        <f>SUMPRODUCT((Results!$A$2:$A$5001=Schedule!GQ$45)*(Results!$B$2:$B$5001=Schedule!$A54)*(Results!$D$2:$D$5001))</f>
        <v>0</v>
      </c>
      <c r="GR54" s="6">
        <f>SUMPRODUCT((Results!$A$2:$A$5001=Schedule!GR$45)*(Results!$B$2:$B$5001=Schedule!$A54)*(Results!$D$2:$D$5001))</f>
        <v>0</v>
      </c>
      <c r="GS54" s="6">
        <f>SUMPRODUCT((Results!$A$2:$A$5001=Schedule!GS$45)*(Results!$B$2:$B$5001=Schedule!$A54)*(Results!$D$2:$D$5001))</f>
        <v>0</v>
      </c>
      <c r="GT54" s="6">
        <f>SUMPRODUCT((Results!$A$2:$A$5001=Schedule!GT$45)*(Results!$B$2:$B$5001=Schedule!$A54)*(Results!$D$2:$D$5001))</f>
        <v>0</v>
      </c>
      <c r="GU54" s="6">
        <f>SUMPRODUCT((Results!$A$2:$A$5001=Schedule!GU$45)*(Results!$B$2:$B$5001=Schedule!$A54)*(Results!$D$2:$D$5001))</f>
        <v>0</v>
      </c>
    </row>
    <row r="55" spans="1:203" ht="13.5" customHeight="1" x14ac:dyDescent="0.2">
      <c r="A55" s="40">
        <v>10</v>
      </c>
      <c r="B55" s="6">
        <f t="shared" si="17"/>
        <v>99.650300000000016</v>
      </c>
      <c r="C55" s="6">
        <f>SUMPRODUCT((Results!$A$2:$A$5001=Schedule!C$45)*(Results!$B$2:$B$5001=Schedule!$A55)*(Results!$D$2:$D$5001))</f>
        <v>3.6900000000000002E-2</v>
      </c>
      <c r="D55" s="6">
        <f>SUMPRODUCT((Results!$A$2:$A$5001=Schedule!D$45)*(Results!$B$2:$B$5001=Schedule!$A55)*(Results!$D$2:$D$5001))</f>
        <v>60.007900000000006</v>
      </c>
      <c r="E55" s="6">
        <f>SUMPRODUCT((Results!$A$2:$A$5001=Schedule!E$45)*(Results!$B$2:$B$5001=Schedule!$A55)*(Results!$D$2:$D$5001))</f>
        <v>35.113500000000002</v>
      </c>
      <c r="F55" s="6">
        <f>SUMPRODUCT((Results!$A$2:$A$5001=Schedule!F$45)*(Results!$B$2:$B$5001=Schedule!$A55)*(Results!$D$2:$D$5001))</f>
        <v>0</v>
      </c>
      <c r="G55" s="6">
        <f>SUMPRODUCT((Results!$A$2:$A$5001=Schedule!G$45)*(Results!$B$2:$B$5001=Schedule!$A55)*(Results!$D$2:$D$5001))</f>
        <v>4.492</v>
      </c>
      <c r="H55" s="6">
        <f>SUMPRODUCT((Results!$A$2:$A$5001=Schedule!H$45)*(Results!$B$2:$B$5001=Schedule!$A55)*(Results!$D$2:$D$5001))</f>
        <v>0</v>
      </c>
      <c r="I55" s="6">
        <f>SUMPRODUCT((Results!$A$2:$A$5001=Schedule!I$45)*(Results!$B$2:$B$5001=Schedule!$A55)*(Results!$D$2:$D$5001))</f>
        <v>0</v>
      </c>
      <c r="J55" s="6">
        <f>SUMPRODUCT((Results!$A$2:$A$5001=Schedule!J$45)*(Results!$B$2:$B$5001=Schedule!$A55)*(Results!$D$2:$D$5001))</f>
        <v>0</v>
      </c>
      <c r="K55" s="6">
        <f>SUMPRODUCT((Results!$A$2:$A$5001=Schedule!K$45)*(Results!$B$2:$B$5001=Schedule!$A55)*(Results!$D$2:$D$5001))</f>
        <v>0</v>
      </c>
      <c r="L55" s="6">
        <f>SUMPRODUCT((Results!$A$2:$A$5001=Schedule!L$45)*(Results!$B$2:$B$5001=Schedule!$A55)*(Results!$D$2:$D$5001))</f>
        <v>0</v>
      </c>
      <c r="M55" s="6">
        <f>SUMPRODUCT((Results!$A$2:$A$5001=Schedule!M$45)*(Results!$B$2:$B$5001=Schedule!$A55)*(Results!$D$2:$D$5001))</f>
        <v>0</v>
      </c>
      <c r="N55" s="6">
        <f>SUMPRODUCT((Results!$A$2:$A$5001=Schedule!N$45)*(Results!$B$2:$B$5001=Schedule!$A55)*(Results!$D$2:$D$5001))</f>
        <v>0</v>
      </c>
      <c r="O55" s="6">
        <f>SUMPRODUCT((Results!$A$2:$A$5001=Schedule!O$45)*(Results!$B$2:$B$5001=Schedule!$A55)*(Results!$D$2:$D$5001))</f>
        <v>0</v>
      </c>
      <c r="P55" s="6">
        <f>SUMPRODUCT((Results!$A$2:$A$5001=Schedule!P$45)*(Results!$B$2:$B$5001=Schedule!$A55)*(Results!$D$2:$D$5001))</f>
        <v>0</v>
      </c>
      <c r="Q55" s="6">
        <f>SUMPRODUCT((Results!$A$2:$A$5001=Schedule!Q$45)*(Results!$B$2:$B$5001=Schedule!$A55)*(Results!$D$2:$D$5001))</f>
        <v>0</v>
      </c>
      <c r="R55" s="6">
        <f>SUMPRODUCT((Results!$A$2:$A$5001=Schedule!R$45)*(Results!$B$2:$B$5001=Schedule!$A55)*(Results!$D$2:$D$5001))</f>
        <v>0</v>
      </c>
      <c r="S55" s="6">
        <f>SUMPRODUCT((Results!$A$2:$A$5001=Schedule!S$45)*(Results!$B$2:$B$5001=Schedule!$A55)*(Results!$D$2:$D$5001))</f>
        <v>0</v>
      </c>
      <c r="T55" s="6">
        <f>SUMPRODUCT((Results!$A$2:$A$5001=Schedule!T$45)*(Results!$B$2:$B$5001=Schedule!$A55)*(Results!$D$2:$D$5001))</f>
        <v>0</v>
      </c>
      <c r="U55" s="6">
        <f>SUMPRODUCT((Results!$A$2:$A$5001=Schedule!U$45)*(Results!$B$2:$B$5001=Schedule!$A55)*(Results!$D$2:$D$5001))</f>
        <v>0</v>
      </c>
      <c r="V55" s="6">
        <f>SUMPRODUCT((Results!$A$2:$A$5001=Schedule!V$45)*(Results!$B$2:$B$5001=Schedule!$A55)*(Results!$D$2:$D$5001))</f>
        <v>0</v>
      </c>
      <c r="W55" s="6">
        <f>SUMPRODUCT((Results!$A$2:$A$5001=Schedule!W$45)*(Results!$B$2:$B$5001=Schedule!$A55)*(Results!$D$2:$D$5001))</f>
        <v>0</v>
      </c>
      <c r="X55" s="6">
        <f>SUMPRODUCT((Results!$A$2:$A$5001=Schedule!X$45)*(Results!$B$2:$B$5001=Schedule!$A55)*(Results!$D$2:$D$5001))</f>
        <v>0</v>
      </c>
      <c r="Y55" s="6">
        <f>SUMPRODUCT((Results!$A$2:$A$5001=Schedule!Y$45)*(Results!$B$2:$B$5001=Schedule!$A55)*(Results!$D$2:$D$5001))</f>
        <v>0</v>
      </c>
      <c r="Z55" s="6">
        <f>SUMPRODUCT((Results!$A$2:$A$5001=Schedule!Z$45)*(Results!$B$2:$B$5001=Schedule!$A55)*(Results!$D$2:$D$5001))</f>
        <v>0</v>
      </c>
      <c r="AA55" s="6">
        <f>SUMPRODUCT((Results!$A$2:$A$5001=Schedule!AA$45)*(Results!$B$2:$B$5001=Schedule!$A55)*(Results!$D$2:$D$5001))</f>
        <v>0</v>
      </c>
      <c r="AB55" s="6">
        <f>SUMPRODUCT((Results!$A$2:$A$5001=Schedule!AB$45)*(Results!$B$2:$B$5001=Schedule!$A55)*(Results!$D$2:$D$5001))</f>
        <v>0</v>
      </c>
      <c r="AC55" s="6">
        <f>SUMPRODUCT((Results!$A$2:$A$5001=Schedule!AC$45)*(Results!$B$2:$B$5001=Schedule!$A55)*(Results!$D$2:$D$5001))</f>
        <v>0</v>
      </c>
      <c r="AD55" s="6">
        <f>SUMPRODUCT((Results!$A$2:$A$5001=Schedule!AD$45)*(Results!$B$2:$B$5001=Schedule!$A55)*(Results!$D$2:$D$5001))</f>
        <v>0</v>
      </c>
      <c r="AE55" s="6">
        <f>SUMPRODUCT((Results!$A$2:$A$5001=Schedule!AE$45)*(Results!$B$2:$B$5001=Schedule!$A55)*(Results!$D$2:$D$5001))</f>
        <v>0</v>
      </c>
      <c r="AF55" s="6">
        <f>SUMPRODUCT((Results!$A$2:$A$5001=Schedule!AF$45)*(Results!$B$2:$B$5001=Schedule!$A55)*(Results!$D$2:$D$5001))</f>
        <v>0</v>
      </c>
      <c r="AG55" s="6">
        <f>SUMPRODUCT((Results!$A$2:$A$5001=Schedule!AG$45)*(Results!$B$2:$B$5001=Schedule!$A55)*(Results!$D$2:$D$5001))</f>
        <v>0</v>
      </c>
      <c r="AH55" s="6">
        <f>SUMPRODUCT((Results!$A$2:$A$5001=Schedule!AH$45)*(Results!$B$2:$B$5001=Schedule!$A55)*(Results!$D$2:$D$5001))</f>
        <v>0</v>
      </c>
      <c r="AI55" s="6">
        <f>SUMPRODUCT((Results!$A$2:$A$5001=Schedule!AI$45)*(Results!$B$2:$B$5001=Schedule!$A55)*(Results!$D$2:$D$5001))</f>
        <v>0</v>
      </c>
      <c r="AJ55" s="6">
        <f>SUMPRODUCT((Results!$A$2:$A$5001=Schedule!AJ$45)*(Results!$B$2:$B$5001=Schedule!$A55)*(Results!$D$2:$D$5001))</f>
        <v>0</v>
      </c>
      <c r="AK55" s="6">
        <f>SUMPRODUCT((Results!$A$2:$A$5001=Schedule!AK$45)*(Results!$B$2:$B$5001=Schedule!$A55)*(Results!$D$2:$D$5001))</f>
        <v>0</v>
      </c>
      <c r="AL55" s="6">
        <f>SUMPRODUCT((Results!$A$2:$A$5001=Schedule!AL$45)*(Results!$B$2:$B$5001=Schedule!$A55)*(Results!$D$2:$D$5001))</f>
        <v>0</v>
      </c>
      <c r="AM55" s="6">
        <f>SUMPRODUCT((Results!$A$2:$A$5001=Schedule!AM$45)*(Results!$B$2:$B$5001=Schedule!$A55)*(Results!$D$2:$D$5001))</f>
        <v>0</v>
      </c>
      <c r="AN55" s="6">
        <f>SUMPRODUCT((Results!$A$2:$A$5001=Schedule!AN$45)*(Results!$B$2:$B$5001=Schedule!$A55)*(Results!$D$2:$D$5001))</f>
        <v>0</v>
      </c>
      <c r="AO55" s="6">
        <f>SUMPRODUCT((Results!$A$2:$A$5001=Schedule!AO$45)*(Results!$B$2:$B$5001=Schedule!$A55)*(Results!$D$2:$D$5001))</f>
        <v>0</v>
      </c>
      <c r="AP55" s="6">
        <f>SUMPRODUCT((Results!$A$2:$A$5001=Schedule!AP$45)*(Results!$B$2:$B$5001=Schedule!$A55)*(Results!$D$2:$D$5001))</f>
        <v>0</v>
      </c>
      <c r="AQ55" s="6">
        <f>SUMPRODUCT((Results!$A$2:$A$5001=Schedule!AQ$45)*(Results!$B$2:$B$5001=Schedule!$A55)*(Results!$D$2:$D$5001))</f>
        <v>0</v>
      </c>
      <c r="AR55" s="6">
        <f>SUMPRODUCT((Results!$A$2:$A$5001=Schedule!AR$45)*(Results!$B$2:$B$5001=Schedule!$A55)*(Results!$D$2:$D$5001))</f>
        <v>0</v>
      </c>
      <c r="AS55" s="6">
        <f>SUMPRODUCT((Results!$A$2:$A$5001=Schedule!AS$45)*(Results!$B$2:$B$5001=Schedule!$A55)*(Results!$D$2:$D$5001))</f>
        <v>0</v>
      </c>
      <c r="AT55" s="6">
        <f>SUMPRODUCT((Results!$A$2:$A$5001=Schedule!AT$45)*(Results!$B$2:$B$5001=Schedule!$A55)*(Results!$D$2:$D$5001))</f>
        <v>0</v>
      </c>
      <c r="AU55" s="6">
        <f>SUMPRODUCT((Results!$A$2:$A$5001=Schedule!AU$45)*(Results!$B$2:$B$5001=Schedule!$A55)*(Results!$D$2:$D$5001))</f>
        <v>0</v>
      </c>
      <c r="AV55" s="6">
        <f>SUMPRODUCT((Results!$A$2:$A$5001=Schedule!AV$45)*(Results!$B$2:$B$5001=Schedule!$A55)*(Results!$D$2:$D$5001))</f>
        <v>0</v>
      </c>
      <c r="AW55" s="6">
        <f>SUMPRODUCT((Results!$A$2:$A$5001=Schedule!AW$45)*(Results!$B$2:$B$5001=Schedule!$A55)*(Results!$D$2:$D$5001))</f>
        <v>0</v>
      </c>
      <c r="AX55" s="6">
        <f>SUMPRODUCT((Results!$A$2:$A$5001=Schedule!AX$45)*(Results!$B$2:$B$5001=Schedule!$A55)*(Results!$D$2:$D$5001))</f>
        <v>0</v>
      </c>
      <c r="AY55" s="6">
        <f>SUMPRODUCT((Results!$A$2:$A$5001=Schedule!AY$45)*(Results!$B$2:$B$5001=Schedule!$A55)*(Results!$D$2:$D$5001))</f>
        <v>0</v>
      </c>
      <c r="AZ55" s="6">
        <f>SUMPRODUCT((Results!$A$2:$A$5001=Schedule!AZ$45)*(Results!$B$2:$B$5001=Schedule!$A55)*(Results!$D$2:$D$5001))</f>
        <v>0</v>
      </c>
      <c r="BA55" s="6">
        <f>SUMPRODUCT((Results!$A$2:$A$5001=Schedule!BA$45)*(Results!$B$2:$B$5001=Schedule!$A55)*(Results!$D$2:$D$5001))</f>
        <v>0</v>
      </c>
      <c r="BB55" s="6">
        <f>SUMPRODUCT((Results!$A$2:$A$5001=Schedule!BB$45)*(Results!$B$2:$B$5001=Schedule!$A55)*(Results!$D$2:$D$5001))</f>
        <v>0</v>
      </c>
      <c r="BC55" s="6">
        <f>SUMPRODUCT((Results!$A$2:$A$5001=Schedule!BC$45)*(Results!$B$2:$B$5001=Schedule!$A55)*(Results!$D$2:$D$5001))</f>
        <v>0</v>
      </c>
      <c r="BD55" s="6">
        <f>SUMPRODUCT((Results!$A$2:$A$5001=Schedule!BD$45)*(Results!$B$2:$B$5001=Schedule!$A55)*(Results!$D$2:$D$5001))</f>
        <v>0</v>
      </c>
      <c r="BE55" s="6">
        <f>SUMPRODUCT((Results!$A$2:$A$5001=Schedule!BE$45)*(Results!$B$2:$B$5001=Schedule!$A55)*(Results!$D$2:$D$5001))</f>
        <v>0</v>
      </c>
      <c r="BF55" s="6">
        <f>SUMPRODUCT((Results!$A$2:$A$5001=Schedule!BF$45)*(Results!$B$2:$B$5001=Schedule!$A55)*(Results!$D$2:$D$5001))</f>
        <v>0</v>
      </c>
      <c r="BG55" s="6">
        <f>SUMPRODUCT((Results!$A$2:$A$5001=Schedule!BG$45)*(Results!$B$2:$B$5001=Schedule!$A55)*(Results!$D$2:$D$5001))</f>
        <v>0</v>
      </c>
      <c r="BH55" s="6">
        <f>SUMPRODUCT((Results!$A$2:$A$5001=Schedule!BH$45)*(Results!$B$2:$B$5001=Schedule!$A55)*(Results!$D$2:$D$5001))</f>
        <v>0</v>
      </c>
      <c r="BI55" s="6">
        <f>SUMPRODUCT((Results!$A$2:$A$5001=Schedule!BI$45)*(Results!$B$2:$B$5001=Schedule!$A55)*(Results!$D$2:$D$5001))</f>
        <v>0</v>
      </c>
      <c r="BJ55" s="6">
        <f>SUMPRODUCT((Results!$A$2:$A$5001=Schedule!BJ$45)*(Results!$B$2:$B$5001=Schedule!$A55)*(Results!$D$2:$D$5001))</f>
        <v>0</v>
      </c>
      <c r="BK55" s="6">
        <f>SUMPRODUCT((Results!$A$2:$A$5001=Schedule!BK$45)*(Results!$B$2:$B$5001=Schedule!$A55)*(Results!$D$2:$D$5001))</f>
        <v>0</v>
      </c>
      <c r="BL55" s="6">
        <f>SUMPRODUCT((Results!$A$2:$A$5001=Schedule!BL$45)*(Results!$B$2:$B$5001=Schedule!$A55)*(Results!$D$2:$D$5001))</f>
        <v>0</v>
      </c>
      <c r="BM55" s="6">
        <f>SUMPRODUCT((Results!$A$2:$A$5001=Schedule!BM$45)*(Results!$B$2:$B$5001=Schedule!$A55)*(Results!$D$2:$D$5001))</f>
        <v>0</v>
      </c>
      <c r="BN55" s="6">
        <f>SUMPRODUCT((Results!$A$2:$A$5001=Schedule!BN$45)*(Results!$B$2:$B$5001=Schedule!$A55)*(Results!$D$2:$D$5001))</f>
        <v>0</v>
      </c>
      <c r="BO55" s="6">
        <f>SUMPRODUCT((Results!$A$2:$A$5001=Schedule!BO$45)*(Results!$B$2:$B$5001=Schedule!$A55)*(Results!$D$2:$D$5001))</f>
        <v>0</v>
      </c>
      <c r="BP55" s="6">
        <f>SUMPRODUCT((Results!$A$2:$A$5001=Schedule!BP$45)*(Results!$B$2:$B$5001=Schedule!$A55)*(Results!$D$2:$D$5001))</f>
        <v>0</v>
      </c>
      <c r="BQ55" s="6">
        <f>SUMPRODUCT((Results!$A$2:$A$5001=Schedule!BQ$45)*(Results!$B$2:$B$5001=Schedule!$A55)*(Results!$D$2:$D$5001))</f>
        <v>0</v>
      </c>
      <c r="BR55" s="6">
        <f>SUMPRODUCT((Results!$A$2:$A$5001=Schedule!BR$45)*(Results!$B$2:$B$5001=Schedule!$A55)*(Results!$D$2:$D$5001))</f>
        <v>0</v>
      </c>
      <c r="BS55" s="6">
        <f>SUMPRODUCT((Results!$A$2:$A$5001=Schedule!BS$45)*(Results!$B$2:$B$5001=Schedule!$A55)*(Results!$D$2:$D$5001))</f>
        <v>0</v>
      </c>
      <c r="BT55" s="6">
        <f>SUMPRODUCT((Results!$A$2:$A$5001=Schedule!BT$45)*(Results!$B$2:$B$5001=Schedule!$A55)*(Results!$D$2:$D$5001))</f>
        <v>0</v>
      </c>
      <c r="BU55" s="6">
        <f>SUMPRODUCT((Results!$A$2:$A$5001=Schedule!BU$45)*(Results!$B$2:$B$5001=Schedule!$A55)*(Results!$D$2:$D$5001))</f>
        <v>0</v>
      </c>
      <c r="BV55" s="6">
        <f>SUMPRODUCT((Results!$A$2:$A$5001=Schedule!BV$45)*(Results!$B$2:$B$5001=Schedule!$A55)*(Results!$D$2:$D$5001))</f>
        <v>0</v>
      </c>
      <c r="BW55" s="6">
        <f>SUMPRODUCT((Results!$A$2:$A$5001=Schedule!BW$45)*(Results!$B$2:$B$5001=Schedule!$A55)*(Results!$D$2:$D$5001))</f>
        <v>0</v>
      </c>
      <c r="BX55" s="6">
        <f>SUMPRODUCT((Results!$A$2:$A$5001=Schedule!BX$45)*(Results!$B$2:$B$5001=Schedule!$A55)*(Results!$D$2:$D$5001))</f>
        <v>0</v>
      </c>
      <c r="BY55" s="6">
        <f>SUMPRODUCT((Results!$A$2:$A$5001=Schedule!BY$45)*(Results!$B$2:$B$5001=Schedule!$A55)*(Results!$D$2:$D$5001))</f>
        <v>0</v>
      </c>
      <c r="BZ55" s="6">
        <f>SUMPRODUCT((Results!$A$2:$A$5001=Schedule!BZ$45)*(Results!$B$2:$B$5001=Schedule!$A55)*(Results!$D$2:$D$5001))</f>
        <v>0</v>
      </c>
      <c r="CA55" s="6">
        <f>SUMPRODUCT((Results!$A$2:$A$5001=Schedule!CA$45)*(Results!$B$2:$B$5001=Schedule!$A55)*(Results!$D$2:$D$5001))</f>
        <v>0</v>
      </c>
      <c r="CB55" s="6">
        <f>SUMPRODUCT((Results!$A$2:$A$5001=Schedule!CB$45)*(Results!$B$2:$B$5001=Schedule!$A55)*(Results!$D$2:$D$5001))</f>
        <v>0</v>
      </c>
      <c r="CC55" s="6">
        <f>SUMPRODUCT((Results!$A$2:$A$5001=Schedule!CC$45)*(Results!$B$2:$B$5001=Schedule!$A55)*(Results!$D$2:$D$5001))</f>
        <v>0</v>
      </c>
      <c r="CD55" s="6">
        <f>SUMPRODUCT((Results!$A$2:$A$5001=Schedule!CD$45)*(Results!$B$2:$B$5001=Schedule!$A55)*(Results!$D$2:$D$5001))</f>
        <v>0</v>
      </c>
      <c r="CE55" s="6">
        <f>SUMPRODUCT((Results!$A$2:$A$5001=Schedule!CE$45)*(Results!$B$2:$B$5001=Schedule!$A55)*(Results!$D$2:$D$5001))</f>
        <v>0</v>
      </c>
      <c r="CF55" s="6">
        <f>SUMPRODUCT((Results!$A$2:$A$5001=Schedule!CF$45)*(Results!$B$2:$B$5001=Schedule!$A55)*(Results!$D$2:$D$5001))</f>
        <v>0</v>
      </c>
      <c r="CG55" s="6">
        <f>SUMPRODUCT((Results!$A$2:$A$5001=Schedule!CG$45)*(Results!$B$2:$B$5001=Schedule!$A55)*(Results!$D$2:$D$5001))</f>
        <v>0</v>
      </c>
      <c r="CH55" s="6">
        <f>SUMPRODUCT((Results!$A$2:$A$5001=Schedule!CH$45)*(Results!$B$2:$B$5001=Schedule!$A55)*(Results!$D$2:$D$5001))</f>
        <v>0</v>
      </c>
      <c r="CI55" s="6">
        <f>SUMPRODUCT((Results!$A$2:$A$5001=Schedule!CI$45)*(Results!$B$2:$B$5001=Schedule!$A55)*(Results!$D$2:$D$5001))</f>
        <v>0</v>
      </c>
      <c r="CJ55" s="6">
        <f>SUMPRODUCT((Results!$A$2:$A$5001=Schedule!CJ$45)*(Results!$B$2:$B$5001=Schedule!$A55)*(Results!$D$2:$D$5001))</f>
        <v>0</v>
      </c>
      <c r="CK55" s="6">
        <f>SUMPRODUCT((Results!$A$2:$A$5001=Schedule!CK$45)*(Results!$B$2:$B$5001=Schedule!$A55)*(Results!$D$2:$D$5001))</f>
        <v>0</v>
      </c>
      <c r="CL55" s="6">
        <f>SUMPRODUCT((Results!$A$2:$A$5001=Schedule!CL$45)*(Results!$B$2:$B$5001=Schedule!$A55)*(Results!$D$2:$D$5001))</f>
        <v>0</v>
      </c>
      <c r="CM55" s="6">
        <f>SUMPRODUCT((Results!$A$2:$A$5001=Schedule!CM$45)*(Results!$B$2:$B$5001=Schedule!$A55)*(Results!$D$2:$D$5001))</f>
        <v>0</v>
      </c>
      <c r="CN55" s="6">
        <f>SUMPRODUCT((Results!$A$2:$A$5001=Schedule!CN$45)*(Results!$B$2:$B$5001=Schedule!$A55)*(Results!$D$2:$D$5001))</f>
        <v>0</v>
      </c>
      <c r="CO55" s="6">
        <f>SUMPRODUCT((Results!$A$2:$A$5001=Schedule!CO$45)*(Results!$B$2:$B$5001=Schedule!$A55)*(Results!$D$2:$D$5001))</f>
        <v>0</v>
      </c>
      <c r="CP55" s="6">
        <f>SUMPRODUCT((Results!$A$2:$A$5001=Schedule!CP$45)*(Results!$B$2:$B$5001=Schedule!$A55)*(Results!$D$2:$D$5001))</f>
        <v>0</v>
      </c>
      <c r="CQ55" s="6">
        <f>SUMPRODUCT((Results!$A$2:$A$5001=Schedule!CQ$45)*(Results!$B$2:$B$5001=Schedule!$A55)*(Results!$D$2:$D$5001))</f>
        <v>0</v>
      </c>
      <c r="CR55" s="6">
        <f>SUMPRODUCT((Results!$A$2:$A$5001=Schedule!CR$45)*(Results!$B$2:$B$5001=Schedule!$A55)*(Results!$D$2:$D$5001))</f>
        <v>0</v>
      </c>
      <c r="CS55" s="6">
        <f>SUMPRODUCT((Results!$A$2:$A$5001=Schedule!CS$45)*(Results!$B$2:$B$5001=Schedule!$A55)*(Results!$D$2:$D$5001))</f>
        <v>0</v>
      </c>
      <c r="CT55" s="6">
        <f>SUMPRODUCT((Results!$A$2:$A$5001=Schedule!CT$45)*(Results!$B$2:$B$5001=Schedule!$A55)*(Results!$D$2:$D$5001))</f>
        <v>0</v>
      </c>
      <c r="CU55" s="6">
        <f>SUMPRODUCT((Results!$A$2:$A$5001=Schedule!CU$45)*(Results!$B$2:$B$5001=Schedule!$A55)*(Results!$D$2:$D$5001))</f>
        <v>0</v>
      </c>
      <c r="CV55" s="6">
        <f>SUMPRODUCT((Results!$A$2:$A$5001=Schedule!CV$45)*(Results!$B$2:$B$5001=Schedule!$A55)*(Results!$D$2:$D$5001))</f>
        <v>0</v>
      </c>
      <c r="CW55" s="6">
        <f>SUMPRODUCT((Results!$A$2:$A$5001=Schedule!CW$45)*(Results!$B$2:$B$5001=Schedule!$A55)*(Results!$D$2:$D$5001))</f>
        <v>0</v>
      </c>
      <c r="CX55" s="6">
        <f>SUMPRODUCT((Results!$A$2:$A$5001=Schedule!CX$45)*(Results!$B$2:$B$5001=Schedule!$A55)*(Results!$D$2:$D$5001))</f>
        <v>0</v>
      </c>
      <c r="CY55" s="6">
        <f>SUMPRODUCT((Results!$A$2:$A$5001=Schedule!CY$45)*(Results!$B$2:$B$5001=Schedule!$A55)*(Results!$D$2:$D$5001))</f>
        <v>0</v>
      </c>
      <c r="CZ55" s="6">
        <f>SUMPRODUCT((Results!$A$2:$A$5001=Schedule!CZ$45)*(Results!$B$2:$B$5001=Schedule!$A55)*(Results!$D$2:$D$5001))</f>
        <v>0</v>
      </c>
      <c r="DA55" s="6">
        <f>SUMPRODUCT((Results!$A$2:$A$5001=Schedule!DA$45)*(Results!$B$2:$B$5001=Schedule!$A55)*(Results!$D$2:$D$5001))</f>
        <v>0</v>
      </c>
      <c r="DB55" s="6">
        <f>SUMPRODUCT((Results!$A$2:$A$5001=Schedule!DB$45)*(Results!$B$2:$B$5001=Schedule!$A55)*(Results!$D$2:$D$5001))</f>
        <v>0</v>
      </c>
      <c r="DC55" s="6">
        <f>SUMPRODUCT((Results!$A$2:$A$5001=Schedule!DC$45)*(Results!$B$2:$B$5001=Schedule!$A55)*(Results!$D$2:$D$5001))</f>
        <v>0</v>
      </c>
      <c r="DD55" s="6">
        <f>SUMPRODUCT((Results!$A$2:$A$5001=Schedule!DD$45)*(Results!$B$2:$B$5001=Schedule!$A55)*(Results!$D$2:$D$5001))</f>
        <v>0</v>
      </c>
      <c r="DE55" s="6">
        <f>SUMPRODUCT((Results!$A$2:$A$5001=Schedule!DE$45)*(Results!$B$2:$B$5001=Schedule!$A55)*(Results!$D$2:$D$5001))</f>
        <v>0</v>
      </c>
      <c r="DF55" s="6">
        <f>SUMPRODUCT((Results!$A$2:$A$5001=Schedule!DF$45)*(Results!$B$2:$B$5001=Schedule!$A55)*(Results!$D$2:$D$5001))</f>
        <v>0</v>
      </c>
      <c r="DG55" s="6">
        <f>SUMPRODUCT((Results!$A$2:$A$5001=Schedule!DG$45)*(Results!$B$2:$B$5001=Schedule!$A55)*(Results!$D$2:$D$5001))</f>
        <v>0</v>
      </c>
      <c r="DH55" s="6">
        <f>SUMPRODUCT((Results!$A$2:$A$5001=Schedule!DH$45)*(Results!$B$2:$B$5001=Schedule!$A55)*(Results!$D$2:$D$5001))</f>
        <v>0</v>
      </c>
      <c r="DI55" s="6">
        <f>SUMPRODUCT((Results!$A$2:$A$5001=Schedule!DI$45)*(Results!$B$2:$B$5001=Schedule!$A55)*(Results!$D$2:$D$5001))</f>
        <v>0</v>
      </c>
      <c r="DJ55" s="6">
        <f>SUMPRODUCT((Results!$A$2:$A$5001=Schedule!DJ$45)*(Results!$B$2:$B$5001=Schedule!$A55)*(Results!$D$2:$D$5001))</f>
        <v>0</v>
      </c>
      <c r="DK55" s="6">
        <f>SUMPRODUCT((Results!$A$2:$A$5001=Schedule!DK$45)*(Results!$B$2:$B$5001=Schedule!$A55)*(Results!$D$2:$D$5001))</f>
        <v>0</v>
      </c>
      <c r="DL55" s="6">
        <f>SUMPRODUCT((Results!$A$2:$A$5001=Schedule!DL$45)*(Results!$B$2:$B$5001=Schedule!$A55)*(Results!$D$2:$D$5001))</f>
        <v>0</v>
      </c>
      <c r="DM55" s="6">
        <f>SUMPRODUCT((Results!$A$2:$A$5001=Schedule!DM$45)*(Results!$B$2:$B$5001=Schedule!$A55)*(Results!$D$2:$D$5001))</f>
        <v>0</v>
      </c>
      <c r="DN55" s="6">
        <f>SUMPRODUCT((Results!$A$2:$A$5001=Schedule!DN$45)*(Results!$B$2:$B$5001=Schedule!$A55)*(Results!$D$2:$D$5001))</f>
        <v>0</v>
      </c>
      <c r="DO55" s="6">
        <f>SUMPRODUCT((Results!$A$2:$A$5001=Schedule!DO$45)*(Results!$B$2:$B$5001=Schedule!$A55)*(Results!$D$2:$D$5001))</f>
        <v>0</v>
      </c>
      <c r="DP55" s="6">
        <f>SUMPRODUCT((Results!$A$2:$A$5001=Schedule!DP$45)*(Results!$B$2:$B$5001=Schedule!$A55)*(Results!$D$2:$D$5001))</f>
        <v>0</v>
      </c>
      <c r="DQ55" s="6">
        <f>SUMPRODUCT((Results!$A$2:$A$5001=Schedule!DQ$45)*(Results!$B$2:$B$5001=Schedule!$A55)*(Results!$D$2:$D$5001))</f>
        <v>0</v>
      </c>
      <c r="DR55" s="6">
        <f>SUMPRODUCT((Results!$A$2:$A$5001=Schedule!DR$45)*(Results!$B$2:$B$5001=Schedule!$A55)*(Results!$D$2:$D$5001))</f>
        <v>0</v>
      </c>
      <c r="DS55" s="6">
        <f>SUMPRODUCT((Results!$A$2:$A$5001=Schedule!DS$45)*(Results!$B$2:$B$5001=Schedule!$A55)*(Results!$D$2:$D$5001))</f>
        <v>0</v>
      </c>
      <c r="DT55" s="6">
        <f>SUMPRODUCT((Results!$A$2:$A$5001=Schedule!DT$45)*(Results!$B$2:$B$5001=Schedule!$A55)*(Results!$D$2:$D$5001))</f>
        <v>0</v>
      </c>
      <c r="DU55" s="6">
        <f>SUMPRODUCT((Results!$A$2:$A$5001=Schedule!DU$45)*(Results!$B$2:$B$5001=Schedule!$A55)*(Results!$D$2:$D$5001))</f>
        <v>0</v>
      </c>
      <c r="DV55" s="6">
        <f>SUMPRODUCT((Results!$A$2:$A$5001=Schedule!DV$45)*(Results!$B$2:$B$5001=Schedule!$A55)*(Results!$D$2:$D$5001))</f>
        <v>0</v>
      </c>
      <c r="DW55" s="6">
        <f>SUMPRODUCT((Results!$A$2:$A$5001=Schedule!DW$45)*(Results!$B$2:$B$5001=Schedule!$A55)*(Results!$D$2:$D$5001))</f>
        <v>0</v>
      </c>
      <c r="DX55" s="6">
        <f>SUMPRODUCT((Results!$A$2:$A$5001=Schedule!DX$45)*(Results!$B$2:$B$5001=Schedule!$A55)*(Results!$D$2:$D$5001))</f>
        <v>0</v>
      </c>
      <c r="DY55" s="6">
        <f>SUMPRODUCT((Results!$A$2:$A$5001=Schedule!DY$45)*(Results!$B$2:$B$5001=Schedule!$A55)*(Results!$D$2:$D$5001))</f>
        <v>0</v>
      </c>
      <c r="DZ55" s="6">
        <f>SUMPRODUCT((Results!$A$2:$A$5001=Schedule!DZ$45)*(Results!$B$2:$B$5001=Schedule!$A55)*(Results!$D$2:$D$5001))</f>
        <v>0</v>
      </c>
      <c r="EA55" s="6">
        <f>SUMPRODUCT((Results!$A$2:$A$5001=Schedule!EA$45)*(Results!$B$2:$B$5001=Schedule!$A55)*(Results!$D$2:$D$5001))</f>
        <v>0</v>
      </c>
      <c r="EB55" s="6">
        <f>SUMPRODUCT((Results!$A$2:$A$5001=Schedule!EB$45)*(Results!$B$2:$B$5001=Schedule!$A55)*(Results!$D$2:$D$5001))</f>
        <v>0</v>
      </c>
      <c r="EC55" s="6">
        <f>SUMPRODUCT((Results!$A$2:$A$5001=Schedule!EC$45)*(Results!$B$2:$B$5001=Schedule!$A55)*(Results!$D$2:$D$5001))</f>
        <v>0</v>
      </c>
      <c r="ED55" s="6">
        <f>SUMPRODUCT((Results!$A$2:$A$5001=Schedule!ED$45)*(Results!$B$2:$B$5001=Schedule!$A55)*(Results!$D$2:$D$5001))</f>
        <v>0</v>
      </c>
      <c r="EE55" s="6">
        <f>SUMPRODUCT((Results!$A$2:$A$5001=Schedule!EE$45)*(Results!$B$2:$B$5001=Schedule!$A55)*(Results!$D$2:$D$5001))</f>
        <v>0</v>
      </c>
      <c r="EF55" s="6">
        <f>SUMPRODUCT((Results!$A$2:$A$5001=Schedule!EF$45)*(Results!$B$2:$B$5001=Schedule!$A55)*(Results!$D$2:$D$5001))</f>
        <v>0</v>
      </c>
      <c r="EG55" s="6">
        <f>SUMPRODUCT((Results!$A$2:$A$5001=Schedule!EG$45)*(Results!$B$2:$B$5001=Schedule!$A55)*(Results!$D$2:$D$5001))</f>
        <v>0</v>
      </c>
      <c r="EH55" s="6">
        <f>SUMPRODUCT((Results!$A$2:$A$5001=Schedule!EH$45)*(Results!$B$2:$B$5001=Schedule!$A55)*(Results!$D$2:$D$5001))</f>
        <v>0</v>
      </c>
      <c r="EI55" s="6">
        <f>SUMPRODUCT((Results!$A$2:$A$5001=Schedule!EI$45)*(Results!$B$2:$B$5001=Schedule!$A55)*(Results!$D$2:$D$5001))</f>
        <v>0</v>
      </c>
      <c r="EJ55" s="6">
        <f>SUMPRODUCT((Results!$A$2:$A$5001=Schedule!EJ$45)*(Results!$B$2:$B$5001=Schedule!$A55)*(Results!$D$2:$D$5001))</f>
        <v>0</v>
      </c>
      <c r="EK55" s="6">
        <f>SUMPRODUCT((Results!$A$2:$A$5001=Schedule!EK$45)*(Results!$B$2:$B$5001=Schedule!$A55)*(Results!$D$2:$D$5001))</f>
        <v>0</v>
      </c>
      <c r="EL55" s="6">
        <f>SUMPRODUCT((Results!$A$2:$A$5001=Schedule!EL$45)*(Results!$B$2:$B$5001=Schedule!$A55)*(Results!$D$2:$D$5001))</f>
        <v>0</v>
      </c>
      <c r="EM55" s="6">
        <f>SUMPRODUCT((Results!$A$2:$A$5001=Schedule!EM$45)*(Results!$B$2:$B$5001=Schedule!$A55)*(Results!$D$2:$D$5001))</f>
        <v>0</v>
      </c>
      <c r="EN55" s="6">
        <f>SUMPRODUCT((Results!$A$2:$A$5001=Schedule!EN$45)*(Results!$B$2:$B$5001=Schedule!$A55)*(Results!$D$2:$D$5001))</f>
        <v>0</v>
      </c>
      <c r="EO55" s="6">
        <f>SUMPRODUCT((Results!$A$2:$A$5001=Schedule!EO$45)*(Results!$B$2:$B$5001=Schedule!$A55)*(Results!$D$2:$D$5001))</f>
        <v>0</v>
      </c>
      <c r="EP55" s="6">
        <f>SUMPRODUCT((Results!$A$2:$A$5001=Schedule!EP$45)*(Results!$B$2:$B$5001=Schedule!$A55)*(Results!$D$2:$D$5001))</f>
        <v>0</v>
      </c>
      <c r="EQ55" s="6">
        <f>SUMPRODUCT((Results!$A$2:$A$5001=Schedule!EQ$45)*(Results!$B$2:$B$5001=Schedule!$A55)*(Results!$D$2:$D$5001))</f>
        <v>0</v>
      </c>
      <c r="ER55" s="6">
        <f>SUMPRODUCT((Results!$A$2:$A$5001=Schedule!ER$45)*(Results!$B$2:$B$5001=Schedule!$A55)*(Results!$D$2:$D$5001))</f>
        <v>0</v>
      </c>
      <c r="ES55" s="6">
        <f>SUMPRODUCT((Results!$A$2:$A$5001=Schedule!ES$45)*(Results!$B$2:$B$5001=Schedule!$A55)*(Results!$D$2:$D$5001))</f>
        <v>0</v>
      </c>
      <c r="ET55" s="6">
        <f>SUMPRODUCT((Results!$A$2:$A$5001=Schedule!ET$45)*(Results!$B$2:$B$5001=Schedule!$A55)*(Results!$D$2:$D$5001))</f>
        <v>0</v>
      </c>
      <c r="EU55" s="6">
        <f>SUMPRODUCT((Results!$A$2:$A$5001=Schedule!EU$45)*(Results!$B$2:$B$5001=Schedule!$A55)*(Results!$D$2:$D$5001))</f>
        <v>0</v>
      </c>
      <c r="EV55" s="6">
        <f>SUMPRODUCT((Results!$A$2:$A$5001=Schedule!EV$45)*(Results!$B$2:$B$5001=Schedule!$A55)*(Results!$D$2:$D$5001))</f>
        <v>0</v>
      </c>
      <c r="EW55" s="6">
        <f>SUMPRODUCT((Results!$A$2:$A$5001=Schedule!EW$45)*(Results!$B$2:$B$5001=Schedule!$A55)*(Results!$D$2:$D$5001))</f>
        <v>0</v>
      </c>
      <c r="EX55" s="6">
        <f>SUMPRODUCT((Results!$A$2:$A$5001=Schedule!EX$45)*(Results!$B$2:$B$5001=Schedule!$A55)*(Results!$D$2:$D$5001))</f>
        <v>0</v>
      </c>
      <c r="EY55" s="6">
        <f>SUMPRODUCT((Results!$A$2:$A$5001=Schedule!EY$45)*(Results!$B$2:$B$5001=Schedule!$A55)*(Results!$D$2:$D$5001))</f>
        <v>0</v>
      </c>
      <c r="EZ55" s="6">
        <f>SUMPRODUCT((Results!$A$2:$A$5001=Schedule!EZ$45)*(Results!$B$2:$B$5001=Schedule!$A55)*(Results!$D$2:$D$5001))</f>
        <v>0</v>
      </c>
      <c r="FA55" s="6">
        <f>SUMPRODUCT((Results!$A$2:$A$5001=Schedule!FA$45)*(Results!$B$2:$B$5001=Schedule!$A55)*(Results!$D$2:$D$5001))</f>
        <v>0</v>
      </c>
      <c r="FB55" s="6">
        <f>SUMPRODUCT((Results!$A$2:$A$5001=Schedule!FB$45)*(Results!$B$2:$B$5001=Schedule!$A55)*(Results!$D$2:$D$5001))</f>
        <v>0</v>
      </c>
      <c r="FC55" s="6">
        <f>SUMPRODUCT((Results!$A$2:$A$5001=Schedule!FC$45)*(Results!$B$2:$B$5001=Schedule!$A55)*(Results!$D$2:$D$5001))</f>
        <v>0</v>
      </c>
      <c r="FD55" s="6">
        <f>SUMPRODUCT((Results!$A$2:$A$5001=Schedule!FD$45)*(Results!$B$2:$B$5001=Schedule!$A55)*(Results!$D$2:$D$5001))</f>
        <v>0</v>
      </c>
      <c r="FE55" s="6">
        <f>SUMPRODUCT((Results!$A$2:$A$5001=Schedule!FE$45)*(Results!$B$2:$B$5001=Schedule!$A55)*(Results!$D$2:$D$5001))</f>
        <v>0</v>
      </c>
      <c r="FF55" s="6">
        <f>SUMPRODUCT((Results!$A$2:$A$5001=Schedule!FF$45)*(Results!$B$2:$B$5001=Schedule!$A55)*(Results!$D$2:$D$5001))</f>
        <v>0</v>
      </c>
      <c r="FG55" s="6">
        <f>SUMPRODUCT((Results!$A$2:$A$5001=Schedule!FG$45)*(Results!$B$2:$B$5001=Schedule!$A55)*(Results!$D$2:$D$5001))</f>
        <v>0</v>
      </c>
      <c r="FH55" s="6">
        <f>SUMPRODUCT((Results!$A$2:$A$5001=Schedule!FH$45)*(Results!$B$2:$B$5001=Schedule!$A55)*(Results!$D$2:$D$5001))</f>
        <v>0</v>
      </c>
      <c r="FI55" s="6">
        <f>SUMPRODUCT((Results!$A$2:$A$5001=Schedule!FI$45)*(Results!$B$2:$B$5001=Schedule!$A55)*(Results!$D$2:$D$5001))</f>
        <v>0</v>
      </c>
      <c r="FJ55" s="6">
        <f>SUMPRODUCT((Results!$A$2:$A$5001=Schedule!FJ$45)*(Results!$B$2:$B$5001=Schedule!$A55)*(Results!$D$2:$D$5001))</f>
        <v>0</v>
      </c>
      <c r="FK55" s="6">
        <f>SUMPRODUCT((Results!$A$2:$A$5001=Schedule!FK$45)*(Results!$B$2:$B$5001=Schedule!$A55)*(Results!$D$2:$D$5001))</f>
        <v>0</v>
      </c>
      <c r="FL55" s="6">
        <f>SUMPRODUCT((Results!$A$2:$A$5001=Schedule!FL$45)*(Results!$B$2:$B$5001=Schedule!$A55)*(Results!$D$2:$D$5001))</f>
        <v>0</v>
      </c>
      <c r="FM55" s="6">
        <f>SUMPRODUCT((Results!$A$2:$A$5001=Schedule!FM$45)*(Results!$B$2:$B$5001=Schedule!$A55)*(Results!$D$2:$D$5001))</f>
        <v>0</v>
      </c>
      <c r="FN55" s="6">
        <f>SUMPRODUCT((Results!$A$2:$A$5001=Schedule!FN$45)*(Results!$B$2:$B$5001=Schedule!$A55)*(Results!$D$2:$D$5001))</f>
        <v>0</v>
      </c>
      <c r="FO55" s="6">
        <f>SUMPRODUCT((Results!$A$2:$A$5001=Schedule!FO$45)*(Results!$B$2:$B$5001=Schedule!$A55)*(Results!$D$2:$D$5001))</f>
        <v>0</v>
      </c>
      <c r="FP55" s="6">
        <f>SUMPRODUCT((Results!$A$2:$A$5001=Schedule!FP$45)*(Results!$B$2:$B$5001=Schedule!$A55)*(Results!$D$2:$D$5001))</f>
        <v>0</v>
      </c>
      <c r="FQ55" s="6">
        <f>SUMPRODUCT((Results!$A$2:$A$5001=Schedule!FQ$45)*(Results!$B$2:$B$5001=Schedule!$A55)*(Results!$D$2:$D$5001))</f>
        <v>0</v>
      </c>
      <c r="FR55" s="6">
        <f>SUMPRODUCT((Results!$A$2:$A$5001=Schedule!FR$45)*(Results!$B$2:$B$5001=Schedule!$A55)*(Results!$D$2:$D$5001))</f>
        <v>0</v>
      </c>
      <c r="FS55" s="6">
        <f>SUMPRODUCT((Results!$A$2:$A$5001=Schedule!FS$45)*(Results!$B$2:$B$5001=Schedule!$A55)*(Results!$D$2:$D$5001))</f>
        <v>0</v>
      </c>
      <c r="FT55" s="6">
        <f>SUMPRODUCT((Results!$A$2:$A$5001=Schedule!FT$45)*(Results!$B$2:$B$5001=Schedule!$A55)*(Results!$D$2:$D$5001))</f>
        <v>0</v>
      </c>
      <c r="FU55" s="6">
        <f>SUMPRODUCT((Results!$A$2:$A$5001=Schedule!FU$45)*(Results!$B$2:$B$5001=Schedule!$A55)*(Results!$D$2:$D$5001))</f>
        <v>0</v>
      </c>
      <c r="FV55" s="6">
        <f>SUMPRODUCT((Results!$A$2:$A$5001=Schedule!FV$45)*(Results!$B$2:$B$5001=Schedule!$A55)*(Results!$D$2:$D$5001))</f>
        <v>0</v>
      </c>
      <c r="FW55" s="6">
        <f>SUMPRODUCT((Results!$A$2:$A$5001=Schedule!FW$45)*(Results!$B$2:$B$5001=Schedule!$A55)*(Results!$D$2:$D$5001))</f>
        <v>0</v>
      </c>
      <c r="FX55" s="6">
        <f>SUMPRODUCT((Results!$A$2:$A$5001=Schedule!FX$45)*(Results!$B$2:$B$5001=Schedule!$A55)*(Results!$D$2:$D$5001))</f>
        <v>0</v>
      </c>
      <c r="FY55" s="6">
        <f>SUMPRODUCT((Results!$A$2:$A$5001=Schedule!FY$45)*(Results!$B$2:$B$5001=Schedule!$A55)*(Results!$D$2:$D$5001))</f>
        <v>0</v>
      </c>
      <c r="FZ55" s="6">
        <f>SUMPRODUCT((Results!$A$2:$A$5001=Schedule!FZ$45)*(Results!$B$2:$B$5001=Schedule!$A55)*(Results!$D$2:$D$5001))</f>
        <v>0</v>
      </c>
      <c r="GA55" s="6">
        <f>SUMPRODUCT((Results!$A$2:$A$5001=Schedule!GA$45)*(Results!$B$2:$B$5001=Schedule!$A55)*(Results!$D$2:$D$5001))</f>
        <v>0</v>
      </c>
      <c r="GB55" s="6">
        <f>SUMPRODUCT((Results!$A$2:$A$5001=Schedule!GB$45)*(Results!$B$2:$B$5001=Schedule!$A55)*(Results!$D$2:$D$5001))</f>
        <v>0</v>
      </c>
      <c r="GC55" s="6">
        <f>SUMPRODUCT((Results!$A$2:$A$5001=Schedule!GC$45)*(Results!$B$2:$B$5001=Schedule!$A55)*(Results!$D$2:$D$5001))</f>
        <v>0</v>
      </c>
      <c r="GD55" s="6">
        <f>SUMPRODUCT((Results!$A$2:$A$5001=Schedule!GD$45)*(Results!$B$2:$B$5001=Schedule!$A55)*(Results!$D$2:$D$5001))</f>
        <v>0</v>
      </c>
      <c r="GE55" s="6">
        <f>SUMPRODUCT((Results!$A$2:$A$5001=Schedule!GE$45)*(Results!$B$2:$B$5001=Schedule!$A55)*(Results!$D$2:$D$5001))</f>
        <v>0</v>
      </c>
      <c r="GF55" s="6">
        <f>SUMPRODUCT((Results!$A$2:$A$5001=Schedule!GF$45)*(Results!$B$2:$B$5001=Schedule!$A55)*(Results!$D$2:$D$5001))</f>
        <v>0</v>
      </c>
      <c r="GG55" s="6">
        <f>SUMPRODUCT((Results!$A$2:$A$5001=Schedule!GG$45)*(Results!$B$2:$B$5001=Schedule!$A55)*(Results!$D$2:$D$5001))</f>
        <v>0</v>
      </c>
      <c r="GH55" s="6">
        <f>SUMPRODUCT((Results!$A$2:$A$5001=Schedule!GH$45)*(Results!$B$2:$B$5001=Schedule!$A55)*(Results!$D$2:$D$5001))</f>
        <v>0</v>
      </c>
      <c r="GI55" s="6">
        <f>SUMPRODUCT((Results!$A$2:$A$5001=Schedule!GI$45)*(Results!$B$2:$B$5001=Schedule!$A55)*(Results!$D$2:$D$5001))</f>
        <v>0</v>
      </c>
      <c r="GJ55" s="6">
        <f>SUMPRODUCT((Results!$A$2:$A$5001=Schedule!GJ$45)*(Results!$B$2:$B$5001=Schedule!$A55)*(Results!$D$2:$D$5001))</f>
        <v>0</v>
      </c>
      <c r="GK55" s="6">
        <f>SUMPRODUCT((Results!$A$2:$A$5001=Schedule!GK$45)*(Results!$B$2:$B$5001=Schedule!$A55)*(Results!$D$2:$D$5001))</f>
        <v>0</v>
      </c>
      <c r="GL55" s="6">
        <f>SUMPRODUCT((Results!$A$2:$A$5001=Schedule!GL$45)*(Results!$B$2:$B$5001=Schedule!$A55)*(Results!$D$2:$D$5001))</f>
        <v>0</v>
      </c>
      <c r="GM55" s="6">
        <f>SUMPRODUCT((Results!$A$2:$A$5001=Schedule!GM$45)*(Results!$B$2:$B$5001=Schedule!$A55)*(Results!$D$2:$D$5001))</f>
        <v>0</v>
      </c>
      <c r="GN55" s="6">
        <f>SUMPRODUCT((Results!$A$2:$A$5001=Schedule!GN$45)*(Results!$B$2:$B$5001=Schedule!$A55)*(Results!$D$2:$D$5001))</f>
        <v>0</v>
      </c>
      <c r="GO55" s="6">
        <f>SUMPRODUCT((Results!$A$2:$A$5001=Schedule!GO$45)*(Results!$B$2:$B$5001=Schedule!$A55)*(Results!$D$2:$D$5001))</f>
        <v>0</v>
      </c>
      <c r="GP55" s="6">
        <f>SUMPRODUCT((Results!$A$2:$A$5001=Schedule!GP$45)*(Results!$B$2:$B$5001=Schedule!$A55)*(Results!$D$2:$D$5001))</f>
        <v>0</v>
      </c>
      <c r="GQ55" s="6">
        <f>SUMPRODUCT((Results!$A$2:$A$5001=Schedule!GQ$45)*(Results!$B$2:$B$5001=Schedule!$A55)*(Results!$D$2:$D$5001))</f>
        <v>0</v>
      </c>
      <c r="GR55" s="6">
        <f>SUMPRODUCT((Results!$A$2:$A$5001=Schedule!GR$45)*(Results!$B$2:$B$5001=Schedule!$A55)*(Results!$D$2:$D$5001))</f>
        <v>0</v>
      </c>
      <c r="GS55" s="6">
        <f>SUMPRODUCT((Results!$A$2:$A$5001=Schedule!GS$45)*(Results!$B$2:$B$5001=Schedule!$A55)*(Results!$D$2:$D$5001))</f>
        <v>0</v>
      </c>
      <c r="GT55" s="6">
        <f>SUMPRODUCT((Results!$A$2:$A$5001=Schedule!GT$45)*(Results!$B$2:$B$5001=Schedule!$A55)*(Results!$D$2:$D$5001))</f>
        <v>0</v>
      </c>
      <c r="GU55" s="6">
        <f>SUMPRODUCT((Results!$A$2:$A$5001=Schedule!GU$45)*(Results!$B$2:$B$5001=Schedule!$A55)*(Results!$D$2:$D$5001))</f>
        <v>0</v>
      </c>
    </row>
    <row r="56" spans="1:203" ht="13.5" customHeight="1" x14ac:dyDescent="0.2">
      <c r="A56" s="40">
        <v>11</v>
      </c>
      <c r="B56" s="6">
        <f t="shared" si="17"/>
        <v>9.1000000000000004E-3</v>
      </c>
      <c r="C56" s="6">
        <f>SUMPRODUCT((Results!$A$2:$A$5001=Schedule!C$45)*(Results!$B$2:$B$5001=Schedule!$A56)*(Results!$D$2:$D$5001))</f>
        <v>0</v>
      </c>
      <c r="D56" s="6">
        <f>SUMPRODUCT((Results!$A$2:$A$5001=Schedule!D$45)*(Results!$B$2:$B$5001=Schedule!$A56)*(Results!$D$2:$D$5001))</f>
        <v>0</v>
      </c>
      <c r="E56" s="6">
        <f>SUMPRODUCT((Results!$A$2:$A$5001=Schedule!E$45)*(Results!$B$2:$B$5001=Schedule!$A56)*(Results!$D$2:$D$5001))</f>
        <v>0</v>
      </c>
      <c r="F56" s="6">
        <f>SUMPRODUCT((Results!$A$2:$A$5001=Schedule!F$45)*(Results!$B$2:$B$5001=Schedule!$A56)*(Results!$D$2:$D$5001))</f>
        <v>0</v>
      </c>
      <c r="G56" s="6">
        <f>SUMPRODUCT((Results!$A$2:$A$5001=Schedule!G$45)*(Results!$B$2:$B$5001=Schedule!$A56)*(Results!$D$2:$D$5001))</f>
        <v>9.1000000000000004E-3</v>
      </c>
      <c r="H56" s="6">
        <f>SUMPRODUCT((Results!$A$2:$A$5001=Schedule!H$45)*(Results!$B$2:$B$5001=Schedule!$A56)*(Results!$D$2:$D$5001))</f>
        <v>0</v>
      </c>
      <c r="I56" s="6">
        <f>SUMPRODUCT((Results!$A$2:$A$5001=Schedule!I$45)*(Results!$B$2:$B$5001=Schedule!$A56)*(Results!$D$2:$D$5001))</f>
        <v>0</v>
      </c>
      <c r="J56" s="6">
        <f>SUMPRODUCT((Results!$A$2:$A$5001=Schedule!J$45)*(Results!$B$2:$B$5001=Schedule!$A56)*(Results!$D$2:$D$5001))</f>
        <v>0</v>
      </c>
      <c r="K56" s="6">
        <f>SUMPRODUCT((Results!$A$2:$A$5001=Schedule!K$45)*(Results!$B$2:$B$5001=Schedule!$A56)*(Results!$D$2:$D$5001))</f>
        <v>0</v>
      </c>
      <c r="L56" s="6">
        <f>SUMPRODUCT((Results!$A$2:$A$5001=Schedule!L$45)*(Results!$B$2:$B$5001=Schedule!$A56)*(Results!$D$2:$D$5001))</f>
        <v>0</v>
      </c>
      <c r="M56" s="6">
        <f>SUMPRODUCT((Results!$A$2:$A$5001=Schedule!M$45)*(Results!$B$2:$B$5001=Schedule!$A56)*(Results!$D$2:$D$5001))</f>
        <v>0</v>
      </c>
      <c r="N56" s="6">
        <f>SUMPRODUCT((Results!$A$2:$A$5001=Schedule!N$45)*(Results!$B$2:$B$5001=Schedule!$A56)*(Results!$D$2:$D$5001))</f>
        <v>0</v>
      </c>
      <c r="O56" s="6">
        <f>SUMPRODUCT((Results!$A$2:$A$5001=Schedule!O$45)*(Results!$B$2:$B$5001=Schedule!$A56)*(Results!$D$2:$D$5001))</f>
        <v>0</v>
      </c>
      <c r="P56" s="6">
        <f>SUMPRODUCT((Results!$A$2:$A$5001=Schedule!P$45)*(Results!$B$2:$B$5001=Schedule!$A56)*(Results!$D$2:$D$5001))</f>
        <v>0</v>
      </c>
      <c r="Q56" s="6">
        <f>SUMPRODUCT((Results!$A$2:$A$5001=Schedule!Q$45)*(Results!$B$2:$B$5001=Schedule!$A56)*(Results!$D$2:$D$5001))</f>
        <v>0</v>
      </c>
      <c r="R56" s="6">
        <f>SUMPRODUCT((Results!$A$2:$A$5001=Schedule!R$45)*(Results!$B$2:$B$5001=Schedule!$A56)*(Results!$D$2:$D$5001))</f>
        <v>0</v>
      </c>
      <c r="S56" s="6">
        <f>SUMPRODUCT((Results!$A$2:$A$5001=Schedule!S$45)*(Results!$B$2:$B$5001=Schedule!$A56)*(Results!$D$2:$D$5001))</f>
        <v>0</v>
      </c>
      <c r="T56" s="6">
        <f>SUMPRODUCT((Results!$A$2:$A$5001=Schedule!T$45)*(Results!$B$2:$B$5001=Schedule!$A56)*(Results!$D$2:$D$5001))</f>
        <v>0</v>
      </c>
      <c r="U56" s="6">
        <f>SUMPRODUCT((Results!$A$2:$A$5001=Schedule!U$45)*(Results!$B$2:$B$5001=Schedule!$A56)*(Results!$D$2:$D$5001))</f>
        <v>0</v>
      </c>
      <c r="V56" s="6">
        <f>SUMPRODUCT((Results!$A$2:$A$5001=Schedule!V$45)*(Results!$B$2:$B$5001=Schedule!$A56)*(Results!$D$2:$D$5001))</f>
        <v>0</v>
      </c>
      <c r="W56" s="6">
        <f>SUMPRODUCT((Results!$A$2:$A$5001=Schedule!W$45)*(Results!$B$2:$B$5001=Schedule!$A56)*(Results!$D$2:$D$5001))</f>
        <v>0</v>
      </c>
      <c r="X56" s="6">
        <f>SUMPRODUCT((Results!$A$2:$A$5001=Schedule!X$45)*(Results!$B$2:$B$5001=Schedule!$A56)*(Results!$D$2:$D$5001))</f>
        <v>0</v>
      </c>
      <c r="Y56" s="6">
        <f>SUMPRODUCT((Results!$A$2:$A$5001=Schedule!Y$45)*(Results!$B$2:$B$5001=Schedule!$A56)*(Results!$D$2:$D$5001))</f>
        <v>0</v>
      </c>
      <c r="Z56" s="6">
        <f>SUMPRODUCT((Results!$A$2:$A$5001=Schedule!Z$45)*(Results!$B$2:$B$5001=Schedule!$A56)*(Results!$D$2:$D$5001))</f>
        <v>0</v>
      </c>
      <c r="AA56" s="6">
        <f>SUMPRODUCT((Results!$A$2:$A$5001=Schedule!AA$45)*(Results!$B$2:$B$5001=Schedule!$A56)*(Results!$D$2:$D$5001))</f>
        <v>0</v>
      </c>
      <c r="AB56" s="6">
        <f>SUMPRODUCT((Results!$A$2:$A$5001=Schedule!AB$45)*(Results!$B$2:$B$5001=Schedule!$A56)*(Results!$D$2:$D$5001))</f>
        <v>0</v>
      </c>
      <c r="AC56" s="6">
        <f>SUMPRODUCT((Results!$A$2:$A$5001=Schedule!AC$45)*(Results!$B$2:$B$5001=Schedule!$A56)*(Results!$D$2:$D$5001))</f>
        <v>0</v>
      </c>
      <c r="AD56" s="6">
        <f>SUMPRODUCT((Results!$A$2:$A$5001=Schedule!AD$45)*(Results!$B$2:$B$5001=Schedule!$A56)*(Results!$D$2:$D$5001))</f>
        <v>0</v>
      </c>
      <c r="AE56" s="6">
        <f>SUMPRODUCT((Results!$A$2:$A$5001=Schedule!AE$45)*(Results!$B$2:$B$5001=Schedule!$A56)*(Results!$D$2:$D$5001))</f>
        <v>0</v>
      </c>
      <c r="AF56" s="6">
        <f>SUMPRODUCT((Results!$A$2:$A$5001=Schedule!AF$45)*(Results!$B$2:$B$5001=Schedule!$A56)*(Results!$D$2:$D$5001))</f>
        <v>0</v>
      </c>
      <c r="AG56" s="6">
        <f>SUMPRODUCT((Results!$A$2:$A$5001=Schedule!AG$45)*(Results!$B$2:$B$5001=Schedule!$A56)*(Results!$D$2:$D$5001))</f>
        <v>0</v>
      </c>
      <c r="AH56" s="6">
        <f>SUMPRODUCT((Results!$A$2:$A$5001=Schedule!AH$45)*(Results!$B$2:$B$5001=Schedule!$A56)*(Results!$D$2:$D$5001))</f>
        <v>0</v>
      </c>
      <c r="AI56" s="6">
        <f>SUMPRODUCT((Results!$A$2:$A$5001=Schedule!AI$45)*(Results!$B$2:$B$5001=Schedule!$A56)*(Results!$D$2:$D$5001))</f>
        <v>0</v>
      </c>
      <c r="AJ56" s="6">
        <f>SUMPRODUCT((Results!$A$2:$A$5001=Schedule!AJ$45)*(Results!$B$2:$B$5001=Schedule!$A56)*(Results!$D$2:$D$5001))</f>
        <v>0</v>
      </c>
      <c r="AK56" s="6">
        <f>SUMPRODUCT((Results!$A$2:$A$5001=Schedule!AK$45)*(Results!$B$2:$B$5001=Schedule!$A56)*(Results!$D$2:$D$5001))</f>
        <v>0</v>
      </c>
      <c r="AL56" s="6">
        <f>SUMPRODUCT((Results!$A$2:$A$5001=Schedule!AL$45)*(Results!$B$2:$B$5001=Schedule!$A56)*(Results!$D$2:$D$5001))</f>
        <v>0</v>
      </c>
      <c r="AM56" s="6">
        <f>SUMPRODUCT((Results!$A$2:$A$5001=Schedule!AM$45)*(Results!$B$2:$B$5001=Schedule!$A56)*(Results!$D$2:$D$5001))</f>
        <v>0</v>
      </c>
      <c r="AN56" s="6">
        <f>SUMPRODUCT((Results!$A$2:$A$5001=Schedule!AN$45)*(Results!$B$2:$B$5001=Schedule!$A56)*(Results!$D$2:$D$5001))</f>
        <v>0</v>
      </c>
      <c r="AO56" s="6">
        <f>SUMPRODUCT((Results!$A$2:$A$5001=Schedule!AO$45)*(Results!$B$2:$B$5001=Schedule!$A56)*(Results!$D$2:$D$5001))</f>
        <v>0</v>
      </c>
      <c r="AP56" s="6">
        <f>SUMPRODUCT((Results!$A$2:$A$5001=Schedule!AP$45)*(Results!$B$2:$B$5001=Schedule!$A56)*(Results!$D$2:$D$5001))</f>
        <v>0</v>
      </c>
      <c r="AQ56" s="6">
        <f>SUMPRODUCT((Results!$A$2:$A$5001=Schedule!AQ$45)*(Results!$B$2:$B$5001=Schedule!$A56)*(Results!$D$2:$D$5001))</f>
        <v>0</v>
      </c>
      <c r="AR56" s="6">
        <f>SUMPRODUCT((Results!$A$2:$A$5001=Schedule!AR$45)*(Results!$B$2:$B$5001=Schedule!$A56)*(Results!$D$2:$D$5001))</f>
        <v>0</v>
      </c>
      <c r="AS56" s="6">
        <f>SUMPRODUCT((Results!$A$2:$A$5001=Schedule!AS$45)*(Results!$B$2:$B$5001=Schedule!$A56)*(Results!$D$2:$D$5001))</f>
        <v>0</v>
      </c>
      <c r="AT56" s="6">
        <f>SUMPRODUCT((Results!$A$2:$A$5001=Schedule!AT$45)*(Results!$B$2:$B$5001=Schedule!$A56)*(Results!$D$2:$D$5001))</f>
        <v>0</v>
      </c>
      <c r="AU56" s="6">
        <f>SUMPRODUCT((Results!$A$2:$A$5001=Schedule!AU$45)*(Results!$B$2:$B$5001=Schedule!$A56)*(Results!$D$2:$D$5001))</f>
        <v>0</v>
      </c>
      <c r="AV56" s="6">
        <f>SUMPRODUCT((Results!$A$2:$A$5001=Schedule!AV$45)*(Results!$B$2:$B$5001=Schedule!$A56)*(Results!$D$2:$D$5001))</f>
        <v>0</v>
      </c>
      <c r="AW56" s="6">
        <f>SUMPRODUCT((Results!$A$2:$A$5001=Schedule!AW$45)*(Results!$B$2:$B$5001=Schedule!$A56)*(Results!$D$2:$D$5001))</f>
        <v>0</v>
      </c>
      <c r="AX56" s="6">
        <f>SUMPRODUCT((Results!$A$2:$A$5001=Schedule!AX$45)*(Results!$B$2:$B$5001=Schedule!$A56)*(Results!$D$2:$D$5001))</f>
        <v>0</v>
      </c>
      <c r="AY56" s="6">
        <f>SUMPRODUCT((Results!$A$2:$A$5001=Schedule!AY$45)*(Results!$B$2:$B$5001=Schedule!$A56)*(Results!$D$2:$D$5001))</f>
        <v>0</v>
      </c>
      <c r="AZ56" s="6">
        <f>SUMPRODUCT((Results!$A$2:$A$5001=Schedule!AZ$45)*(Results!$B$2:$B$5001=Schedule!$A56)*(Results!$D$2:$D$5001))</f>
        <v>0</v>
      </c>
      <c r="BA56" s="6">
        <f>SUMPRODUCT((Results!$A$2:$A$5001=Schedule!BA$45)*(Results!$B$2:$B$5001=Schedule!$A56)*(Results!$D$2:$D$5001))</f>
        <v>0</v>
      </c>
      <c r="BB56" s="6">
        <f>SUMPRODUCT((Results!$A$2:$A$5001=Schedule!BB$45)*(Results!$B$2:$B$5001=Schedule!$A56)*(Results!$D$2:$D$5001))</f>
        <v>0</v>
      </c>
      <c r="BC56" s="6">
        <f>SUMPRODUCT((Results!$A$2:$A$5001=Schedule!BC$45)*(Results!$B$2:$B$5001=Schedule!$A56)*(Results!$D$2:$D$5001))</f>
        <v>0</v>
      </c>
      <c r="BD56" s="6">
        <f>SUMPRODUCT((Results!$A$2:$A$5001=Schedule!BD$45)*(Results!$B$2:$B$5001=Schedule!$A56)*(Results!$D$2:$D$5001))</f>
        <v>0</v>
      </c>
      <c r="BE56" s="6">
        <f>SUMPRODUCT((Results!$A$2:$A$5001=Schedule!BE$45)*(Results!$B$2:$B$5001=Schedule!$A56)*(Results!$D$2:$D$5001))</f>
        <v>0</v>
      </c>
      <c r="BF56" s="6">
        <f>SUMPRODUCT((Results!$A$2:$A$5001=Schedule!BF$45)*(Results!$B$2:$B$5001=Schedule!$A56)*(Results!$D$2:$D$5001))</f>
        <v>0</v>
      </c>
      <c r="BG56" s="6">
        <f>SUMPRODUCT((Results!$A$2:$A$5001=Schedule!BG$45)*(Results!$B$2:$B$5001=Schedule!$A56)*(Results!$D$2:$D$5001))</f>
        <v>0</v>
      </c>
      <c r="BH56" s="6">
        <f>SUMPRODUCT((Results!$A$2:$A$5001=Schedule!BH$45)*(Results!$B$2:$B$5001=Schedule!$A56)*(Results!$D$2:$D$5001))</f>
        <v>0</v>
      </c>
      <c r="BI56" s="6">
        <f>SUMPRODUCT((Results!$A$2:$A$5001=Schedule!BI$45)*(Results!$B$2:$B$5001=Schedule!$A56)*(Results!$D$2:$D$5001))</f>
        <v>0</v>
      </c>
      <c r="BJ56" s="6">
        <f>SUMPRODUCT((Results!$A$2:$A$5001=Schedule!BJ$45)*(Results!$B$2:$B$5001=Schedule!$A56)*(Results!$D$2:$D$5001))</f>
        <v>0</v>
      </c>
      <c r="BK56" s="6">
        <f>SUMPRODUCT((Results!$A$2:$A$5001=Schedule!BK$45)*(Results!$B$2:$B$5001=Schedule!$A56)*(Results!$D$2:$D$5001))</f>
        <v>0</v>
      </c>
      <c r="BL56" s="6">
        <f>SUMPRODUCT((Results!$A$2:$A$5001=Schedule!BL$45)*(Results!$B$2:$B$5001=Schedule!$A56)*(Results!$D$2:$D$5001))</f>
        <v>0</v>
      </c>
      <c r="BM56" s="6">
        <f>SUMPRODUCT((Results!$A$2:$A$5001=Schedule!BM$45)*(Results!$B$2:$B$5001=Schedule!$A56)*(Results!$D$2:$D$5001))</f>
        <v>0</v>
      </c>
      <c r="BN56" s="6">
        <f>SUMPRODUCT((Results!$A$2:$A$5001=Schedule!BN$45)*(Results!$B$2:$B$5001=Schedule!$A56)*(Results!$D$2:$D$5001))</f>
        <v>0</v>
      </c>
      <c r="BO56" s="6">
        <f>SUMPRODUCT((Results!$A$2:$A$5001=Schedule!BO$45)*(Results!$B$2:$B$5001=Schedule!$A56)*(Results!$D$2:$D$5001))</f>
        <v>0</v>
      </c>
      <c r="BP56" s="6">
        <f>SUMPRODUCT((Results!$A$2:$A$5001=Schedule!BP$45)*(Results!$B$2:$B$5001=Schedule!$A56)*(Results!$D$2:$D$5001))</f>
        <v>0</v>
      </c>
      <c r="BQ56" s="6">
        <f>SUMPRODUCT((Results!$A$2:$A$5001=Schedule!BQ$45)*(Results!$B$2:$B$5001=Schedule!$A56)*(Results!$D$2:$D$5001))</f>
        <v>0</v>
      </c>
      <c r="BR56" s="6">
        <f>SUMPRODUCT((Results!$A$2:$A$5001=Schedule!BR$45)*(Results!$B$2:$B$5001=Schedule!$A56)*(Results!$D$2:$D$5001))</f>
        <v>0</v>
      </c>
      <c r="BS56" s="6">
        <f>SUMPRODUCT((Results!$A$2:$A$5001=Schedule!BS$45)*(Results!$B$2:$B$5001=Schedule!$A56)*(Results!$D$2:$D$5001))</f>
        <v>0</v>
      </c>
      <c r="BT56" s="6">
        <f>SUMPRODUCT((Results!$A$2:$A$5001=Schedule!BT$45)*(Results!$B$2:$B$5001=Schedule!$A56)*(Results!$D$2:$D$5001))</f>
        <v>0</v>
      </c>
      <c r="BU56" s="6">
        <f>SUMPRODUCT((Results!$A$2:$A$5001=Schedule!BU$45)*(Results!$B$2:$B$5001=Schedule!$A56)*(Results!$D$2:$D$5001))</f>
        <v>0</v>
      </c>
      <c r="BV56" s="6">
        <f>SUMPRODUCT((Results!$A$2:$A$5001=Schedule!BV$45)*(Results!$B$2:$B$5001=Schedule!$A56)*(Results!$D$2:$D$5001))</f>
        <v>0</v>
      </c>
      <c r="BW56" s="6">
        <f>SUMPRODUCT((Results!$A$2:$A$5001=Schedule!BW$45)*(Results!$B$2:$B$5001=Schedule!$A56)*(Results!$D$2:$D$5001))</f>
        <v>0</v>
      </c>
      <c r="BX56" s="6">
        <f>SUMPRODUCT((Results!$A$2:$A$5001=Schedule!BX$45)*(Results!$B$2:$B$5001=Schedule!$A56)*(Results!$D$2:$D$5001))</f>
        <v>0</v>
      </c>
      <c r="BY56" s="6">
        <f>SUMPRODUCT((Results!$A$2:$A$5001=Schedule!BY$45)*(Results!$B$2:$B$5001=Schedule!$A56)*(Results!$D$2:$D$5001))</f>
        <v>0</v>
      </c>
      <c r="BZ56" s="6">
        <f>SUMPRODUCT((Results!$A$2:$A$5001=Schedule!BZ$45)*(Results!$B$2:$B$5001=Schedule!$A56)*(Results!$D$2:$D$5001))</f>
        <v>0</v>
      </c>
      <c r="CA56" s="6">
        <f>SUMPRODUCT((Results!$A$2:$A$5001=Schedule!CA$45)*(Results!$B$2:$B$5001=Schedule!$A56)*(Results!$D$2:$D$5001))</f>
        <v>0</v>
      </c>
      <c r="CB56" s="6">
        <f>SUMPRODUCT((Results!$A$2:$A$5001=Schedule!CB$45)*(Results!$B$2:$B$5001=Schedule!$A56)*(Results!$D$2:$D$5001))</f>
        <v>0</v>
      </c>
      <c r="CC56" s="6">
        <f>SUMPRODUCT((Results!$A$2:$A$5001=Schedule!CC$45)*(Results!$B$2:$B$5001=Schedule!$A56)*(Results!$D$2:$D$5001))</f>
        <v>0</v>
      </c>
      <c r="CD56" s="6">
        <f>SUMPRODUCT((Results!$A$2:$A$5001=Schedule!CD$45)*(Results!$B$2:$B$5001=Schedule!$A56)*(Results!$D$2:$D$5001))</f>
        <v>0</v>
      </c>
      <c r="CE56" s="6">
        <f>SUMPRODUCT((Results!$A$2:$A$5001=Schedule!CE$45)*(Results!$B$2:$B$5001=Schedule!$A56)*(Results!$D$2:$D$5001))</f>
        <v>0</v>
      </c>
      <c r="CF56" s="6">
        <f>SUMPRODUCT((Results!$A$2:$A$5001=Schedule!CF$45)*(Results!$B$2:$B$5001=Schedule!$A56)*(Results!$D$2:$D$5001))</f>
        <v>0</v>
      </c>
      <c r="CG56" s="6">
        <f>SUMPRODUCT((Results!$A$2:$A$5001=Schedule!CG$45)*(Results!$B$2:$B$5001=Schedule!$A56)*(Results!$D$2:$D$5001))</f>
        <v>0</v>
      </c>
      <c r="CH56" s="6">
        <f>SUMPRODUCT((Results!$A$2:$A$5001=Schedule!CH$45)*(Results!$B$2:$B$5001=Schedule!$A56)*(Results!$D$2:$D$5001))</f>
        <v>0</v>
      </c>
      <c r="CI56" s="6">
        <f>SUMPRODUCT((Results!$A$2:$A$5001=Schedule!CI$45)*(Results!$B$2:$B$5001=Schedule!$A56)*(Results!$D$2:$D$5001))</f>
        <v>0</v>
      </c>
      <c r="CJ56" s="6">
        <f>SUMPRODUCT((Results!$A$2:$A$5001=Schedule!CJ$45)*(Results!$B$2:$B$5001=Schedule!$A56)*(Results!$D$2:$D$5001))</f>
        <v>0</v>
      </c>
      <c r="CK56" s="6">
        <f>SUMPRODUCT((Results!$A$2:$A$5001=Schedule!CK$45)*(Results!$B$2:$B$5001=Schedule!$A56)*(Results!$D$2:$D$5001))</f>
        <v>0</v>
      </c>
      <c r="CL56" s="6">
        <f>SUMPRODUCT((Results!$A$2:$A$5001=Schedule!CL$45)*(Results!$B$2:$B$5001=Schedule!$A56)*(Results!$D$2:$D$5001))</f>
        <v>0</v>
      </c>
      <c r="CM56" s="6">
        <f>SUMPRODUCT((Results!$A$2:$A$5001=Schedule!CM$45)*(Results!$B$2:$B$5001=Schedule!$A56)*(Results!$D$2:$D$5001))</f>
        <v>0</v>
      </c>
      <c r="CN56" s="6">
        <f>SUMPRODUCT((Results!$A$2:$A$5001=Schedule!CN$45)*(Results!$B$2:$B$5001=Schedule!$A56)*(Results!$D$2:$D$5001))</f>
        <v>0</v>
      </c>
      <c r="CO56" s="6">
        <f>SUMPRODUCT((Results!$A$2:$A$5001=Schedule!CO$45)*(Results!$B$2:$B$5001=Schedule!$A56)*(Results!$D$2:$D$5001))</f>
        <v>0</v>
      </c>
      <c r="CP56" s="6">
        <f>SUMPRODUCT((Results!$A$2:$A$5001=Schedule!CP$45)*(Results!$B$2:$B$5001=Schedule!$A56)*(Results!$D$2:$D$5001))</f>
        <v>0</v>
      </c>
      <c r="CQ56" s="6">
        <f>SUMPRODUCT((Results!$A$2:$A$5001=Schedule!CQ$45)*(Results!$B$2:$B$5001=Schedule!$A56)*(Results!$D$2:$D$5001))</f>
        <v>0</v>
      </c>
      <c r="CR56" s="6">
        <f>SUMPRODUCT((Results!$A$2:$A$5001=Schedule!CR$45)*(Results!$B$2:$B$5001=Schedule!$A56)*(Results!$D$2:$D$5001))</f>
        <v>0</v>
      </c>
      <c r="CS56" s="6">
        <f>SUMPRODUCT((Results!$A$2:$A$5001=Schedule!CS$45)*(Results!$B$2:$B$5001=Schedule!$A56)*(Results!$D$2:$D$5001))</f>
        <v>0</v>
      </c>
      <c r="CT56" s="6">
        <f>SUMPRODUCT((Results!$A$2:$A$5001=Schedule!CT$45)*(Results!$B$2:$B$5001=Schedule!$A56)*(Results!$D$2:$D$5001))</f>
        <v>0</v>
      </c>
      <c r="CU56" s="6">
        <f>SUMPRODUCT((Results!$A$2:$A$5001=Schedule!CU$45)*(Results!$B$2:$B$5001=Schedule!$A56)*(Results!$D$2:$D$5001))</f>
        <v>0</v>
      </c>
      <c r="CV56" s="6">
        <f>SUMPRODUCT((Results!$A$2:$A$5001=Schedule!CV$45)*(Results!$B$2:$B$5001=Schedule!$A56)*(Results!$D$2:$D$5001))</f>
        <v>0</v>
      </c>
      <c r="CW56" s="6">
        <f>SUMPRODUCT((Results!$A$2:$A$5001=Schedule!CW$45)*(Results!$B$2:$B$5001=Schedule!$A56)*(Results!$D$2:$D$5001))</f>
        <v>0</v>
      </c>
      <c r="CX56" s="6">
        <f>SUMPRODUCT((Results!$A$2:$A$5001=Schedule!CX$45)*(Results!$B$2:$B$5001=Schedule!$A56)*(Results!$D$2:$D$5001))</f>
        <v>0</v>
      </c>
      <c r="CY56" s="6">
        <f>SUMPRODUCT((Results!$A$2:$A$5001=Schedule!CY$45)*(Results!$B$2:$B$5001=Schedule!$A56)*(Results!$D$2:$D$5001))</f>
        <v>0</v>
      </c>
      <c r="CZ56" s="6">
        <f>SUMPRODUCT((Results!$A$2:$A$5001=Schedule!CZ$45)*(Results!$B$2:$B$5001=Schedule!$A56)*(Results!$D$2:$D$5001))</f>
        <v>0</v>
      </c>
      <c r="DA56" s="6">
        <f>SUMPRODUCT((Results!$A$2:$A$5001=Schedule!DA$45)*(Results!$B$2:$B$5001=Schedule!$A56)*(Results!$D$2:$D$5001))</f>
        <v>0</v>
      </c>
      <c r="DB56" s="6">
        <f>SUMPRODUCT((Results!$A$2:$A$5001=Schedule!DB$45)*(Results!$B$2:$B$5001=Schedule!$A56)*(Results!$D$2:$D$5001))</f>
        <v>0</v>
      </c>
      <c r="DC56" s="6">
        <f>SUMPRODUCT((Results!$A$2:$A$5001=Schedule!DC$45)*(Results!$B$2:$B$5001=Schedule!$A56)*(Results!$D$2:$D$5001))</f>
        <v>0</v>
      </c>
      <c r="DD56" s="6">
        <f>SUMPRODUCT((Results!$A$2:$A$5001=Schedule!DD$45)*(Results!$B$2:$B$5001=Schedule!$A56)*(Results!$D$2:$D$5001))</f>
        <v>0</v>
      </c>
      <c r="DE56" s="6">
        <f>SUMPRODUCT((Results!$A$2:$A$5001=Schedule!DE$45)*(Results!$B$2:$B$5001=Schedule!$A56)*(Results!$D$2:$D$5001))</f>
        <v>0</v>
      </c>
      <c r="DF56" s="6">
        <f>SUMPRODUCT((Results!$A$2:$A$5001=Schedule!DF$45)*(Results!$B$2:$B$5001=Schedule!$A56)*(Results!$D$2:$D$5001))</f>
        <v>0</v>
      </c>
      <c r="DG56" s="6">
        <f>SUMPRODUCT((Results!$A$2:$A$5001=Schedule!DG$45)*(Results!$B$2:$B$5001=Schedule!$A56)*(Results!$D$2:$D$5001))</f>
        <v>0</v>
      </c>
      <c r="DH56" s="6">
        <f>SUMPRODUCT((Results!$A$2:$A$5001=Schedule!DH$45)*(Results!$B$2:$B$5001=Schedule!$A56)*(Results!$D$2:$D$5001))</f>
        <v>0</v>
      </c>
      <c r="DI56" s="6">
        <f>SUMPRODUCT((Results!$A$2:$A$5001=Schedule!DI$45)*(Results!$B$2:$B$5001=Schedule!$A56)*(Results!$D$2:$D$5001))</f>
        <v>0</v>
      </c>
      <c r="DJ56" s="6">
        <f>SUMPRODUCT((Results!$A$2:$A$5001=Schedule!DJ$45)*(Results!$B$2:$B$5001=Schedule!$A56)*(Results!$D$2:$D$5001))</f>
        <v>0</v>
      </c>
      <c r="DK56" s="6">
        <f>SUMPRODUCT((Results!$A$2:$A$5001=Schedule!DK$45)*(Results!$B$2:$B$5001=Schedule!$A56)*(Results!$D$2:$D$5001))</f>
        <v>0</v>
      </c>
      <c r="DL56" s="6">
        <f>SUMPRODUCT((Results!$A$2:$A$5001=Schedule!DL$45)*(Results!$B$2:$B$5001=Schedule!$A56)*(Results!$D$2:$D$5001))</f>
        <v>0</v>
      </c>
      <c r="DM56" s="6">
        <f>SUMPRODUCT((Results!$A$2:$A$5001=Schedule!DM$45)*(Results!$B$2:$B$5001=Schedule!$A56)*(Results!$D$2:$D$5001))</f>
        <v>0</v>
      </c>
      <c r="DN56" s="6">
        <f>SUMPRODUCT((Results!$A$2:$A$5001=Schedule!DN$45)*(Results!$B$2:$B$5001=Schedule!$A56)*(Results!$D$2:$D$5001))</f>
        <v>0</v>
      </c>
      <c r="DO56" s="6">
        <f>SUMPRODUCT((Results!$A$2:$A$5001=Schedule!DO$45)*(Results!$B$2:$B$5001=Schedule!$A56)*(Results!$D$2:$D$5001))</f>
        <v>0</v>
      </c>
      <c r="DP56" s="6">
        <f>SUMPRODUCT((Results!$A$2:$A$5001=Schedule!DP$45)*(Results!$B$2:$B$5001=Schedule!$A56)*(Results!$D$2:$D$5001))</f>
        <v>0</v>
      </c>
      <c r="DQ56" s="6">
        <f>SUMPRODUCT((Results!$A$2:$A$5001=Schedule!DQ$45)*(Results!$B$2:$B$5001=Schedule!$A56)*(Results!$D$2:$D$5001))</f>
        <v>0</v>
      </c>
      <c r="DR56" s="6">
        <f>SUMPRODUCT((Results!$A$2:$A$5001=Schedule!DR$45)*(Results!$B$2:$B$5001=Schedule!$A56)*(Results!$D$2:$D$5001))</f>
        <v>0</v>
      </c>
      <c r="DS56" s="6">
        <f>SUMPRODUCT((Results!$A$2:$A$5001=Schedule!DS$45)*(Results!$B$2:$B$5001=Schedule!$A56)*(Results!$D$2:$D$5001))</f>
        <v>0</v>
      </c>
      <c r="DT56" s="6">
        <f>SUMPRODUCT((Results!$A$2:$A$5001=Schedule!DT$45)*(Results!$B$2:$B$5001=Schedule!$A56)*(Results!$D$2:$D$5001))</f>
        <v>0</v>
      </c>
      <c r="DU56" s="6">
        <f>SUMPRODUCT((Results!$A$2:$A$5001=Schedule!DU$45)*(Results!$B$2:$B$5001=Schedule!$A56)*(Results!$D$2:$D$5001))</f>
        <v>0</v>
      </c>
      <c r="DV56" s="6">
        <f>SUMPRODUCT((Results!$A$2:$A$5001=Schedule!DV$45)*(Results!$B$2:$B$5001=Schedule!$A56)*(Results!$D$2:$D$5001))</f>
        <v>0</v>
      </c>
      <c r="DW56" s="6">
        <f>SUMPRODUCT((Results!$A$2:$A$5001=Schedule!DW$45)*(Results!$B$2:$B$5001=Schedule!$A56)*(Results!$D$2:$D$5001))</f>
        <v>0</v>
      </c>
      <c r="DX56" s="6">
        <f>SUMPRODUCT((Results!$A$2:$A$5001=Schedule!DX$45)*(Results!$B$2:$B$5001=Schedule!$A56)*(Results!$D$2:$D$5001))</f>
        <v>0</v>
      </c>
      <c r="DY56" s="6">
        <f>SUMPRODUCT((Results!$A$2:$A$5001=Schedule!DY$45)*(Results!$B$2:$B$5001=Schedule!$A56)*(Results!$D$2:$D$5001))</f>
        <v>0</v>
      </c>
      <c r="DZ56" s="6">
        <f>SUMPRODUCT((Results!$A$2:$A$5001=Schedule!DZ$45)*(Results!$B$2:$B$5001=Schedule!$A56)*(Results!$D$2:$D$5001))</f>
        <v>0</v>
      </c>
      <c r="EA56" s="6">
        <f>SUMPRODUCT((Results!$A$2:$A$5001=Schedule!EA$45)*(Results!$B$2:$B$5001=Schedule!$A56)*(Results!$D$2:$D$5001))</f>
        <v>0</v>
      </c>
      <c r="EB56" s="6">
        <f>SUMPRODUCT((Results!$A$2:$A$5001=Schedule!EB$45)*(Results!$B$2:$B$5001=Schedule!$A56)*(Results!$D$2:$D$5001))</f>
        <v>0</v>
      </c>
      <c r="EC56" s="6">
        <f>SUMPRODUCT((Results!$A$2:$A$5001=Schedule!EC$45)*(Results!$B$2:$B$5001=Schedule!$A56)*(Results!$D$2:$D$5001))</f>
        <v>0</v>
      </c>
      <c r="ED56" s="6">
        <f>SUMPRODUCT((Results!$A$2:$A$5001=Schedule!ED$45)*(Results!$B$2:$B$5001=Schedule!$A56)*(Results!$D$2:$D$5001))</f>
        <v>0</v>
      </c>
      <c r="EE56" s="6">
        <f>SUMPRODUCT((Results!$A$2:$A$5001=Schedule!EE$45)*(Results!$B$2:$B$5001=Schedule!$A56)*(Results!$D$2:$D$5001))</f>
        <v>0</v>
      </c>
      <c r="EF56" s="6">
        <f>SUMPRODUCT((Results!$A$2:$A$5001=Schedule!EF$45)*(Results!$B$2:$B$5001=Schedule!$A56)*(Results!$D$2:$D$5001))</f>
        <v>0</v>
      </c>
      <c r="EG56" s="6">
        <f>SUMPRODUCT((Results!$A$2:$A$5001=Schedule!EG$45)*(Results!$B$2:$B$5001=Schedule!$A56)*(Results!$D$2:$D$5001))</f>
        <v>0</v>
      </c>
      <c r="EH56" s="6">
        <f>SUMPRODUCT((Results!$A$2:$A$5001=Schedule!EH$45)*(Results!$B$2:$B$5001=Schedule!$A56)*(Results!$D$2:$D$5001))</f>
        <v>0</v>
      </c>
      <c r="EI56" s="6">
        <f>SUMPRODUCT((Results!$A$2:$A$5001=Schedule!EI$45)*(Results!$B$2:$B$5001=Schedule!$A56)*(Results!$D$2:$D$5001))</f>
        <v>0</v>
      </c>
      <c r="EJ56" s="6">
        <f>SUMPRODUCT((Results!$A$2:$A$5001=Schedule!EJ$45)*(Results!$B$2:$B$5001=Schedule!$A56)*(Results!$D$2:$D$5001))</f>
        <v>0</v>
      </c>
      <c r="EK56" s="6">
        <f>SUMPRODUCT((Results!$A$2:$A$5001=Schedule!EK$45)*(Results!$B$2:$B$5001=Schedule!$A56)*(Results!$D$2:$D$5001))</f>
        <v>0</v>
      </c>
      <c r="EL56" s="6">
        <f>SUMPRODUCT((Results!$A$2:$A$5001=Schedule!EL$45)*(Results!$B$2:$B$5001=Schedule!$A56)*(Results!$D$2:$D$5001))</f>
        <v>0</v>
      </c>
      <c r="EM56" s="6">
        <f>SUMPRODUCT((Results!$A$2:$A$5001=Schedule!EM$45)*(Results!$B$2:$B$5001=Schedule!$A56)*(Results!$D$2:$D$5001))</f>
        <v>0</v>
      </c>
      <c r="EN56" s="6">
        <f>SUMPRODUCT((Results!$A$2:$A$5001=Schedule!EN$45)*(Results!$B$2:$B$5001=Schedule!$A56)*(Results!$D$2:$D$5001))</f>
        <v>0</v>
      </c>
      <c r="EO56" s="6">
        <f>SUMPRODUCT((Results!$A$2:$A$5001=Schedule!EO$45)*(Results!$B$2:$B$5001=Schedule!$A56)*(Results!$D$2:$D$5001))</f>
        <v>0</v>
      </c>
      <c r="EP56" s="6">
        <f>SUMPRODUCT((Results!$A$2:$A$5001=Schedule!EP$45)*(Results!$B$2:$B$5001=Schedule!$A56)*(Results!$D$2:$D$5001))</f>
        <v>0</v>
      </c>
      <c r="EQ56" s="6">
        <f>SUMPRODUCT((Results!$A$2:$A$5001=Schedule!EQ$45)*(Results!$B$2:$B$5001=Schedule!$A56)*(Results!$D$2:$D$5001))</f>
        <v>0</v>
      </c>
      <c r="ER56" s="6">
        <f>SUMPRODUCT((Results!$A$2:$A$5001=Schedule!ER$45)*(Results!$B$2:$B$5001=Schedule!$A56)*(Results!$D$2:$D$5001))</f>
        <v>0</v>
      </c>
      <c r="ES56" s="6">
        <f>SUMPRODUCT((Results!$A$2:$A$5001=Schedule!ES$45)*(Results!$B$2:$B$5001=Schedule!$A56)*(Results!$D$2:$D$5001))</f>
        <v>0</v>
      </c>
      <c r="ET56" s="6">
        <f>SUMPRODUCT((Results!$A$2:$A$5001=Schedule!ET$45)*(Results!$B$2:$B$5001=Schedule!$A56)*(Results!$D$2:$D$5001))</f>
        <v>0</v>
      </c>
      <c r="EU56" s="6">
        <f>SUMPRODUCT((Results!$A$2:$A$5001=Schedule!EU$45)*(Results!$B$2:$B$5001=Schedule!$A56)*(Results!$D$2:$D$5001))</f>
        <v>0</v>
      </c>
      <c r="EV56" s="6">
        <f>SUMPRODUCT((Results!$A$2:$A$5001=Schedule!EV$45)*(Results!$B$2:$B$5001=Schedule!$A56)*(Results!$D$2:$D$5001))</f>
        <v>0</v>
      </c>
      <c r="EW56" s="6">
        <f>SUMPRODUCT((Results!$A$2:$A$5001=Schedule!EW$45)*(Results!$B$2:$B$5001=Schedule!$A56)*(Results!$D$2:$D$5001))</f>
        <v>0</v>
      </c>
      <c r="EX56" s="6">
        <f>SUMPRODUCT((Results!$A$2:$A$5001=Schedule!EX$45)*(Results!$B$2:$B$5001=Schedule!$A56)*(Results!$D$2:$D$5001))</f>
        <v>0</v>
      </c>
      <c r="EY56" s="6">
        <f>SUMPRODUCT((Results!$A$2:$A$5001=Schedule!EY$45)*(Results!$B$2:$B$5001=Schedule!$A56)*(Results!$D$2:$D$5001))</f>
        <v>0</v>
      </c>
      <c r="EZ56" s="6">
        <f>SUMPRODUCT((Results!$A$2:$A$5001=Schedule!EZ$45)*(Results!$B$2:$B$5001=Schedule!$A56)*(Results!$D$2:$D$5001))</f>
        <v>0</v>
      </c>
      <c r="FA56" s="6">
        <f>SUMPRODUCT((Results!$A$2:$A$5001=Schedule!FA$45)*(Results!$B$2:$B$5001=Schedule!$A56)*(Results!$D$2:$D$5001))</f>
        <v>0</v>
      </c>
      <c r="FB56" s="6">
        <f>SUMPRODUCT((Results!$A$2:$A$5001=Schedule!FB$45)*(Results!$B$2:$B$5001=Schedule!$A56)*(Results!$D$2:$D$5001))</f>
        <v>0</v>
      </c>
      <c r="FC56" s="6">
        <f>SUMPRODUCT((Results!$A$2:$A$5001=Schedule!FC$45)*(Results!$B$2:$B$5001=Schedule!$A56)*(Results!$D$2:$D$5001))</f>
        <v>0</v>
      </c>
      <c r="FD56" s="6">
        <f>SUMPRODUCT((Results!$A$2:$A$5001=Schedule!FD$45)*(Results!$B$2:$B$5001=Schedule!$A56)*(Results!$D$2:$D$5001))</f>
        <v>0</v>
      </c>
      <c r="FE56" s="6">
        <f>SUMPRODUCT((Results!$A$2:$A$5001=Schedule!FE$45)*(Results!$B$2:$B$5001=Schedule!$A56)*(Results!$D$2:$D$5001))</f>
        <v>0</v>
      </c>
      <c r="FF56" s="6">
        <f>SUMPRODUCT((Results!$A$2:$A$5001=Schedule!FF$45)*(Results!$B$2:$B$5001=Schedule!$A56)*(Results!$D$2:$D$5001))</f>
        <v>0</v>
      </c>
      <c r="FG56" s="6">
        <f>SUMPRODUCT((Results!$A$2:$A$5001=Schedule!FG$45)*(Results!$B$2:$B$5001=Schedule!$A56)*(Results!$D$2:$D$5001))</f>
        <v>0</v>
      </c>
      <c r="FH56" s="6">
        <f>SUMPRODUCT((Results!$A$2:$A$5001=Schedule!FH$45)*(Results!$B$2:$B$5001=Schedule!$A56)*(Results!$D$2:$D$5001))</f>
        <v>0</v>
      </c>
      <c r="FI56" s="6">
        <f>SUMPRODUCT((Results!$A$2:$A$5001=Schedule!FI$45)*(Results!$B$2:$B$5001=Schedule!$A56)*(Results!$D$2:$D$5001))</f>
        <v>0</v>
      </c>
      <c r="FJ56" s="6">
        <f>SUMPRODUCT((Results!$A$2:$A$5001=Schedule!FJ$45)*(Results!$B$2:$B$5001=Schedule!$A56)*(Results!$D$2:$D$5001))</f>
        <v>0</v>
      </c>
      <c r="FK56" s="6">
        <f>SUMPRODUCT((Results!$A$2:$A$5001=Schedule!FK$45)*(Results!$B$2:$B$5001=Schedule!$A56)*(Results!$D$2:$D$5001))</f>
        <v>0</v>
      </c>
      <c r="FL56" s="6">
        <f>SUMPRODUCT((Results!$A$2:$A$5001=Schedule!FL$45)*(Results!$B$2:$B$5001=Schedule!$A56)*(Results!$D$2:$D$5001))</f>
        <v>0</v>
      </c>
      <c r="FM56" s="6">
        <f>SUMPRODUCT((Results!$A$2:$A$5001=Schedule!FM$45)*(Results!$B$2:$B$5001=Schedule!$A56)*(Results!$D$2:$D$5001))</f>
        <v>0</v>
      </c>
      <c r="FN56" s="6">
        <f>SUMPRODUCT((Results!$A$2:$A$5001=Schedule!FN$45)*(Results!$B$2:$B$5001=Schedule!$A56)*(Results!$D$2:$D$5001))</f>
        <v>0</v>
      </c>
      <c r="FO56" s="6">
        <f>SUMPRODUCT((Results!$A$2:$A$5001=Schedule!FO$45)*(Results!$B$2:$B$5001=Schedule!$A56)*(Results!$D$2:$D$5001))</f>
        <v>0</v>
      </c>
      <c r="FP56" s="6">
        <f>SUMPRODUCT((Results!$A$2:$A$5001=Schedule!FP$45)*(Results!$B$2:$B$5001=Schedule!$A56)*(Results!$D$2:$D$5001))</f>
        <v>0</v>
      </c>
      <c r="FQ56" s="6">
        <f>SUMPRODUCT((Results!$A$2:$A$5001=Schedule!FQ$45)*(Results!$B$2:$B$5001=Schedule!$A56)*(Results!$D$2:$D$5001))</f>
        <v>0</v>
      </c>
      <c r="FR56" s="6">
        <f>SUMPRODUCT((Results!$A$2:$A$5001=Schedule!FR$45)*(Results!$B$2:$B$5001=Schedule!$A56)*(Results!$D$2:$D$5001))</f>
        <v>0</v>
      </c>
      <c r="FS56" s="6">
        <f>SUMPRODUCT((Results!$A$2:$A$5001=Schedule!FS$45)*(Results!$B$2:$B$5001=Schedule!$A56)*(Results!$D$2:$D$5001))</f>
        <v>0</v>
      </c>
      <c r="FT56" s="6">
        <f>SUMPRODUCT((Results!$A$2:$A$5001=Schedule!FT$45)*(Results!$B$2:$B$5001=Schedule!$A56)*(Results!$D$2:$D$5001))</f>
        <v>0</v>
      </c>
      <c r="FU56" s="6">
        <f>SUMPRODUCT((Results!$A$2:$A$5001=Schedule!FU$45)*(Results!$B$2:$B$5001=Schedule!$A56)*(Results!$D$2:$D$5001))</f>
        <v>0</v>
      </c>
      <c r="FV56" s="6">
        <f>SUMPRODUCT((Results!$A$2:$A$5001=Schedule!FV$45)*(Results!$B$2:$B$5001=Schedule!$A56)*(Results!$D$2:$D$5001))</f>
        <v>0</v>
      </c>
      <c r="FW56" s="6">
        <f>SUMPRODUCT((Results!$A$2:$A$5001=Schedule!FW$45)*(Results!$B$2:$B$5001=Schedule!$A56)*(Results!$D$2:$D$5001))</f>
        <v>0</v>
      </c>
      <c r="FX56" s="6">
        <f>SUMPRODUCT((Results!$A$2:$A$5001=Schedule!FX$45)*(Results!$B$2:$B$5001=Schedule!$A56)*(Results!$D$2:$D$5001))</f>
        <v>0</v>
      </c>
      <c r="FY56" s="6">
        <f>SUMPRODUCT((Results!$A$2:$A$5001=Schedule!FY$45)*(Results!$B$2:$B$5001=Schedule!$A56)*(Results!$D$2:$D$5001))</f>
        <v>0</v>
      </c>
      <c r="FZ56" s="6">
        <f>SUMPRODUCT((Results!$A$2:$A$5001=Schedule!FZ$45)*(Results!$B$2:$B$5001=Schedule!$A56)*(Results!$D$2:$D$5001))</f>
        <v>0</v>
      </c>
      <c r="GA56" s="6">
        <f>SUMPRODUCT((Results!$A$2:$A$5001=Schedule!GA$45)*(Results!$B$2:$B$5001=Schedule!$A56)*(Results!$D$2:$D$5001))</f>
        <v>0</v>
      </c>
      <c r="GB56" s="6">
        <f>SUMPRODUCT((Results!$A$2:$A$5001=Schedule!GB$45)*(Results!$B$2:$B$5001=Schedule!$A56)*(Results!$D$2:$D$5001))</f>
        <v>0</v>
      </c>
      <c r="GC56" s="6">
        <f>SUMPRODUCT((Results!$A$2:$A$5001=Schedule!GC$45)*(Results!$B$2:$B$5001=Schedule!$A56)*(Results!$D$2:$D$5001))</f>
        <v>0</v>
      </c>
      <c r="GD56" s="6">
        <f>SUMPRODUCT((Results!$A$2:$A$5001=Schedule!GD$45)*(Results!$B$2:$B$5001=Schedule!$A56)*(Results!$D$2:$D$5001))</f>
        <v>0</v>
      </c>
      <c r="GE56" s="6">
        <f>SUMPRODUCT((Results!$A$2:$A$5001=Schedule!GE$45)*(Results!$B$2:$B$5001=Schedule!$A56)*(Results!$D$2:$D$5001))</f>
        <v>0</v>
      </c>
      <c r="GF56" s="6">
        <f>SUMPRODUCT((Results!$A$2:$A$5001=Schedule!GF$45)*(Results!$B$2:$B$5001=Schedule!$A56)*(Results!$D$2:$D$5001))</f>
        <v>0</v>
      </c>
      <c r="GG56" s="6">
        <f>SUMPRODUCT((Results!$A$2:$A$5001=Schedule!GG$45)*(Results!$B$2:$B$5001=Schedule!$A56)*(Results!$D$2:$D$5001))</f>
        <v>0</v>
      </c>
      <c r="GH56" s="6">
        <f>SUMPRODUCT((Results!$A$2:$A$5001=Schedule!GH$45)*(Results!$B$2:$B$5001=Schedule!$A56)*(Results!$D$2:$D$5001))</f>
        <v>0</v>
      </c>
      <c r="GI56" s="6">
        <f>SUMPRODUCT((Results!$A$2:$A$5001=Schedule!GI$45)*(Results!$B$2:$B$5001=Schedule!$A56)*(Results!$D$2:$D$5001))</f>
        <v>0</v>
      </c>
      <c r="GJ56" s="6">
        <f>SUMPRODUCT((Results!$A$2:$A$5001=Schedule!GJ$45)*(Results!$B$2:$B$5001=Schedule!$A56)*(Results!$D$2:$D$5001))</f>
        <v>0</v>
      </c>
      <c r="GK56" s="6">
        <f>SUMPRODUCT((Results!$A$2:$A$5001=Schedule!GK$45)*(Results!$B$2:$B$5001=Schedule!$A56)*(Results!$D$2:$D$5001))</f>
        <v>0</v>
      </c>
      <c r="GL56" s="6">
        <f>SUMPRODUCT((Results!$A$2:$A$5001=Schedule!GL$45)*(Results!$B$2:$B$5001=Schedule!$A56)*(Results!$D$2:$D$5001))</f>
        <v>0</v>
      </c>
      <c r="GM56" s="6">
        <f>SUMPRODUCT((Results!$A$2:$A$5001=Schedule!GM$45)*(Results!$B$2:$B$5001=Schedule!$A56)*(Results!$D$2:$D$5001))</f>
        <v>0</v>
      </c>
      <c r="GN56" s="6">
        <f>SUMPRODUCT((Results!$A$2:$A$5001=Schedule!GN$45)*(Results!$B$2:$B$5001=Schedule!$A56)*(Results!$D$2:$D$5001))</f>
        <v>0</v>
      </c>
      <c r="GO56" s="6">
        <f>SUMPRODUCT((Results!$A$2:$A$5001=Schedule!GO$45)*(Results!$B$2:$B$5001=Schedule!$A56)*(Results!$D$2:$D$5001))</f>
        <v>0</v>
      </c>
      <c r="GP56" s="6">
        <f>SUMPRODUCT((Results!$A$2:$A$5001=Schedule!GP$45)*(Results!$B$2:$B$5001=Schedule!$A56)*(Results!$D$2:$D$5001))</f>
        <v>0</v>
      </c>
      <c r="GQ56" s="6">
        <f>SUMPRODUCT((Results!$A$2:$A$5001=Schedule!GQ$45)*(Results!$B$2:$B$5001=Schedule!$A56)*(Results!$D$2:$D$5001))</f>
        <v>0</v>
      </c>
      <c r="GR56" s="6">
        <f>SUMPRODUCT((Results!$A$2:$A$5001=Schedule!GR$45)*(Results!$B$2:$B$5001=Schedule!$A56)*(Results!$D$2:$D$5001))</f>
        <v>0</v>
      </c>
      <c r="GS56" s="6">
        <f>SUMPRODUCT((Results!$A$2:$A$5001=Schedule!GS$45)*(Results!$B$2:$B$5001=Schedule!$A56)*(Results!$D$2:$D$5001))</f>
        <v>0</v>
      </c>
      <c r="GT56" s="6">
        <f>SUMPRODUCT((Results!$A$2:$A$5001=Schedule!GT$45)*(Results!$B$2:$B$5001=Schedule!$A56)*(Results!$D$2:$D$5001))</f>
        <v>0</v>
      </c>
      <c r="GU56" s="6">
        <f>SUMPRODUCT((Results!$A$2:$A$5001=Schedule!GU$45)*(Results!$B$2:$B$5001=Schedule!$A56)*(Results!$D$2:$D$5001))</f>
        <v>0</v>
      </c>
    </row>
    <row r="57" spans="1:203" ht="13.5" customHeight="1" x14ac:dyDescent="0.2">
      <c r="A57" s="40">
        <v>12</v>
      </c>
      <c r="B57" s="6">
        <f t="shared" si="17"/>
        <v>19.773899999999998</v>
      </c>
      <c r="C57" s="6">
        <f>SUMPRODUCT((Results!$A$2:$A$5001=Schedule!C$45)*(Results!$B$2:$B$5001=Schedule!$A57)*(Results!$D$2:$D$5001))</f>
        <v>0</v>
      </c>
      <c r="D57" s="6">
        <f>SUMPRODUCT((Results!$A$2:$A$5001=Schedule!D$45)*(Results!$B$2:$B$5001=Schedule!$A57)*(Results!$D$2:$D$5001))</f>
        <v>0</v>
      </c>
      <c r="E57" s="6">
        <f>SUMPRODUCT((Results!$A$2:$A$5001=Schedule!E$45)*(Results!$B$2:$B$5001=Schedule!$A57)*(Results!$D$2:$D$5001))</f>
        <v>0</v>
      </c>
      <c r="F57" s="6">
        <f>SUMPRODUCT((Results!$A$2:$A$5001=Schedule!F$45)*(Results!$B$2:$B$5001=Schedule!$A57)*(Results!$D$2:$D$5001))</f>
        <v>0</v>
      </c>
      <c r="G57" s="6">
        <f>SUMPRODUCT((Results!$A$2:$A$5001=Schedule!G$45)*(Results!$B$2:$B$5001=Schedule!$A57)*(Results!$D$2:$D$5001))</f>
        <v>16.729499999999998</v>
      </c>
      <c r="H57" s="6">
        <f>SUMPRODUCT((Results!$A$2:$A$5001=Schedule!H$45)*(Results!$B$2:$B$5001=Schedule!$A57)*(Results!$D$2:$D$5001))</f>
        <v>3.0444000000000004</v>
      </c>
      <c r="I57" s="6">
        <f>SUMPRODUCT((Results!$A$2:$A$5001=Schedule!I$45)*(Results!$B$2:$B$5001=Schedule!$A57)*(Results!$D$2:$D$5001))</f>
        <v>0</v>
      </c>
      <c r="J57" s="6">
        <f>SUMPRODUCT((Results!$A$2:$A$5001=Schedule!J$45)*(Results!$B$2:$B$5001=Schedule!$A57)*(Results!$D$2:$D$5001))</f>
        <v>0</v>
      </c>
      <c r="K57" s="6">
        <f>SUMPRODUCT((Results!$A$2:$A$5001=Schedule!K$45)*(Results!$B$2:$B$5001=Schedule!$A57)*(Results!$D$2:$D$5001))</f>
        <v>0</v>
      </c>
      <c r="L57" s="6">
        <f>SUMPRODUCT((Results!$A$2:$A$5001=Schedule!L$45)*(Results!$B$2:$B$5001=Schedule!$A57)*(Results!$D$2:$D$5001))</f>
        <v>0</v>
      </c>
      <c r="M57" s="6">
        <f>SUMPRODUCT((Results!$A$2:$A$5001=Schedule!M$45)*(Results!$B$2:$B$5001=Schedule!$A57)*(Results!$D$2:$D$5001))</f>
        <v>0</v>
      </c>
      <c r="N57" s="6">
        <f>SUMPRODUCT((Results!$A$2:$A$5001=Schedule!N$45)*(Results!$B$2:$B$5001=Schedule!$A57)*(Results!$D$2:$D$5001))</f>
        <v>0</v>
      </c>
      <c r="O57" s="6">
        <f>SUMPRODUCT((Results!$A$2:$A$5001=Schedule!O$45)*(Results!$B$2:$B$5001=Schedule!$A57)*(Results!$D$2:$D$5001))</f>
        <v>0</v>
      </c>
      <c r="P57" s="6">
        <f>SUMPRODUCT((Results!$A$2:$A$5001=Schedule!P$45)*(Results!$B$2:$B$5001=Schedule!$A57)*(Results!$D$2:$D$5001))</f>
        <v>0</v>
      </c>
      <c r="Q57" s="6">
        <f>SUMPRODUCT((Results!$A$2:$A$5001=Schedule!Q$45)*(Results!$B$2:$B$5001=Schedule!$A57)*(Results!$D$2:$D$5001))</f>
        <v>0</v>
      </c>
      <c r="R57" s="6">
        <f>SUMPRODUCT((Results!$A$2:$A$5001=Schedule!R$45)*(Results!$B$2:$B$5001=Schedule!$A57)*(Results!$D$2:$D$5001))</f>
        <v>0</v>
      </c>
      <c r="S57" s="6">
        <f>SUMPRODUCT((Results!$A$2:$A$5001=Schedule!S$45)*(Results!$B$2:$B$5001=Schedule!$A57)*(Results!$D$2:$D$5001))</f>
        <v>0</v>
      </c>
      <c r="T57" s="6">
        <f>SUMPRODUCT((Results!$A$2:$A$5001=Schedule!T$45)*(Results!$B$2:$B$5001=Schedule!$A57)*(Results!$D$2:$D$5001))</f>
        <v>0</v>
      </c>
      <c r="U57" s="6">
        <f>SUMPRODUCT((Results!$A$2:$A$5001=Schedule!U$45)*(Results!$B$2:$B$5001=Schedule!$A57)*(Results!$D$2:$D$5001))</f>
        <v>0</v>
      </c>
      <c r="V57" s="6">
        <f>SUMPRODUCT((Results!$A$2:$A$5001=Schedule!V$45)*(Results!$B$2:$B$5001=Schedule!$A57)*(Results!$D$2:$D$5001))</f>
        <v>0</v>
      </c>
      <c r="W57" s="6">
        <f>SUMPRODUCT((Results!$A$2:$A$5001=Schedule!W$45)*(Results!$B$2:$B$5001=Schedule!$A57)*(Results!$D$2:$D$5001))</f>
        <v>0</v>
      </c>
      <c r="X57" s="6">
        <f>SUMPRODUCT((Results!$A$2:$A$5001=Schedule!X$45)*(Results!$B$2:$B$5001=Schedule!$A57)*(Results!$D$2:$D$5001))</f>
        <v>0</v>
      </c>
      <c r="Y57" s="6">
        <f>SUMPRODUCT((Results!$A$2:$A$5001=Schedule!Y$45)*(Results!$B$2:$B$5001=Schedule!$A57)*(Results!$D$2:$D$5001))</f>
        <v>0</v>
      </c>
      <c r="Z57" s="6">
        <f>SUMPRODUCT((Results!$A$2:$A$5001=Schedule!Z$45)*(Results!$B$2:$B$5001=Schedule!$A57)*(Results!$D$2:$D$5001))</f>
        <v>0</v>
      </c>
      <c r="AA57" s="6">
        <f>SUMPRODUCT((Results!$A$2:$A$5001=Schedule!AA$45)*(Results!$B$2:$B$5001=Schedule!$A57)*(Results!$D$2:$D$5001))</f>
        <v>0</v>
      </c>
      <c r="AB57" s="6">
        <f>SUMPRODUCT((Results!$A$2:$A$5001=Schedule!AB$45)*(Results!$B$2:$B$5001=Schedule!$A57)*(Results!$D$2:$D$5001))</f>
        <v>0</v>
      </c>
      <c r="AC57" s="6">
        <f>SUMPRODUCT((Results!$A$2:$A$5001=Schedule!AC$45)*(Results!$B$2:$B$5001=Schedule!$A57)*(Results!$D$2:$D$5001))</f>
        <v>0</v>
      </c>
      <c r="AD57" s="6">
        <f>SUMPRODUCT((Results!$A$2:$A$5001=Schedule!AD$45)*(Results!$B$2:$B$5001=Schedule!$A57)*(Results!$D$2:$D$5001))</f>
        <v>0</v>
      </c>
      <c r="AE57" s="6">
        <f>SUMPRODUCT((Results!$A$2:$A$5001=Schedule!AE$45)*(Results!$B$2:$B$5001=Schedule!$A57)*(Results!$D$2:$D$5001))</f>
        <v>0</v>
      </c>
      <c r="AF57" s="6">
        <f>SUMPRODUCT((Results!$A$2:$A$5001=Schedule!AF$45)*(Results!$B$2:$B$5001=Schedule!$A57)*(Results!$D$2:$D$5001))</f>
        <v>0</v>
      </c>
      <c r="AG57" s="6">
        <f>SUMPRODUCT((Results!$A$2:$A$5001=Schedule!AG$45)*(Results!$B$2:$B$5001=Schedule!$A57)*(Results!$D$2:$D$5001))</f>
        <v>0</v>
      </c>
      <c r="AH57" s="6">
        <f>SUMPRODUCT((Results!$A$2:$A$5001=Schedule!AH$45)*(Results!$B$2:$B$5001=Schedule!$A57)*(Results!$D$2:$D$5001))</f>
        <v>0</v>
      </c>
      <c r="AI57" s="6">
        <f>SUMPRODUCT((Results!$A$2:$A$5001=Schedule!AI$45)*(Results!$B$2:$B$5001=Schedule!$A57)*(Results!$D$2:$D$5001))</f>
        <v>0</v>
      </c>
      <c r="AJ57" s="6">
        <f>SUMPRODUCT((Results!$A$2:$A$5001=Schedule!AJ$45)*(Results!$B$2:$B$5001=Schedule!$A57)*(Results!$D$2:$D$5001))</f>
        <v>0</v>
      </c>
      <c r="AK57" s="6">
        <f>SUMPRODUCT((Results!$A$2:$A$5001=Schedule!AK$45)*(Results!$B$2:$B$5001=Schedule!$A57)*(Results!$D$2:$D$5001))</f>
        <v>0</v>
      </c>
      <c r="AL57" s="6">
        <f>SUMPRODUCT((Results!$A$2:$A$5001=Schedule!AL$45)*(Results!$B$2:$B$5001=Schedule!$A57)*(Results!$D$2:$D$5001))</f>
        <v>0</v>
      </c>
      <c r="AM57" s="6">
        <f>SUMPRODUCT((Results!$A$2:$A$5001=Schedule!AM$45)*(Results!$B$2:$B$5001=Schedule!$A57)*(Results!$D$2:$D$5001))</f>
        <v>0</v>
      </c>
      <c r="AN57" s="6">
        <f>SUMPRODUCT((Results!$A$2:$A$5001=Schedule!AN$45)*(Results!$B$2:$B$5001=Schedule!$A57)*(Results!$D$2:$D$5001))</f>
        <v>0</v>
      </c>
      <c r="AO57" s="6">
        <f>SUMPRODUCT((Results!$A$2:$A$5001=Schedule!AO$45)*(Results!$B$2:$B$5001=Schedule!$A57)*(Results!$D$2:$D$5001))</f>
        <v>0</v>
      </c>
      <c r="AP57" s="6">
        <f>SUMPRODUCT((Results!$A$2:$A$5001=Schedule!AP$45)*(Results!$B$2:$B$5001=Schedule!$A57)*(Results!$D$2:$D$5001))</f>
        <v>0</v>
      </c>
      <c r="AQ57" s="6">
        <f>SUMPRODUCT((Results!$A$2:$A$5001=Schedule!AQ$45)*(Results!$B$2:$B$5001=Schedule!$A57)*(Results!$D$2:$D$5001))</f>
        <v>0</v>
      </c>
      <c r="AR57" s="6">
        <f>SUMPRODUCT((Results!$A$2:$A$5001=Schedule!AR$45)*(Results!$B$2:$B$5001=Schedule!$A57)*(Results!$D$2:$D$5001))</f>
        <v>0</v>
      </c>
      <c r="AS57" s="6">
        <f>SUMPRODUCT((Results!$A$2:$A$5001=Schedule!AS$45)*(Results!$B$2:$B$5001=Schedule!$A57)*(Results!$D$2:$D$5001))</f>
        <v>0</v>
      </c>
      <c r="AT57" s="6">
        <f>SUMPRODUCT((Results!$A$2:$A$5001=Schedule!AT$45)*(Results!$B$2:$B$5001=Schedule!$A57)*(Results!$D$2:$D$5001))</f>
        <v>0</v>
      </c>
      <c r="AU57" s="6">
        <f>SUMPRODUCT((Results!$A$2:$A$5001=Schedule!AU$45)*(Results!$B$2:$B$5001=Schedule!$A57)*(Results!$D$2:$D$5001))</f>
        <v>0</v>
      </c>
      <c r="AV57" s="6">
        <f>SUMPRODUCT((Results!$A$2:$A$5001=Schedule!AV$45)*(Results!$B$2:$B$5001=Schedule!$A57)*(Results!$D$2:$D$5001))</f>
        <v>0</v>
      </c>
      <c r="AW57" s="6">
        <f>SUMPRODUCT((Results!$A$2:$A$5001=Schedule!AW$45)*(Results!$B$2:$B$5001=Schedule!$A57)*(Results!$D$2:$D$5001))</f>
        <v>0</v>
      </c>
      <c r="AX57" s="6">
        <f>SUMPRODUCT((Results!$A$2:$A$5001=Schedule!AX$45)*(Results!$B$2:$B$5001=Schedule!$A57)*(Results!$D$2:$D$5001))</f>
        <v>0</v>
      </c>
      <c r="AY57" s="6">
        <f>SUMPRODUCT((Results!$A$2:$A$5001=Schedule!AY$45)*(Results!$B$2:$B$5001=Schedule!$A57)*(Results!$D$2:$D$5001))</f>
        <v>0</v>
      </c>
      <c r="AZ57" s="6">
        <f>SUMPRODUCT((Results!$A$2:$A$5001=Schedule!AZ$45)*(Results!$B$2:$B$5001=Schedule!$A57)*(Results!$D$2:$D$5001))</f>
        <v>0</v>
      </c>
      <c r="BA57" s="6">
        <f>SUMPRODUCT((Results!$A$2:$A$5001=Schedule!BA$45)*(Results!$B$2:$B$5001=Schedule!$A57)*(Results!$D$2:$D$5001))</f>
        <v>0</v>
      </c>
      <c r="BB57" s="6">
        <f>SUMPRODUCT((Results!$A$2:$A$5001=Schedule!BB$45)*(Results!$B$2:$B$5001=Schedule!$A57)*(Results!$D$2:$D$5001))</f>
        <v>0</v>
      </c>
      <c r="BC57" s="6">
        <f>SUMPRODUCT((Results!$A$2:$A$5001=Schedule!BC$45)*(Results!$B$2:$B$5001=Schedule!$A57)*(Results!$D$2:$D$5001))</f>
        <v>0</v>
      </c>
      <c r="BD57" s="6">
        <f>SUMPRODUCT((Results!$A$2:$A$5001=Schedule!BD$45)*(Results!$B$2:$B$5001=Schedule!$A57)*(Results!$D$2:$D$5001))</f>
        <v>0</v>
      </c>
      <c r="BE57" s="6">
        <f>SUMPRODUCT((Results!$A$2:$A$5001=Schedule!BE$45)*(Results!$B$2:$B$5001=Schedule!$A57)*(Results!$D$2:$D$5001))</f>
        <v>0</v>
      </c>
      <c r="BF57" s="6">
        <f>SUMPRODUCT((Results!$A$2:$A$5001=Schedule!BF$45)*(Results!$B$2:$B$5001=Schedule!$A57)*(Results!$D$2:$D$5001))</f>
        <v>0</v>
      </c>
      <c r="BG57" s="6">
        <f>SUMPRODUCT((Results!$A$2:$A$5001=Schedule!BG$45)*(Results!$B$2:$B$5001=Schedule!$A57)*(Results!$D$2:$D$5001))</f>
        <v>0</v>
      </c>
      <c r="BH57" s="6">
        <f>SUMPRODUCT((Results!$A$2:$A$5001=Schedule!BH$45)*(Results!$B$2:$B$5001=Schedule!$A57)*(Results!$D$2:$D$5001))</f>
        <v>0</v>
      </c>
      <c r="BI57" s="6">
        <f>SUMPRODUCT((Results!$A$2:$A$5001=Schedule!BI$45)*(Results!$B$2:$B$5001=Schedule!$A57)*(Results!$D$2:$D$5001))</f>
        <v>0</v>
      </c>
      <c r="BJ57" s="6">
        <f>SUMPRODUCT((Results!$A$2:$A$5001=Schedule!BJ$45)*(Results!$B$2:$B$5001=Schedule!$A57)*(Results!$D$2:$D$5001))</f>
        <v>0</v>
      </c>
      <c r="BK57" s="6">
        <f>SUMPRODUCT((Results!$A$2:$A$5001=Schedule!BK$45)*(Results!$B$2:$B$5001=Schedule!$A57)*(Results!$D$2:$D$5001))</f>
        <v>0</v>
      </c>
      <c r="BL57" s="6">
        <f>SUMPRODUCT((Results!$A$2:$A$5001=Schedule!BL$45)*(Results!$B$2:$B$5001=Schedule!$A57)*(Results!$D$2:$D$5001))</f>
        <v>0</v>
      </c>
      <c r="BM57" s="6">
        <f>SUMPRODUCT((Results!$A$2:$A$5001=Schedule!BM$45)*(Results!$B$2:$B$5001=Schedule!$A57)*(Results!$D$2:$D$5001))</f>
        <v>0</v>
      </c>
      <c r="BN57" s="6">
        <f>SUMPRODUCT((Results!$A$2:$A$5001=Schedule!BN$45)*(Results!$B$2:$B$5001=Schedule!$A57)*(Results!$D$2:$D$5001))</f>
        <v>0</v>
      </c>
      <c r="BO57" s="6">
        <f>SUMPRODUCT((Results!$A$2:$A$5001=Schedule!BO$45)*(Results!$B$2:$B$5001=Schedule!$A57)*(Results!$D$2:$D$5001))</f>
        <v>0</v>
      </c>
      <c r="BP57" s="6">
        <f>SUMPRODUCT((Results!$A$2:$A$5001=Schedule!BP$45)*(Results!$B$2:$B$5001=Schedule!$A57)*(Results!$D$2:$D$5001))</f>
        <v>0</v>
      </c>
      <c r="BQ57" s="6">
        <f>SUMPRODUCT((Results!$A$2:$A$5001=Schedule!BQ$45)*(Results!$B$2:$B$5001=Schedule!$A57)*(Results!$D$2:$D$5001))</f>
        <v>0</v>
      </c>
      <c r="BR57" s="6">
        <f>SUMPRODUCT((Results!$A$2:$A$5001=Schedule!BR$45)*(Results!$B$2:$B$5001=Schedule!$A57)*(Results!$D$2:$D$5001))</f>
        <v>0</v>
      </c>
      <c r="BS57" s="6">
        <f>SUMPRODUCT((Results!$A$2:$A$5001=Schedule!BS$45)*(Results!$B$2:$B$5001=Schedule!$A57)*(Results!$D$2:$D$5001))</f>
        <v>0</v>
      </c>
      <c r="BT57" s="6">
        <f>SUMPRODUCT((Results!$A$2:$A$5001=Schedule!BT$45)*(Results!$B$2:$B$5001=Schedule!$A57)*(Results!$D$2:$D$5001))</f>
        <v>0</v>
      </c>
      <c r="BU57" s="6">
        <f>SUMPRODUCT((Results!$A$2:$A$5001=Schedule!BU$45)*(Results!$B$2:$B$5001=Schedule!$A57)*(Results!$D$2:$D$5001))</f>
        <v>0</v>
      </c>
      <c r="BV57" s="6">
        <f>SUMPRODUCT((Results!$A$2:$A$5001=Schedule!BV$45)*(Results!$B$2:$B$5001=Schedule!$A57)*(Results!$D$2:$D$5001))</f>
        <v>0</v>
      </c>
      <c r="BW57" s="6">
        <f>SUMPRODUCT((Results!$A$2:$A$5001=Schedule!BW$45)*(Results!$B$2:$B$5001=Schedule!$A57)*(Results!$D$2:$D$5001))</f>
        <v>0</v>
      </c>
      <c r="BX57" s="6">
        <f>SUMPRODUCT((Results!$A$2:$A$5001=Schedule!BX$45)*(Results!$B$2:$B$5001=Schedule!$A57)*(Results!$D$2:$D$5001))</f>
        <v>0</v>
      </c>
      <c r="BY57" s="6">
        <f>SUMPRODUCT((Results!$A$2:$A$5001=Schedule!BY$45)*(Results!$B$2:$B$5001=Schedule!$A57)*(Results!$D$2:$D$5001))</f>
        <v>0</v>
      </c>
      <c r="BZ57" s="6">
        <f>SUMPRODUCT((Results!$A$2:$A$5001=Schedule!BZ$45)*(Results!$B$2:$B$5001=Schedule!$A57)*(Results!$D$2:$D$5001))</f>
        <v>0</v>
      </c>
      <c r="CA57" s="6">
        <f>SUMPRODUCT((Results!$A$2:$A$5001=Schedule!CA$45)*(Results!$B$2:$B$5001=Schedule!$A57)*(Results!$D$2:$D$5001))</f>
        <v>0</v>
      </c>
      <c r="CB57" s="6">
        <f>SUMPRODUCT((Results!$A$2:$A$5001=Schedule!CB$45)*(Results!$B$2:$B$5001=Schedule!$A57)*(Results!$D$2:$D$5001))</f>
        <v>0</v>
      </c>
      <c r="CC57" s="6">
        <f>SUMPRODUCT((Results!$A$2:$A$5001=Schedule!CC$45)*(Results!$B$2:$B$5001=Schedule!$A57)*(Results!$D$2:$D$5001))</f>
        <v>0</v>
      </c>
      <c r="CD57" s="6">
        <f>SUMPRODUCT((Results!$A$2:$A$5001=Schedule!CD$45)*(Results!$B$2:$B$5001=Schedule!$A57)*(Results!$D$2:$D$5001))</f>
        <v>0</v>
      </c>
      <c r="CE57" s="6">
        <f>SUMPRODUCT((Results!$A$2:$A$5001=Schedule!CE$45)*(Results!$B$2:$B$5001=Schedule!$A57)*(Results!$D$2:$D$5001))</f>
        <v>0</v>
      </c>
      <c r="CF57" s="6">
        <f>SUMPRODUCT((Results!$A$2:$A$5001=Schedule!CF$45)*(Results!$B$2:$B$5001=Schedule!$A57)*(Results!$D$2:$D$5001))</f>
        <v>0</v>
      </c>
      <c r="CG57" s="6">
        <f>SUMPRODUCT((Results!$A$2:$A$5001=Schedule!CG$45)*(Results!$B$2:$B$5001=Schedule!$A57)*(Results!$D$2:$D$5001))</f>
        <v>0</v>
      </c>
      <c r="CH57" s="6">
        <f>SUMPRODUCT((Results!$A$2:$A$5001=Schedule!CH$45)*(Results!$B$2:$B$5001=Schedule!$A57)*(Results!$D$2:$D$5001))</f>
        <v>0</v>
      </c>
      <c r="CI57" s="6">
        <f>SUMPRODUCT((Results!$A$2:$A$5001=Schedule!CI$45)*(Results!$B$2:$B$5001=Schedule!$A57)*(Results!$D$2:$D$5001))</f>
        <v>0</v>
      </c>
      <c r="CJ57" s="6">
        <f>SUMPRODUCT((Results!$A$2:$A$5001=Schedule!CJ$45)*(Results!$B$2:$B$5001=Schedule!$A57)*(Results!$D$2:$D$5001))</f>
        <v>0</v>
      </c>
      <c r="CK57" s="6">
        <f>SUMPRODUCT((Results!$A$2:$A$5001=Schedule!CK$45)*(Results!$B$2:$B$5001=Schedule!$A57)*(Results!$D$2:$D$5001))</f>
        <v>0</v>
      </c>
      <c r="CL57" s="6">
        <f>SUMPRODUCT((Results!$A$2:$A$5001=Schedule!CL$45)*(Results!$B$2:$B$5001=Schedule!$A57)*(Results!$D$2:$D$5001))</f>
        <v>0</v>
      </c>
      <c r="CM57" s="6">
        <f>SUMPRODUCT((Results!$A$2:$A$5001=Schedule!CM$45)*(Results!$B$2:$B$5001=Schedule!$A57)*(Results!$D$2:$D$5001))</f>
        <v>0</v>
      </c>
      <c r="CN57" s="6">
        <f>SUMPRODUCT((Results!$A$2:$A$5001=Schedule!CN$45)*(Results!$B$2:$B$5001=Schedule!$A57)*(Results!$D$2:$D$5001))</f>
        <v>0</v>
      </c>
      <c r="CO57" s="6">
        <f>SUMPRODUCT((Results!$A$2:$A$5001=Schedule!CO$45)*(Results!$B$2:$B$5001=Schedule!$A57)*(Results!$D$2:$D$5001))</f>
        <v>0</v>
      </c>
      <c r="CP57" s="6">
        <f>SUMPRODUCT((Results!$A$2:$A$5001=Schedule!CP$45)*(Results!$B$2:$B$5001=Schedule!$A57)*(Results!$D$2:$D$5001))</f>
        <v>0</v>
      </c>
      <c r="CQ57" s="6">
        <f>SUMPRODUCT((Results!$A$2:$A$5001=Schedule!CQ$45)*(Results!$B$2:$B$5001=Schedule!$A57)*(Results!$D$2:$D$5001))</f>
        <v>0</v>
      </c>
      <c r="CR57" s="6">
        <f>SUMPRODUCT((Results!$A$2:$A$5001=Schedule!CR$45)*(Results!$B$2:$B$5001=Schedule!$A57)*(Results!$D$2:$D$5001))</f>
        <v>0</v>
      </c>
      <c r="CS57" s="6">
        <f>SUMPRODUCT((Results!$A$2:$A$5001=Schedule!CS$45)*(Results!$B$2:$B$5001=Schedule!$A57)*(Results!$D$2:$D$5001))</f>
        <v>0</v>
      </c>
      <c r="CT57" s="6">
        <f>SUMPRODUCT((Results!$A$2:$A$5001=Schedule!CT$45)*(Results!$B$2:$B$5001=Schedule!$A57)*(Results!$D$2:$D$5001))</f>
        <v>0</v>
      </c>
      <c r="CU57" s="6">
        <f>SUMPRODUCT((Results!$A$2:$A$5001=Schedule!CU$45)*(Results!$B$2:$B$5001=Schedule!$A57)*(Results!$D$2:$D$5001))</f>
        <v>0</v>
      </c>
      <c r="CV57" s="6">
        <f>SUMPRODUCT((Results!$A$2:$A$5001=Schedule!CV$45)*(Results!$B$2:$B$5001=Schedule!$A57)*(Results!$D$2:$D$5001))</f>
        <v>0</v>
      </c>
      <c r="CW57" s="6">
        <f>SUMPRODUCT((Results!$A$2:$A$5001=Schedule!CW$45)*(Results!$B$2:$B$5001=Schedule!$A57)*(Results!$D$2:$D$5001))</f>
        <v>0</v>
      </c>
      <c r="CX57" s="6">
        <f>SUMPRODUCT((Results!$A$2:$A$5001=Schedule!CX$45)*(Results!$B$2:$B$5001=Schedule!$A57)*(Results!$D$2:$D$5001))</f>
        <v>0</v>
      </c>
      <c r="CY57" s="6">
        <f>SUMPRODUCT((Results!$A$2:$A$5001=Schedule!CY$45)*(Results!$B$2:$B$5001=Schedule!$A57)*(Results!$D$2:$D$5001))</f>
        <v>0</v>
      </c>
      <c r="CZ57" s="6">
        <f>SUMPRODUCT((Results!$A$2:$A$5001=Schedule!CZ$45)*(Results!$B$2:$B$5001=Schedule!$A57)*(Results!$D$2:$D$5001))</f>
        <v>0</v>
      </c>
      <c r="DA57" s="6">
        <f>SUMPRODUCT((Results!$A$2:$A$5001=Schedule!DA$45)*(Results!$B$2:$B$5001=Schedule!$A57)*(Results!$D$2:$D$5001))</f>
        <v>0</v>
      </c>
      <c r="DB57" s="6">
        <f>SUMPRODUCT((Results!$A$2:$A$5001=Schedule!DB$45)*(Results!$B$2:$B$5001=Schedule!$A57)*(Results!$D$2:$D$5001))</f>
        <v>0</v>
      </c>
      <c r="DC57" s="6">
        <f>SUMPRODUCT((Results!$A$2:$A$5001=Schedule!DC$45)*(Results!$B$2:$B$5001=Schedule!$A57)*(Results!$D$2:$D$5001))</f>
        <v>0</v>
      </c>
      <c r="DD57" s="6">
        <f>SUMPRODUCT((Results!$A$2:$A$5001=Schedule!DD$45)*(Results!$B$2:$B$5001=Schedule!$A57)*(Results!$D$2:$D$5001))</f>
        <v>0</v>
      </c>
      <c r="DE57" s="6">
        <f>SUMPRODUCT((Results!$A$2:$A$5001=Schedule!DE$45)*(Results!$B$2:$B$5001=Schedule!$A57)*(Results!$D$2:$D$5001))</f>
        <v>0</v>
      </c>
      <c r="DF57" s="6">
        <f>SUMPRODUCT((Results!$A$2:$A$5001=Schedule!DF$45)*(Results!$B$2:$B$5001=Schedule!$A57)*(Results!$D$2:$D$5001))</f>
        <v>0</v>
      </c>
      <c r="DG57" s="6">
        <f>SUMPRODUCT((Results!$A$2:$A$5001=Schedule!DG$45)*(Results!$B$2:$B$5001=Schedule!$A57)*(Results!$D$2:$D$5001))</f>
        <v>0</v>
      </c>
      <c r="DH57" s="6">
        <f>SUMPRODUCT((Results!$A$2:$A$5001=Schedule!DH$45)*(Results!$B$2:$B$5001=Schedule!$A57)*(Results!$D$2:$D$5001))</f>
        <v>0</v>
      </c>
      <c r="DI57" s="6">
        <f>SUMPRODUCT((Results!$A$2:$A$5001=Schedule!DI$45)*(Results!$B$2:$B$5001=Schedule!$A57)*(Results!$D$2:$D$5001))</f>
        <v>0</v>
      </c>
      <c r="DJ57" s="6">
        <f>SUMPRODUCT((Results!$A$2:$A$5001=Schedule!DJ$45)*(Results!$B$2:$B$5001=Schedule!$A57)*(Results!$D$2:$D$5001))</f>
        <v>0</v>
      </c>
      <c r="DK57" s="6">
        <f>SUMPRODUCT((Results!$A$2:$A$5001=Schedule!DK$45)*(Results!$B$2:$B$5001=Schedule!$A57)*(Results!$D$2:$D$5001))</f>
        <v>0</v>
      </c>
      <c r="DL57" s="6">
        <f>SUMPRODUCT((Results!$A$2:$A$5001=Schedule!DL$45)*(Results!$B$2:$B$5001=Schedule!$A57)*(Results!$D$2:$D$5001))</f>
        <v>0</v>
      </c>
      <c r="DM57" s="6">
        <f>SUMPRODUCT((Results!$A$2:$A$5001=Schedule!DM$45)*(Results!$B$2:$B$5001=Schedule!$A57)*(Results!$D$2:$D$5001))</f>
        <v>0</v>
      </c>
      <c r="DN57" s="6">
        <f>SUMPRODUCT((Results!$A$2:$A$5001=Schedule!DN$45)*(Results!$B$2:$B$5001=Schedule!$A57)*(Results!$D$2:$D$5001))</f>
        <v>0</v>
      </c>
      <c r="DO57" s="6">
        <f>SUMPRODUCT((Results!$A$2:$A$5001=Schedule!DO$45)*(Results!$B$2:$B$5001=Schedule!$A57)*(Results!$D$2:$D$5001))</f>
        <v>0</v>
      </c>
      <c r="DP57" s="6">
        <f>SUMPRODUCT((Results!$A$2:$A$5001=Schedule!DP$45)*(Results!$B$2:$B$5001=Schedule!$A57)*(Results!$D$2:$D$5001))</f>
        <v>0</v>
      </c>
      <c r="DQ57" s="6">
        <f>SUMPRODUCT((Results!$A$2:$A$5001=Schedule!DQ$45)*(Results!$B$2:$B$5001=Schedule!$A57)*(Results!$D$2:$D$5001))</f>
        <v>0</v>
      </c>
      <c r="DR57" s="6">
        <f>SUMPRODUCT((Results!$A$2:$A$5001=Schedule!DR$45)*(Results!$B$2:$B$5001=Schedule!$A57)*(Results!$D$2:$D$5001))</f>
        <v>0</v>
      </c>
      <c r="DS57" s="6">
        <f>SUMPRODUCT((Results!$A$2:$A$5001=Schedule!DS$45)*(Results!$B$2:$B$5001=Schedule!$A57)*(Results!$D$2:$D$5001))</f>
        <v>0</v>
      </c>
      <c r="DT57" s="6">
        <f>SUMPRODUCT((Results!$A$2:$A$5001=Schedule!DT$45)*(Results!$B$2:$B$5001=Schedule!$A57)*(Results!$D$2:$D$5001))</f>
        <v>0</v>
      </c>
      <c r="DU57" s="6">
        <f>SUMPRODUCT((Results!$A$2:$A$5001=Schedule!DU$45)*(Results!$B$2:$B$5001=Schedule!$A57)*(Results!$D$2:$D$5001))</f>
        <v>0</v>
      </c>
      <c r="DV57" s="6">
        <f>SUMPRODUCT((Results!$A$2:$A$5001=Schedule!DV$45)*(Results!$B$2:$B$5001=Schedule!$A57)*(Results!$D$2:$D$5001))</f>
        <v>0</v>
      </c>
      <c r="DW57" s="6">
        <f>SUMPRODUCT((Results!$A$2:$A$5001=Schedule!DW$45)*(Results!$B$2:$B$5001=Schedule!$A57)*(Results!$D$2:$D$5001))</f>
        <v>0</v>
      </c>
      <c r="DX57" s="6">
        <f>SUMPRODUCT((Results!$A$2:$A$5001=Schedule!DX$45)*(Results!$B$2:$B$5001=Schedule!$A57)*(Results!$D$2:$D$5001))</f>
        <v>0</v>
      </c>
      <c r="DY57" s="6">
        <f>SUMPRODUCT((Results!$A$2:$A$5001=Schedule!DY$45)*(Results!$B$2:$B$5001=Schedule!$A57)*(Results!$D$2:$D$5001))</f>
        <v>0</v>
      </c>
      <c r="DZ57" s="6">
        <f>SUMPRODUCT((Results!$A$2:$A$5001=Schedule!DZ$45)*(Results!$B$2:$B$5001=Schedule!$A57)*(Results!$D$2:$D$5001))</f>
        <v>0</v>
      </c>
      <c r="EA57" s="6">
        <f>SUMPRODUCT((Results!$A$2:$A$5001=Schedule!EA$45)*(Results!$B$2:$B$5001=Schedule!$A57)*(Results!$D$2:$D$5001))</f>
        <v>0</v>
      </c>
      <c r="EB57" s="6">
        <f>SUMPRODUCT((Results!$A$2:$A$5001=Schedule!EB$45)*(Results!$B$2:$B$5001=Schedule!$A57)*(Results!$D$2:$D$5001))</f>
        <v>0</v>
      </c>
      <c r="EC57" s="6">
        <f>SUMPRODUCT((Results!$A$2:$A$5001=Schedule!EC$45)*(Results!$B$2:$B$5001=Schedule!$A57)*(Results!$D$2:$D$5001))</f>
        <v>0</v>
      </c>
      <c r="ED57" s="6">
        <f>SUMPRODUCT((Results!$A$2:$A$5001=Schedule!ED$45)*(Results!$B$2:$B$5001=Schedule!$A57)*(Results!$D$2:$D$5001))</f>
        <v>0</v>
      </c>
      <c r="EE57" s="6">
        <f>SUMPRODUCT((Results!$A$2:$A$5001=Schedule!EE$45)*(Results!$B$2:$B$5001=Schedule!$A57)*(Results!$D$2:$D$5001))</f>
        <v>0</v>
      </c>
      <c r="EF57" s="6">
        <f>SUMPRODUCT((Results!$A$2:$A$5001=Schedule!EF$45)*(Results!$B$2:$B$5001=Schedule!$A57)*(Results!$D$2:$D$5001))</f>
        <v>0</v>
      </c>
      <c r="EG57" s="6">
        <f>SUMPRODUCT((Results!$A$2:$A$5001=Schedule!EG$45)*(Results!$B$2:$B$5001=Schedule!$A57)*(Results!$D$2:$D$5001))</f>
        <v>0</v>
      </c>
      <c r="EH57" s="6">
        <f>SUMPRODUCT((Results!$A$2:$A$5001=Schedule!EH$45)*(Results!$B$2:$B$5001=Schedule!$A57)*(Results!$D$2:$D$5001))</f>
        <v>0</v>
      </c>
      <c r="EI57" s="6">
        <f>SUMPRODUCT((Results!$A$2:$A$5001=Schedule!EI$45)*(Results!$B$2:$B$5001=Schedule!$A57)*(Results!$D$2:$D$5001))</f>
        <v>0</v>
      </c>
      <c r="EJ57" s="6">
        <f>SUMPRODUCT((Results!$A$2:$A$5001=Schedule!EJ$45)*(Results!$B$2:$B$5001=Schedule!$A57)*(Results!$D$2:$D$5001))</f>
        <v>0</v>
      </c>
      <c r="EK57" s="6">
        <f>SUMPRODUCT((Results!$A$2:$A$5001=Schedule!EK$45)*(Results!$B$2:$B$5001=Schedule!$A57)*(Results!$D$2:$D$5001))</f>
        <v>0</v>
      </c>
      <c r="EL57" s="6">
        <f>SUMPRODUCT((Results!$A$2:$A$5001=Schedule!EL$45)*(Results!$B$2:$B$5001=Schedule!$A57)*(Results!$D$2:$D$5001))</f>
        <v>0</v>
      </c>
      <c r="EM57" s="6">
        <f>SUMPRODUCT((Results!$A$2:$A$5001=Schedule!EM$45)*(Results!$B$2:$B$5001=Schedule!$A57)*(Results!$D$2:$D$5001))</f>
        <v>0</v>
      </c>
      <c r="EN57" s="6">
        <f>SUMPRODUCT((Results!$A$2:$A$5001=Schedule!EN$45)*(Results!$B$2:$B$5001=Schedule!$A57)*(Results!$D$2:$D$5001))</f>
        <v>0</v>
      </c>
      <c r="EO57" s="6">
        <f>SUMPRODUCT((Results!$A$2:$A$5001=Schedule!EO$45)*(Results!$B$2:$B$5001=Schedule!$A57)*(Results!$D$2:$D$5001))</f>
        <v>0</v>
      </c>
      <c r="EP57" s="6">
        <f>SUMPRODUCT((Results!$A$2:$A$5001=Schedule!EP$45)*(Results!$B$2:$B$5001=Schedule!$A57)*(Results!$D$2:$D$5001))</f>
        <v>0</v>
      </c>
      <c r="EQ57" s="6">
        <f>SUMPRODUCT((Results!$A$2:$A$5001=Schedule!EQ$45)*(Results!$B$2:$B$5001=Schedule!$A57)*(Results!$D$2:$D$5001))</f>
        <v>0</v>
      </c>
      <c r="ER57" s="6">
        <f>SUMPRODUCT((Results!$A$2:$A$5001=Schedule!ER$45)*(Results!$B$2:$B$5001=Schedule!$A57)*(Results!$D$2:$D$5001))</f>
        <v>0</v>
      </c>
      <c r="ES57" s="6">
        <f>SUMPRODUCT((Results!$A$2:$A$5001=Schedule!ES$45)*(Results!$B$2:$B$5001=Schedule!$A57)*(Results!$D$2:$D$5001))</f>
        <v>0</v>
      </c>
      <c r="ET57" s="6">
        <f>SUMPRODUCT((Results!$A$2:$A$5001=Schedule!ET$45)*(Results!$B$2:$B$5001=Schedule!$A57)*(Results!$D$2:$D$5001))</f>
        <v>0</v>
      </c>
      <c r="EU57" s="6">
        <f>SUMPRODUCT((Results!$A$2:$A$5001=Schedule!EU$45)*(Results!$B$2:$B$5001=Schedule!$A57)*(Results!$D$2:$D$5001))</f>
        <v>0</v>
      </c>
      <c r="EV57" s="6">
        <f>SUMPRODUCT((Results!$A$2:$A$5001=Schedule!EV$45)*(Results!$B$2:$B$5001=Schedule!$A57)*(Results!$D$2:$D$5001))</f>
        <v>0</v>
      </c>
      <c r="EW57" s="6">
        <f>SUMPRODUCT((Results!$A$2:$A$5001=Schedule!EW$45)*(Results!$B$2:$B$5001=Schedule!$A57)*(Results!$D$2:$D$5001))</f>
        <v>0</v>
      </c>
      <c r="EX57" s="6">
        <f>SUMPRODUCT((Results!$A$2:$A$5001=Schedule!EX$45)*(Results!$B$2:$B$5001=Schedule!$A57)*(Results!$D$2:$D$5001))</f>
        <v>0</v>
      </c>
      <c r="EY57" s="6">
        <f>SUMPRODUCT((Results!$A$2:$A$5001=Schedule!EY$45)*(Results!$B$2:$B$5001=Schedule!$A57)*(Results!$D$2:$D$5001))</f>
        <v>0</v>
      </c>
      <c r="EZ57" s="6">
        <f>SUMPRODUCT((Results!$A$2:$A$5001=Schedule!EZ$45)*(Results!$B$2:$B$5001=Schedule!$A57)*(Results!$D$2:$D$5001))</f>
        <v>0</v>
      </c>
      <c r="FA57" s="6">
        <f>SUMPRODUCT((Results!$A$2:$A$5001=Schedule!FA$45)*(Results!$B$2:$B$5001=Schedule!$A57)*(Results!$D$2:$D$5001))</f>
        <v>0</v>
      </c>
      <c r="FB57" s="6">
        <f>SUMPRODUCT((Results!$A$2:$A$5001=Schedule!FB$45)*(Results!$B$2:$B$5001=Schedule!$A57)*(Results!$D$2:$D$5001))</f>
        <v>0</v>
      </c>
      <c r="FC57" s="6">
        <f>SUMPRODUCT((Results!$A$2:$A$5001=Schedule!FC$45)*(Results!$B$2:$B$5001=Schedule!$A57)*(Results!$D$2:$D$5001))</f>
        <v>0</v>
      </c>
      <c r="FD57" s="6">
        <f>SUMPRODUCT((Results!$A$2:$A$5001=Schedule!FD$45)*(Results!$B$2:$B$5001=Schedule!$A57)*(Results!$D$2:$D$5001))</f>
        <v>0</v>
      </c>
      <c r="FE57" s="6">
        <f>SUMPRODUCT((Results!$A$2:$A$5001=Schedule!FE$45)*(Results!$B$2:$B$5001=Schedule!$A57)*(Results!$D$2:$D$5001))</f>
        <v>0</v>
      </c>
      <c r="FF57" s="6">
        <f>SUMPRODUCT((Results!$A$2:$A$5001=Schedule!FF$45)*(Results!$B$2:$B$5001=Schedule!$A57)*(Results!$D$2:$D$5001))</f>
        <v>0</v>
      </c>
      <c r="FG57" s="6">
        <f>SUMPRODUCT((Results!$A$2:$A$5001=Schedule!FG$45)*(Results!$B$2:$B$5001=Schedule!$A57)*(Results!$D$2:$D$5001))</f>
        <v>0</v>
      </c>
      <c r="FH57" s="6">
        <f>SUMPRODUCT((Results!$A$2:$A$5001=Schedule!FH$45)*(Results!$B$2:$B$5001=Schedule!$A57)*(Results!$D$2:$D$5001))</f>
        <v>0</v>
      </c>
      <c r="FI57" s="6">
        <f>SUMPRODUCT((Results!$A$2:$A$5001=Schedule!FI$45)*(Results!$B$2:$B$5001=Schedule!$A57)*(Results!$D$2:$D$5001))</f>
        <v>0</v>
      </c>
      <c r="FJ57" s="6">
        <f>SUMPRODUCT((Results!$A$2:$A$5001=Schedule!FJ$45)*(Results!$B$2:$B$5001=Schedule!$A57)*(Results!$D$2:$D$5001))</f>
        <v>0</v>
      </c>
      <c r="FK57" s="6">
        <f>SUMPRODUCT((Results!$A$2:$A$5001=Schedule!FK$45)*(Results!$B$2:$B$5001=Schedule!$A57)*(Results!$D$2:$D$5001))</f>
        <v>0</v>
      </c>
      <c r="FL57" s="6">
        <f>SUMPRODUCT((Results!$A$2:$A$5001=Schedule!FL$45)*(Results!$B$2:$B$5001=Schedule!$A57)*(Results!$D$2:$D$5001))</f>
        <v>0</v>
      </c>
      <c r="FM57" s="6">
        <f>SUMPRODUCT((Results!$A$2:$A$5001=Schedule!FM$45)*(Results!$B$2:$B$5001=Schedule!$A57)*(Results!$D$2:$D$5001))</f>
        <v>0</v>
      </c>
      <c r="FN57" s="6">
        <f>SUMPRODUCT((Results!$A$2:$A$5001=Schedule!FN$45)*(Results!$B$2:$B$5001=Schedule!$A57)*(Results!$D$2:$D$5001))</f>
        <v>0</v>
      </c>
      <c r="FO57" s="6">
        <f>SUMPRODUCT((Results!$A$2:$A$5001=Schedule!FO$45)*(Results!$B$2:$B$5001=Schedule!$A57)*(Results!$D$2:$D$5001))</f>
        <v>0</v>
      </c>
      <c r="FP57" s="6">
        <f>SUMPRODUCT((Results!$A$2:$A$5001=Schedule!FP$45)*(Results!$B$2:$B$5001=Schedule!$A57)*(Results!$D$2:$D$5001))</f>
        <v>0</v>
      </c>
      <c r="FQ57" s="6">
        <f>SUMPRODUCT((Results!$A$2:$A$5001=Schedule!FQ$45)*(Results!$B$2:$B$5001=Schedule!$A57)*(Results!$D$2:$D$5001))</f>
        <v>0</v>
      </c>
      <c r="FR57" s="6">
        <f>SUMPRODUCT((Results!$A$2:$A$5001=Schedule!FR$45)*(Results!$B$2:$B$5001=Schedule!$A57)*(Results!$D$2:$D$5001))</f>
        <v>0</v>
      </c>
      <c r="FS57" s="6">
        <f>SUMPRODUCT((Results!$A$2:$A$5001=Schedule!FS$45)*(Results!$B$2:$B$5001=Schedule!$A57)*(Results!$D$2:$D$5001))</f>
        <v>0</v>
      </c>
      <c r="FT57" s="6">
        <f>SUMPRODUCT((Results!$A$2:$A$5001=Schedule!FT$45)*(Results!$B$2:$B$5001=Schedule!$A57)*(Results!$D$2:$D$5001))</f>
        <v>0</v>
      </c>
      <c r="FU57" s="6">
        <f>SUMPRODUCT((Results!$A$2:$A$5001=Schedule!FU$45)*(Results!$B$2:$B$5001=Schedule!$A57)*(Results!$D$2:$D$5001))</f>
        <v>0</v>
      </c>
      <c r="FV57" s="6">
        <f>SUMPRODUCT((Results!$A$2:$A$5001=Schedule!FV$45)*(Results!$B$2:$B$5001=Schedule!$A57)*(Results!$D$2:$D$5001))</f>
        <v>0</v>
      </c>
      <c r="FW57" s="6">
        <f>SUMPRODUCT((Results!$A$2:$A$5001=Schedule!FW$45)*(Results!$B$2:$B$5001=Schedule!$A57)*(Results!$D$2:$D$5001))</f>
        <v>0</v>
      </c>
      <c r="FX57" s="6">
        <f>SUMPRODUCT((Results!$A$2:$A$5001=Schedule!FX$45)*(Results!$B$2:$B$5001=Schedule!$A57)*(Results!$D$2:$D$5001))</f>
        <v>0</v>
      </c>
      <c r="FY57" s="6">
        <f>SUMPRODUCT((Results!$A$2:$A$5001=Schedule!FY$45)*(Results!$B$2:$B$5001=Schedule!$A57)*(Results!$D$2:$D$5001))</f>
        <v>0</v>
      </c>
      <c r="FZ57" s="6">
        <f>SUMPRODUCT((Results!$A$2:$A$5001=Schedule!FZ$45)*(Results!$B$2:$B$5001=Schedule!$A57)*(Results!$D$2:$D$5001))</f>
        <v>0</v>
      </c>
      <c r="GA57" s="6">
        <f>SUMPRODUCT((Results!$A$2:$A$5001=Schedule!GA$45)*(Results!$B$2:$B$5001=Schedule!$A57)*(Results!$D$2:$D$5001))</f>
        <v>0</v>
      </c>
      <c r="GB57" s="6">
        <f>SUMPRODUCT((Results!$A$2:$A$5001=Schedule!GB$45)*(Results!$B$2:$B$5001=Schedule!$A57)*(Results!$D$2:$D$5001))</f>
        <v>0</v>
      </c>
      <c r="GC57" s="6">
        <f>SUMPRODUCT((Results!$A$2:$A$5001=Schedule!GC$45)*(Results!$B$2:$B$5001=Schedule!$A57)*(Results!$D$2:$D$5001))</f>
        <v>0</v>
      </c>
      <c r="GD57" s="6">
        <f>SUMPRODUCT((Results!$A$2:$A$5001=Schedule!GD$45)*(Results!$B$2:$B$5001=Schedule!$A57)*(Results!$D$2:$D$5001))</f>
        <v>0</v>
      </c>
      <c r="GE57" s="6">
        <f>SUMPRODUCT((Results!$A$2:$A$5001=Schedule!GE$45)*(Results!$B$2:$B$5001=Schedule!$A57)*(Results!$D$2:$D$5001))</f>
        <v>0</v>
      </c>
      <c r="GF57" s="6">
        <f>SUMPRODUCT((Results!$A$2:$A$5001=Schedule!GF$45)*(Results!$B$2:$B$5001=Schedule!$A57)*(Results!$D$2:$D$5001))</f>
        <v>0</v>
      </c>
      <c r="GG57" s="6">
        <f>SUMPRODUCT((Results!$A$2:$A$5001=Schedule!GG$45)*(Results!$B$2:$B$5001=Schedule!$A57)*(Results!$D$2:$D$5001))</f>
        <v>0</v>
      </c>
      <c r="GH57" s="6">
        <f>SUMPRODUCT((Results!$A$2:$A$5001=Schedule!GH$45)*(Results!$B$2:$B$5001=Schedule!$A57)*(Results!$D$2:$D$5001))</f>
        <v>0</v>
      </c>
      <c r="GI57" s="6">
        <f>SUMPRODUCT((Results!$A$2:$A$5001=Schedule!GI$45)*(Results!$B$2:$B$5001=Schedule!$A57)*(Results!$D$2:$D$5001))</f>
        <v>0</v>
      </c>
      <c r="GJ57" s="6">
        <f>SUMPRODUCT((Results!$A$2:$A$5001=Schedule!GJ$45)*(Results!$B$2:$B$5001=Schedule!$A57)*(Results!$D$2:$D$5001))</f>
        <v>0</v>
      </c>
      <c r="GK57" s="6">
        <f>SUMPRODUCT((Results!$A$2:$A$5001=Schedule!GK$45)*(Results!$B$2:$B$5001=Schedule!$A57)*(Results!$D$2:$D$5001))</f>
        <v>0</v>
      </c>
      <c r="GL57" s="6">
        <f>SUMPRODUCT((Results!$A$2:$A$5001=Schedule!GL$45)*(Results!$B$2:$B$5001=Schedule!$A57)*(Results!$D$2:$D$5001))</f>
        <v>0</v>
      </c>
      <c r="GM57" s="6">
        <f>SUMPRODUCT((Results!$A$2:$A$5001=Schedule!GM$45)*(Results!$B$2:$B$5001=Schedule!$A57)*(Results!$D$2:$D$5001))</f>
        <v>0</v>
      </c>
      <c r="GN57" s="6">
        <f>SUMPRODUCT((Results!$A$2:$A$5001=Schedule!GN$45)*(Results!$B$2:$B$5001=Schedule!$A57)*(Results!$D$2:$D$5001))</f>
        <v>0</v>
      </c>
      <c r="GO57" s="6">
        <f>SUMPRODUCT((Results!$A$2:$A$5001=Schedule!GO$45)*(Results!$B$2:$B$5001=Schedule!$A57)*(Results!$D$2:$D$5001))</f>
        <v>0</v>
      </c>
      <c r="GP57" s="6">
        <f>SUMPRODUCT((Results!$A$2:$A$5001=Schedule!GP$45)*(Results!$B$2:$B$5001=Schedule!$A57)*(Results!$D$2:$D$5001))</f>
        <v>0</v>
      </c>
      <c r="GQ57" s="6">
        <f>SUMPRODUCT((Results!$A$2:$A$5001=Schedule!GQ$45)*(Results!$B$2:$B$5001=Schedule!$A57)*(Results!$D$2:$D$5001))</f>
        <v>0</v>
      </c>
      <c r="GR57" s="6">
        <f>SUMPRODUCT((Results!$A$2:$A$5001=Schedule!GR$45)*(Results!$B$2:$B$5001=Schedule!$A57)*(Results!$D$2:$D$5001))</f>
        <v>0</v>
      </c>
      <c r="GS57" s="6">
        <f>SUMPRODUCT((Results!$A$2:$A$5001=Schedule!GS$45)*(Results!$B$2:$B$5001=Schedule!$A57)*(Results!$D$2:$D$5001))</f>
        <v>0</v>
      </c>
      <c r="GT57" s="6">
        <f>SUMPRODUCT((Results!$A$2:$A$5001=Schedule!GT$45)*(Results!$B$2:$B$5001=Schedule!$A57)*(Results!$D$2:$D$5001))</f>
        <v>0</v>
      </c>
      <c r="GU57" s="6">
        <f>SUMPRODUCT((Results!$A$2:$A$5001=Schedule!GU$45)*(Results!$B$2:$B$5001=Schedule!$A57)*(Results!$D$2:$D$5001))</f>
        <v>0</v>
      </c>
    </row>
    <row r="58" spans="1:203" ht="13.5" customHeight="1" x14ac:dyDescent="0.2">
      <c r="A58" s="40">
        <v>13</v>
      </c>
      <c r="B58" s="6">
        <f t="shared" si="17"/>
        <v>9.6699999999999994E-2</v>
      </c>
      <c r="C58" s="6">
        <f>SUMPRODUCT((Results!$A$2:$A$5001=Schedule!C$45)*(Results!$B$2:$B$5001=Schedule!$A58)*(Results!$D$2:$D$5001))</f>
        <v>9.6699999999999994E-2</v>
      </c>
      <c r="D58" s="6">
        <f>SUMPRODUCT((Results!$A$2:$A$5001=Schedule!D$45)*(Results!$B$2:$B$5001=Schedule!$A58)*(Results!$D$2:$D$5001))</f>
        <v>0</v>
      </c>
      <c r="E58" s="6">
        <f>SUMPRODUCT((Results!$A$2:$A$5001=Schedule!E$45)*(Results!$B$2:$B$5001=Schedule!$A58)*(Results!$D$2:$D$5001))</f>
        <v>0</v>
      </c>
      <c r="F58" s="6">
        <f>SUMPRODUCT((Results!$A$2:$A$5001=Schedule!F$45)*(Results!$B$2:$B$5001=Schedule!$A58)*(Results!$D$2:$D$5001))</f>
        <v>0</v>
      </c>
      <c r="G58" s="6">
        <f>SUMPRODUCT((Results!$A$2:$A$5001=Schedule!G$45)*(Results!$B$2:$B$5001=Schedule!$A58)*(Results!$D$2:$D$5001))</f>
        <v>0</v>
      </c>
      <c r="H58" s="6">
        <f>SUMPRODUCT((Results!$A$2:$A$5001=Schedule!H$45)*(Results!$B$2:$B$5001=Schedule!$A58)*(Results!$D$2:$D$5001))</f>
        <v>0</v>
      </c>
      <c r="I58" s="6">
        <f>SUMPRODUCT((Results!$A$2:$A$5001=Schedule!I$45)*(Results!$B$2:$B$5001=Schedule!$A58)*(Results!$D$2:$D$5001))</f>
        <v>0</v>
      </c>
      <c r="J58" s="6">
        <f>SUMPRODUCT((Results!$A$2:$A$5001=Schedule!J$45)*(Results!$B$2:$B$5001=Schedule!$A58)*(Results!$D$2:$D$5001))</f>
        <v>0</v>
      </c>
      <c r="K58" s="6">
        <f>SUMPRODUCT((Results!$A$2:$A$5001=Schedule!K$45)*(Results!$B$2:$B$5001=Schedule!$A58)*(Results!$D$2:$D$5001))</f>
        <v>0</v>
      </c>
      <c r="L58" s="6">
        <f>SUMPRODUCT((Results!$A$2:$A$5001=Schedule!L$45)*(Results!$B$2:$B$5001=Schedule!$A58)*(Results!$D$2:$D$5001))</f>
        <v>0</v>
      </c>
      <c r="M58" s="6">
        <f>SUMPRODUCT((Results!$A$2:$A$5001=Schedule!M$45)*(Results!$B$2:$B$5001=Schedule!$A58)*(Results!$D$2:$D$5001))</f>
        <v>0</v>
      </c>
      <c r="N58" s="6">
        <f>SUMPRODUCT((Results!$A$2:$A$5001=Schedule!N$45)*(Results!$B$2:$B$5001=Schedule!$A58)*(Results!$D$2:$D$5001))</f>
        <v>0</v>
      </c>
      <c r="O58" s="6">
        <f>SUMPRODUCT((Results!$A$2:$A$5001=Schedule!O$45)*(Results!$B$2:$B$5001=Schedule!$A58)*(Results!$D$2:$D$5001))</f>
        <v>0</v>
      </c>
      <c r="P58" s="6">
        <f>SUMPRODUCT((Results!$A$2:$A$5001=Schedule!P$45)*(Results!$B$2:$B$5001=Schedule!$A58)*(Results!$D$2:$D$5001))</f>
        <v>0</v>
      </c>
      <c r="Q58" s="6">
        <f>SUMPRODUCT((Results!$A$2:$A$5001=Schedule!Q$45)*(Results!$B$2:$B$5001=Schedule!$A58)*(Results!$D$2:$D$5001))</f>
        <v>0</v>
      </c>
      <c r="R58" s="6">
        <f>SUMPRODUCT((Results!$A$2:$A$5001=Schedule!R$45)*(Results!$B$2:$B$5001=Schedule!$A58)*(Results!$D$2:$D$5001))</f>
        <v>0</v>
      </c>
      <c r="S58" s="6">
        <f>SUMPRODUCT((Results!$A$2:$A$5001=Schedule!S$45)*(Results!$B$2:$B$5001=Schedule!$A58)*(Results!$D$2:$D$5001))</f>
        <v>0</v>
      </c>
      <c r="T58" s="6">
        <f>SUMPRODUCT((Results!$A$2:$A$5001=Schedule!T$45)*(Results!$B$2:$B$5001=Schedule!$A58)*(Results!$D$2:$D$5001))</f>
        <v>0</v>
      </c>
      <c r="U58" s="6">
        <f>SUMPRODUCT((Results!$A$2:$A$5001=Schedule!U$45)*(Results!$B$2:$B$5001=Schedule!$A58)*(Results!$D$2:$D$5001))</f>
        <v>0</v>
      </c>
      <c r="V58" s="6">
        <f>SUMPRODUCT((Results!$A$2:$A$5001=Schedule!V$45)*(Results!$B$2:$B$5001=Schedule!$A58)*(Results!$D$2:$D$5001))</f>
        <v>0</v>
      </c>
      <c r="W58" s="6">
        <f>SUMPRODUCT((Results!$A$2:$A$5001=Schedule!W$45)*(Results!$B$2:$B$5001=Schedule!$A58)*(Results!$D$2:$D$5001))</f>
        <v>0</v>
      </c>
      <c r="X58" s="6">
        <f>SUMPRODUCT((Results!$A$2:$A$5001=Schedule!X$45)*(Results!$B$2:$B$5001=Schedule!$A58)*(Results!$D$2:$D$5001))</f>
        <v>0</v>
      </c>
      <c r="Y58" s="6">
        <f>SUMPRODUCT((Results!$A$2:$A$5001=Schedule!Y$45)*(Results!$B$2:$B$5001=Schedule!$A58)*(Results!$D$2:$D$5001))</f>
        <v>0</v>
      </c>
      <c r="Z58" s="6">
        <f>SUMPRODUCT((Results!$A$2:$A$5001=Schedule!Z$45)*(Results!$B$2:$B$5001=Schedule!$A58)*(Results!$D$2:$D$5001))</f>
        <v>0</v>
      </c>
      <c r="AA58" s="6">
        <f>SUMPRODUCT((Results!$A$2:$A$5001=Schedule!AA$45)*(Results!$B$2:$B$5001=Schedule!$A58)*(Results!$D$2:$D$5001))</f>
        <v>0</v>
      </c>
      <c r="AB58" s="6">
        <f>SUMPRODUCT((Results!$A$2:$A$5001=Schedule!AB$45)*(Results!$B$2:$B$5001=Schedule!$A58)*(Results!$D$2:$D$5001))</f>
        <v>0</v>
      </c>
      <c r="AC58" s="6">
        <f>SUMPRODUCT((Results!$A$2:$A$5001=Schedule!AC$45)*(Results!$B$2:$B$5001=Schedule!$A58)*(Results!$D$2:$D$5001))</f>
        <v>0</v>
      </c>
      <c r="AD58" s="6">
        <f>SUMPRODUCT((Results!$A$2:$A$5001=Schedule!AD$45)*(Results!$B$2:$B$5001=Schedule!$A58)*(Results!$D$2:$D$5001))</f>
        <v>0</v>
      </c>
      <c r="AE58" s="6">
        <f>SUMPRODUCT((Results!$A$2:$A$5001=Schedule!AE$45)*(Results!$B$2:$B$5001=Schedule!$A58)*(Results!$D$2:$D$5001))</f>
        <v>0</v>
      </c>
      <c r="AF58" s="6">
        <f>SUMPRODUCT((Results!$A$2:$A$5001=Schedule!AF$45)*(Results!$B$2:$B$5001=Schedule!$A58)*(Results!$D$2:$D$5001))</f>
        <v>0</v>
      </c>
      <c r="AG58" s="6">
        <f>SUMPRODUCT((Results!$A$2:$A$5001=Schedule!AG$45)*(Results!$B$2:$B$5001=Schedule!$A58)*(Results!$D$2:$D$5001))</f>
        <v>0</v>
      </c>
      <c r="AH58" s="6">
        <f>SUMPRODUCT((Results!$A$2:$A$5001=Schedule!AH$45)*(Results!$B$2:$B$5001=Schedule!$A58)*(Results!$D$2:$D$5001))</f>
        <v>0</v>
      </c>
      <c r="AI58" s="6">
        <f>SUMPRODUCT((Results!$A$2:$A$5001=Schedule!AI$45)*(Results!$B$2:$B$5001=Schedule!$A58)*(Results!$D$2:$D$5001))</f>
        <v>0</v>
      </c>
      <c r="AJ58" s="6">
        <f>SUMPRODUCT((Results!$A$2:$A$5001=Schedule!AJ$45)*(Results!$B$2:$B$5001=Schedule!$A58)*(Results!$D$2:$D$5001))</f>
        <v>0</v>
      </c>
      <c r="AK58" s="6">
        <f>SUMPRODUCT((Results!$A$2:$A$5001=Schedule!AK$45)*(Results!$B$2:$B$5001=Schedule!$A58)*(Results!$D$2:$D$5001))</f>
        <v>0</v>
      </c>
      <c r="AL58" s="6">
        <f>SUMPRODUCT((Results!$A$2:$A$5001=Schedule!AL$45)*(Results!$B$2:$B$5001=Schedule!$A58)*(Results!$D$2:$D$5001))</f>
        <v>0</v>
      </c>
      <c r="AM58" s="6">
        <f>SUMPRODUCT((Results!$A$2:$A$5001=Schedule!AM$45)*(Results!$B$2:$B$5001=Schedule!$A58)*(Results!$D$2:$D$5001))</f>
        <v>0</v>
      </c>
      <c r="AN58" s="6">
        <f>SUMPRODUCT((Results!$A$2:$A$5001=Schedule!AN$45)*(Results!$B$2:$B$5001=Schedule!$A58)*(Results!$D$2:$D$5001))</f>
        <v>0</v>
      </c>
      <c r="AO58" s="6">
        <f>SUMPRODUCT((Results!$A$2:$A$5001=Schedule!AO$45)*(Results!$B$2:$B$5001=Schedule!$A58)*(Results!$D$2:$D$5001))</f>
        <v>0</v>
      </c>
      <c r="AP58" s="6">
        <f>SUMPRODUCT((Results!$A$2:$A$5001=Schedule!AP$45)*(Results!$B$2:$B$5001=Schedule!$A58)*(Results!$D$2:$D$5001))</f>
        <v>0</v>
      </c>
      <c r="AQ58" s="6">
        <f>SUMPRODUCT((Results!$A$2:$A$5001=Schedule!AQ$45)*(Results!$B$2:$B$5001=Schedule!$A58)*(Results!$D$2:$D$5001))</f>
        <v>0</v>
      </c>
      <c r="AR58" s="6">
        <f>SUMPRODUCT((Results!$A$2:$A$5001=Schedule!AR$45)*(Results!$B$2:$B$5001=Schedule!$A58)*(Results!$D$2:$D$5001))</f>
        <v>0</v>
      </c>
      <c r="AS58" s="6">
        <f>SUMPRODUCT((Results!$A$2:$A$5001=Schedule!AS$45)*(Results!$B$2:$B$5001=Schedule!$A58)*(Results!$D$2:$D$5001))</f>
        <v>0</v>
      </c>
      <c r="AT58" s="6">
        <f>SUMPRODUCT((Results!$A$2:$A$5001=Schedule!AT$45)*(Results!$B$2:$B$5001=Schedule!$A58)*(Results!$D$2:$D$5001))</f>
        <v>0</v>
      </c>
      <c r="AU58" s="6">
        <f>SUMPRODUCT((Results!$A$2:$A$5001=Schedule!AU$45)*(Results!$B$2:$B$5001=Schedule!$A58)*(Results!$D$2:$D$5001))</f>
        <v>0</v>
      </c>
      <c r="AV58" s="6">
        <f>SUMPRODUCT((Results!$A$2:$A$5001=Schedule!AV$45)*(Results!$B$2:$B$5001=Schedule!$A58)*(Results!$D$2:$D$5001))</f>
        <v>0</v>
      </c>
      <c r="AW58" s="6">
        <f>SUMPRODUCT((Results!$A$2:$A$5001=Schedule!AW$45)*(Results!$B$2:$B$5001=Schedule!$A58)*(Results!$D$2:$D$5001))</f>
        <v>0</v>
      </c>
      <c r="AX58" s="6">
        <f>SUMPRODUCT((Results!$A$2:$A$5001=Schedule!AX$45)*(Results!$B$2:$B$5001=Schedule!$A58)*(Results!$D$2:$D$5001))</f>
        <v>0</v>
      </c>
      <c r="AY58" s="6">
        <f>SUMPRODUCT((Results!$A$2:$A$5001=Schedule!AY$45)*(Results!$B$2:$B$5001=Schedule!$A58)*(Results!$D$2:$D$5001))</f>
        <v>0</v>
      </c>
      <c r="AZ58" s="6">
        <f>SUMPRODUCT((Results!$A$2:$A$5001=Schedule!AZ$45)*(Results!$B$2:$B$5001=Schedule!$A58)*(Results!$D$2:$D$5001))</f>
        <v>0</v>
      </c>
      <c r="BA58" s="6">
        <f>SUMPRODUCT((Results!$A$2:$A$5001=Schedule!BA$45)*(Results!$B$2:$B$5001=Schedule!$A58)*(Results!$D$2:$D$5001))</f>
        <v>0</v>
      </c>
      <c r="BB58" s="6">
        <f>SUMPRODUCT((Results!$A$2:$A$5001=Schedule!BB$45)*(Results!$B$2:$B$5001=Schedule!$A58)*(Results!$D$2:$D$5001))</f>
        <v>0</v>
      </c>
      <c r="BC58" s="6">
        <f>SUMPRODUCT((Results!$A$2:$A$5001=Schedule!BC$45)*(Results!$B$2:$B$5001=Schedule!$A58)*(Results!$D$2:$D$5001))</f>
        <v>0</v>
      </c>
      <c r="BD58" s="6">
        <f>SUMPRODUCT((Results!$A$2:$A$5001=Schedule!BD$45)*(Results!$B$2:$B$5001=Schedule!$A58)*(Results!$D$2:$D$5001))</f>
        <v>0</v>
      </c>
      <c r="BE58" s="6">
        <f>SUMPRODUCT((Results!$A$2:$A$5001=Schedule!BE$45)*(Results!$B$2:$B$5001=Schedule!$A58)*(Results!$D$2:$D$5001))</f>
        <v>0</v>
      </c>
      <c r="BF58" s="6">
        <f>SUMPRODUCT((Results!$A$2:$A$5001=Schedule!BF$45)*(Results!$B$2:$B$5001=Schedule!$A58)*(Results!$D$2:$D$5001))</f>
        <v>0</v>
      </c>
      <c r="BG58" s="6">
        <f>SUMPRODUCT((Results!$A$2:$A$5001=Schedule!BG$45)*(Results!$B$2:$B$5001=Schedule!$A58)*(Results!$D$2:$D$5001))</f>
        <v>0</v>
      </c>
      <c r="BH58" s="6">
        <f>SUMPRODUCT((Results!$A$2:$A$5001=Schedule!BH$45)*(Results!$B$2:$B$5001=Schedule!$A58)*(Results!$D$2:$D$5001))</f>
        <v>0</v>
      </c>
      <c r="BI58" s="6">
        <f>SUMPRODUCT((Results!$A$2:$A$5001=Schedule!BI$45)*(Results!$B$2:$B$5001=Schedule!$A58)*(Results!$D$2:$D$5001))</f>
        <v>0</v>
      </c>
      <c r="BJ58" s="6">
        <f>SUMPRODUCT((Results!$A$2:$A$5001=Schedule!BJ$45)*(Results!$B$2:$B$5001=Schedule!$A58)*(Results!$D$2:$D$5001))</f>
        <v>0</v>
      </c>
      <c r="BK58" s="6">
        <f>SUMPRODUCT((Results!$A$2:$A$5001=Schedule!BK$45)*(Results!$B$2:$B$5001=Schedule!$A58)*(Results!$D$2:$D$5001))</f>
        <v>0</v>
      </c>
      <c r="BL58" s="6">
        <f>SUMPRODUCT((Results!$A$2:$A$5001=Schedule!BL$45)*(Results!$B$2:$B$5001=Schedule!$A58)*(Results!$D$2:$D$5001))</f>
        <v>0</v>
      </c>
      <c r="BM58" s="6">
        <f>SUMPRODUCT((Results!$A$2:$A$5001=Schedule!BM$45)*(Results!$B$2:$B$5001=Schedule!$A58)*(Results!$D$2:$D$5001))</f>
        <v>0</v>
      </c>
      <c r="BN58" s="6">
        <f>SUMPRODUCT((Results!$A$2:$A$5001=Schedule!BN$45)*(Results!$B$2:$B$5001=Schedule!$A58)*(Results!$D$2:$D$5001))</f>
        <v>0</v>
      </c>
      <c r="BO58" s="6">
        <f>SUMPRODUCT((Results!$A$2:$A$5001=Schedule!BO$45)*(Results!$B$2:$B$5001=Schedule!$A58)*(Results!$D$2:$D$5001))</f>
        <v>0</v>
      </c>
      <c r="BP58" s="6">
        <f>SUMPRODUCT((Results!$A$2:$A$5001=Schedule!BP$45)*(Results!$B$2:$B$5001=Schedule!$A58)*(Results!$D$2:$D$5001))</f>
        <v>0</v>
      </c>
      <c r="BQ58" s="6">
        <f>SUMPRODUCT((Results!$A$2:$A$5001=Schedule!BQ$45)*(Results!$B$2:$B$5001=Schedule!$A58)*(Results!$D$2:$D$5001))</f>
        <v>0</v>
      </c>
      <c r="BR58" s="6">
        <f>SUMPRODUCT((Results!$A$2:$A$5001=Schedule!BR$45)*(Results!$B$2:$B$5001=Schedule!$A58)*(Results!$D$2:$D$5001))</f>
        <v>0</v>
      </c>
      <c r="BS58" s="6">
        <f>SUMPRODUCT((Results!$A$2:$A$5001=Schedule!BS$45)*(Results!$B$2:$B$5001=Schedule!$A58)*(Results!$D$2:$D$5001))</f>
        <v>0</v>
      </c>
      <c r="BT58" s="6">
        <f>SUMPRODUCT((Results!$A$2:$A$5001=Schedule!BT$45)*(Results!$B$2:$B$5001=Schedule!$A58)*(Results!$D$2:$D$5001))</f>
        <v>0</v>
      </c>
      <c r="BU58" s="6">
        <f>SUMPRODUCT((Results!$A$2:$A$5001=Schedule!BU$45)*(Results!$B$2:$B$5001=Schedule!$A58)*(Results!$D$2:$D$5001))</f>
        <v>0</v>
      </c>
      <c r="BV58" s="6">
        <f>SUMPRODUCT((Results!$A$2:$A$5001=Schedule!BV$45)*(Results!$B$2:$B$5001=Schedule!$A58)*(Results!$D$2:$D$5001))</f>
        <v>0</v>
      </c>
      <c r="BW58" s="6">
        <f>SUMPRODUCT((Results!$A$2:$A$5001=Schedule!BW$45)*(Results!$B$2:$B$5001=Schedule!$A58)*(Results!$D$2:$D$5001))</f>
        <v>0</v>
      </c>
      <c r="BX58" s="6">
        <f>SUMPRODUCT((Results!$A$2:$A$5001=Schedule!BX$45)*(Results!$B$2:$B$5001=Schedule!$A58)*(Results!$D$2:$D$5001))</f>
        <v>0</v>
      </c>
      <c r="BY58" s="6">
        <f>SUMPRODUCT((Results!$A$2:$A$5001=Schedule!BY$45)*(Results!$B$2:$B$5001=Schedule!$A58)*(Results!$D$2:$D$5001))</f>
        <v>0</v>
      </c>
      <c r="BZ58" s="6">
        <f>SUMPRODUCT((Results!$A$2:$A$5001=Schedule!BZ$45)*(Results!$B$2:$B$5001=Schedule!$A58)*(Results!$D$2:$D$5001))</f>
        <v>0</v>
      </c>
      <c r="CA58" s="6">
        <f>SUMPRODUCT((Results!$A$2:$A$5001=Schedule!CA$45)*(Results!$B$2:$B$5001=Schedule!$A58)*(Results!$D$2:$D$5001))</f>
        <v>0</v>
      </c>
      <c r="CB58" s="6">
        <f>SUMPRODUCT((Results!$A$2:$A$5001=Schedule!CB$45)*(Results!$B$2:$B$5001=Schedule!$A58)*(Results!$D$2:$D$5001))</f>
        <v>0</v>
      </c>
      <c r="CC58" s="6">
        <f>SUMPRODUCT((Results!$A$2:$A$5001=Schedule!CC$45)*(Results!$B$2:$B$5001=Schedule!$A58)*(Results!$D$2:$D$5001))</f>
        <v>0</v>
      </c>
      <c r="CD58" s="6">
        <f>SUMPRODUCT((Results!$A$2:$A$5001=Schedule!CD$45)*(Results!$B$2:$B$5001=Schedule!$A58)*(Results!$D$2:$D$5001))</f>
        <v>0</v>
      </c>
      <c r="CE58" s="6">
        <f>SUMPRODUCT((Results!$A$2:$A$5001=Schedule!CE$45)*(Results!$B$2:$B$5001=Schedule!$A58)*(Results!$D$2:$D$5001))</f>
        <v>0</v>
      </c>
      <c r="CF58" s="6">
        <f>SUMPRODUCT((Results!$A$2:$A$5001=Schedule!CF$45)*(Results!$B$2:$B$5001=Schedule!$A58)*(Results!$D$2:$D$5001))</f>
        <v>0</v>
      </c>
      <c r="CG58" s="6">
        <f>SUMPRODUCT((Results!$A$2:$A$5001=Schedule!CG$45)*(Results!$B$2:$B$5001=Schedule!$A58)*(Results!$D$2:$D$5001))</f>
        <v>0</v>
      </c>
      <c r="CH58" s="6">
        <f>SUMPRODUCT((Results!$A$2:$A$5001=Schedule!CH$45)*(Results!$B$2:$B$5001=Schedule!$A58)*(Results!$D$2:$D$5001))</f>
        <v>0</v>
      </c>
      <c r="CI58" s="6">
        <f>SUMPRODUCT((Results!$A$2:$A$5001=Schedule!CI$45)*(Results!$B$2:$B$5001=Schedule!$A58)*(Results!$D$2:$D$5001))</f>
        <v>0</v>
      </c>
      <c r="CJ58" s="6">
        <f>SUMPRODUCT((Results!$A$2:$A$5001=Schedule!CJ$45)*(Results!$B$2:$B$5001=Schedule!$A58)*(Results!$D$2:$D$5001))</f>
        <v>0</v>
      </c>
      <c r="CK58" s="6">
        <f>SUMPRODUCT((Results!$A$2:$A$5001=Schedule!CK$45)*(Results!$B$2:$B$5001=Schedule!$A58)*(Results!$D$2:$D$5001))</f>
        <v>0</v>
      </c>
      <c r="CL58" s="6">
        <f>SUMPRODUCT((Results!$A$2:$A$5001=Schedule!CL$45)*(Results!$B$2:$B$5001=Schedule!$A58)*(Results!$D$2:$D$5001))</f>
        <v>0</v>
      </c>
      <c r="CM58" s="6">
        <f>SUMPRODUCT((Results!$A$2:$A$5001=Schedule!CM$45)*(Results!$B$2:$B$5001=Schedule!$A58)*(Results!$D$2:$D$5001))</f>
        <v>0</v>
      </c>
      <c r="CN58" s="6">
        <f>SUMPRODUCT((Results!$A$2:$A$5001=Schedule!CN$45)*(Results!$B$2:$B$5001=Schedule!$A58)*(Results!$D$2:$D$5001))</f>
        <v>0</v>
      </c>
      <c r="CO58" s="6">
        <f>SUMPRODUCT((Results!$A$2:$A$5001=Schedule!CO$45)*(Results!$B$2:$B$5001=Schedule!$A58)*(Results!$D$2:$D$5001))</f>
        <v>0</v>
      </c>
      <c r="CP58" s="6">
        <f>SUMPRODUCT((Results!$A$2:$A$5001=Schedule!CP$45)*(Results!$B$2:$B$5001=Schedule!$A58)*(Results!$D$2:$D$5001))</f>
        <v>0</v>
      </c>
      <c r="CQ58" s="6">
        <f>SUMPRODUCT((Results!$A$2:$A$5001=Schedule!CQ$45)*(Results!$B$2:$B$5001=Schedule!$A58)*(Results!$D$2:$D$5001))</f>
        <v>0</v>
      </c>
      <c r="CR58" s="6">
        <f>SUMPRODUCT((Results!$A$2:$A$5001=Schedule!CR$45)*(Results!$B$2:$B$5001=Schedule!$A58)*(Results!$D$2:$D$5001))</f>
        <v>0</v>
      </c>
      <c r="CS58" s="6">
        <f>SUMPRODUCT((Results!$A$2:$A$5001=Schedule!CS$45)*(Results!$B$2:$B$5001=Schedule!$A58)*(Results!$D$2:$D$5001))</f>
        <v>0</v>
      </c>
      <c r="CT58" s="6">
        <f>SUMPRODUCT((Results!$A$2:$A$5001=Schedule!CT$45)*(Results!$B$2:$B$5001=Schedule!$A58)*(Results!$D$2:$D$5001))</f>
        <v>0</v>
      </c>
      <c r="CU58" s="6">
        <f>SUMPRODUCT((Results!$A$2:$A$5001=Schedule!CU$45)*(Results!$B$2:$B$5001=Schedule!$A58)*(Results!$D$2:$D$5001))</f>
        <v>0</v>
      </c>
      <c r="CV58" s="6">
        <f>SUMPRODUCT((Results!$A$2:$A$5001=Schedule!CV$45)*(Results!$B$2:$B$5001=Schedule!$A58)*(Results!$D$2:$D$5001))</f>
        <v>0</v>
      </c>
      <c r="CW58" s="6">
        <f>SUMPRODUCT((Results!$A$2:$A$5001=Schedule!CW$45)*(Results!$B$2:$B$5001=Schedule!$A58)*(Results!$D$2:$D$5001))</f>
        <v>0</v>
      </c>
      <c r="CX58" s="6">
        <f>SUMPRODUCT((Results!$A$2:$A$5001=Schedule!CX$45)*(Results!$B$2:$B$5001=Schedule!$A58)*(Results!$D$2:$D$5001))</f>
        <v>0</v>
      </c>
      <c r="CY58" s="6">
        <f>SUMPRODUCT((Results!$A$2:$A$5001=Schedule!CY$45)*(Results!$B$2:$B$5001=Schedule!$A58)*(Results!$D$2:$D$5001))</f>
        <v>0</v>
      </c>
      <c r="CZ58" s="6">
        <f>SUMPRODUCT((Results!$A$2:$A$5001=Schedule!CZ$45)*(Results!$B$2:$B$5001=Schedule!$A58)*(Results!$D$2:$D$5001))</f>
        <v>0</v>
      </c>
      <c r="DA58" s="6">
        <f>SUMPRODUCT((Results!$A$2:$A$5001=Schedule!DA$45)*(Results!$B$2:$B$5001=Schedule!$A58)*(Results!$D$2:$D$5001))</f>
        <v>0</v>
      </c>
      <c r="DB58" s="6">
        <f>SUMPRODUCT((Results!$A$2:$A$5001=Schedule!DB$45)*(Results!$B$2:$B$5001=Schedule!$A58)*(Results!$D$2:$D$5001))</f>
        <v>0</v>
      </c>
      <c r="DC58" s="6">
        <f>SUMPRODUCT((Results!$A$2:$A$5001=Schedule!DC$45)*(Results!$B$2:$B$5001=Schedule!$A58)*(Results!$D$2:$D$5001))</f>
        <v>0</v>
      </c>
      <c r="DD58" s="6">
        <f>SUMPRODUCT((Results!$A$2:$A$5001=Schedule!DD$45)*(Results!$B$2:$B$5001=Schedule!$A58)*(Results!$D$2:$D$5001))</f>
        <v>0</v>
      </c>
      <c r="DE58" s="6">
        <f>SUMPRODUCT((Results!$A$2:$A$5001=Schedule!DE$45)*(Results!$B$2:$B$5001=Schedule!$A58)*(Results!$D$2:$D$5001))</f>
        <v>0</v>
      </c>
      <c r="DF58" s="6">
        <f>SUMPRODUCT((Results!$A$2:$A$5001=Schedule!DF$45)*(Results!$B$2:$B$5001=Schedule!$A58)*(Results!$D$2:$D$5001))</f>
        <v>0</v>
      </c>
      <c r="DG58" s="6">
        <f>SUMPRODUCT((Results!$A$2:$A$5001=Schedule!DG$45)*(Results!$B$2:$B$5001=Schedule!$A58)*(Results!$D$2:$D$5001))</f>
        <v>0</v>
      </c>
      <c r="DH58" s="6">
        <f>SUMPRODUCT((Results!$A$2:$A$5001=Schedule!DH$45)*(Results!$B$2:$B$5001=Schedule!$A58)*(Results!$D$2:$D$5001))</f>
        <v>0</v>
      </c>
      <c r="DI58" s="6">
        <f>SUMPRODUCT((Results!$A$2:$A$5001=Schedule!DI$45)*(Results!$B$2:$B$5001=Schedule!$A58)*(Results!$D$2:$D$5001))</f>
        <v>0</v>
      </c>
      <c r="DJ58" s="6">
        <f>SUMPRODUCT((Results!$A$2:$A$5001=Schedule!DJ$45)*(Results!$B$2:$B$5001=Schedule!$A58)*(Results!$D$2:$D$5001))</f>
        <v>0</v>
      </c>
      <c r="DK58" s="6">
        <f>SUMPRODUCT((Results!$A$2:$A$5001=Schedule!DK$45)*(Results!$B$2:$B$5001=Schedule!$A58)*(Results!$D$2:$D$5001))</f>
        <v>0</v>
      </c>
      <c r="DL58" s="6">
        <f>SUMPRODUCT((Results!$A$2:$A$5001=Schedule!DL$45)*(Results!$B$2:$B$5001=Schedule!$A58)*(Results!$D$2:$D$5001))</f>
        <v>0</v>
      </c>
      <c r="DM58" s="6">
        <f>SUMPRODUCT((Results!$A$2:$A$5001=Schedule!DM$45)*(Results!$B$2:$B$5001=Schedule!$A58)*(Results!$D$2:$D$5001))</f>
        <v>0</v>
      </c>
      <c r="DN58" s="6">
        <f>SUMPRODUCT((Results!$A$2:$A$5001=Schedule!DN$45)*(Results!$B$2:$B$5001=Schedule!$A58)*(Results!$D$2:$D$5001))</f>
        <v>0</v>
      </c>
      <c r="DO58" s="6">
        <f>SUMPRODUCT((Results!$A$2:$A$5001=Schedule!DO$45)*(Results!$B$2:$B$5001=Schedule!$A58)*(Results!$D$2:$D$5001))</f>
        <v>0</v>
      </c>
      <c r="DP58" s="6">
        <f>SUMPRODUCT((Results!$A$2:$A$5001=Schedule!DP$45)*(Results!$B$2:$B$5001=Schedule!$A58)*(Results!$D$2:$D$5001))</f>
        <v>0</v>
      </c>
      <c r="DQ58" s="6">
        <f>SUMPRODUCT((Results!$A$2:$A$5001=Schedule!DQ$45)*(Results!$B$2:$B$5001=Schedule!$A58)*(Results!$D$2:$D$5001))</f>
        <v>0</v>
      </c>
      <c r="DR58" s="6">
        <f>SUMPRODUCT((Results!$A$2:$A$5001=Schedule!DR$45)*(Results!$B$2:$B$5001=Schedule!$A58)*(Results!$D$2:$D$5001))</f>
        <v>0</v>
      </c>
      <c r="DS58" s="6">
        <f>SUMPRODUCT((Results!$A$2:$A$5001=Schedule!DS$45)*(Results!$B$2:$B$5001=Schedule!$A58)*(Results!$D$2:$D$5001))</f>
        <v>0</v>
      </c>
      <c r="DT58" s="6">
        <f>SUMPRODUCT((Results!$A$2:$A$5001=Schedule!DT$45)*(Results!$B$2:$B$5001=Schedule!$A58)*(Results!$D$2:$D$5001))</f>
        <v>0</v>
      </c>
      <c r="DU58" s="6">
        <f>SUMPRODUCT((Results!$A$2:$A$5001=Schedule!DU$45)*(Results!$B$2:$B$5001=Schedule!$A58)*(Results!$D$2:$D$5001))</f>
        <v>0</v>
      </c>
      <c r="DV58" s="6">
        <f>SUMPRODUCT((Results!$A$2:$A$5001=Schedule!DV$45)*(Results!$B$2:$B$5001=Schedule!$A58)*(Results!$D$2:$D$5001))</f>
        <v>0</v>
      </c>
      <c r="DW58" s="6">
        <f>SUMPRODUCT((Results!$A$2:$A$5001=Schedule!DW$45)*(Results!$B$2:$B$5001=Schedule!$A58)*(Results!$D$2:$D$5001))</f>
        <v>0</v>
      </c>
      <c r="DX58" s="6">
        <f>SUMPRODUCT((Results!$A$2:$A$5001=Schedule!DX$45)*(Results!$B$2:$B$5001=Schedule!$A58)*(Results!$D$2:$D$5001))</f>
        <v>0</v>
      </c>
      <c r="DY58" s="6">
        <f>SUMPRODUCT((Results!$A$2:$A$5001=Schedule!DY$45)*(Results!$B$2:$B$5001=Schedule!$A58)*(Results!$D$2:$D$5001))</f>
        <v>0</v>
      </c>
      <c r="DZ58" s="6">
        <f>SUMPRODUCT((Results!$A$2:$A$5001=Schedule!DZ$45)*(Results!$B$2:$B$5001=Schedule!$A58)*(Results!$D$2:$D$5001))</f>
        <v>0</v>
      </c>
      <c r="EA58" s="6">
        <f>SUMPRODUCT((Results!$A$2:$A$5001=Schedule!EA$45)*(Results!$B$2:$B$5001=Schedule!$A58)*(Results!$D$2:$D$5001))</f>
        <v>0</v>
      </c>
      <c r="EB58" s="6">
        <f>SUMPRODUCT((Results!$A$2:$A$5001=Schedule!EB$45)*(Results!$B$2:$B$5001=Schedule!$A58)*(Results!$D$2:$D$5001))</f>
        <v>0</v>
      </c>
      <c r="EC58" s="6">
        <f>SUMPRODUCT((Results!$A$2:$A$5001=Schedule!EC$45)*(Results!$B$2:$B$5001=Schedule!$A58)*(Results!$D$2:$D$5001))</f>
        <v>0</v>
      </c>
      <c r="ED58" s="6">
        <f>SUMPRODUCT((Results!$A$2:$A$5001=Schedule!ED$45)*(Results!$B$2:$B$5001=Schedule!$A58)*(Results!$D$2:$D$5001))</f>
        <v>0</v>
      </c>
      <c r="EE58" s="6">
        <f>SUMPRODUCT((Results!$A$2:$A$5001=Schedule!EE$45)*(Results!$B$2:$B$5001=Schedule!$A58)*(Results!$D$2:$D$5001))</f>
        <v>0</v>
      </c>
      <c r="EF58" s="6">
        <f>SUMPRODUCT((Results!$A$2:$A$5001=Schedule!EF$45)*(Results!$B$2:$B$5001=Schedule!$A58)*(Results!$D$2:$D$5001))</f>
        <v>0</v>
      </c>
      <c r="EG58" s="6">
        <f>SUMPRODUCT((Results!$A$2:$A$5001=Schedule!EG$45)*(Results!$B$2:$B$5001=Schedule!$A58)*(Results!$D$2:$D$5001))</f>
        <v>0</v>
      </c>
      <c r="EH58" s="6">
        <f>SUMPRODUCT((Results!$A$2:$A$5001=Schedule!EH$45)*(Results!$B$2:$B$5001=Schedule!$A58)*(Results!$D$2:$D$5001))</f>
        <v>0</v>
      </c>
      <c r="EI58" s="6">
        <f>SUMPRODUCT((Results!$A$2:$A$5001=Schedule!EI$45)*(Results!$B$2:$B$5001=Schedule!$A58)*(Results!$D$2:$D$5001))</f>
        <v>0</v>
      </c>
      <c r="EJ58" s="6">
        <f>SUMPRODUCT((Results!$A$2:$A$5001=Schedule!EJ$45)*(Results!$B$2:$B$5001=Schedule!$A58)*(Results!$D$2:$D$5001))</f>
        <v>0</v>
      </c>
      <c r="EK58" s="6">
        <f>SUMPRODUCT((Results!$A$2:$A$5001=Schedule!EK$45)*(Results!$B$2:$B$5001=Schedule!$A58)*(Results!$D$2:$D$5001))</f>
        <v>0</v>
      </c>
      <c r="EL58" s="6">
        <f>SUMPRODUCT((Results!$A$2:$A$5001=Schedule!EL$45)*(Results!$B$2:$B$5001=Schedule!$A58)*(Results!$D$2:$D$5001))</f>
        <v>0</v>
      </c>
      <c r="EM58" s="6">
        <f>SUMPRODUCT((Results!$A$2:$A$5001=Schedule!EM$45)*(Results!$B$2:$B$5001=Schedule!$A58)*(Results!$D$2:$D$5001))</f>
        <v>0</v>
      </c>
      <c r="EN58" s="6">
        <f>SUMPRODUCT((Results!$A$2:$A$5001=Schedule!EN$45)*(Results!$B$2:$B$5001=Schedule!$A58)*(Results!$D$2:$D$5001))</f>
        <v>0</v>
      </c>
      <c r="EO58" s="6">
        <f>SUMPRODUCT((Results!$A$2:$A$5001=Schedule!EO$45)*(Results!$B$2:$B$5001=Schedule!$A58)*(Results!$D$2:$D$5001))</f>
        <v>0</v>
      </c>
      <c r="EP58" s="6">
        <f>SUMPRODUCT((Results!$A$2:$A$5001=Schedule!EP$45)*(Results!$B$2:$B$5001=Schedule!$A58)*(Results!$D$2:$D$5001))</f>
        <v>0</v>
      </c>
      <c r="EQ58" s="6">
        <f>SUMPRODUCT((Results!$A$2:$A$5001=Schedule!EQ$45)*(Results!$B$2:$B$5001=Schedule!$A58)*(Results!$D$2:$D$5001))</f>
        <v>0</v>
      </c>
      <c r="ER58" s="6">
        <f>SUMPRODUCT((Results!$A$2:$A$5001=Schedule!ER$45)*(Results!$B$2:$B$5001=Schedule!$A58)*(Results!$D$2:$D$5001))</f>
        <v>0</v>
      </c>
      <c r="ES58" s="6">
        <f>SUMPRODUCT((Results!$A$2:$A$5001=Schedule!ES$45)*(Results!$B$2:$B$5001=Schedule!$A58)*(Results!$D$2:$D$5001))</f>
        <v>0</v>
      </c>
      <c r="ET58" s="6">
        <f>SUMPRODUCT((Results!$A$2:$A$5001=Schedule!ET$45)*(Results!$B$2:$B$5001=Schedule!$A58)*(Results!$D$2:$D$5001))</f>
        <v>0</v>
      </c>
      <c r="EU58" s="6">
        <f>SUMPRODUCT((Results!$A$2:$A$5001=Schedule!EU$45)*(Results!$B$2:$B$5001=Schedule!$A58)*(Results!$D$2:$D$5001))</f>
        <v>0</v>
      </c>
      <c r="EV58" s="6">
        <f>SUMPRODUCT((Results!$A$2:$A$5001=Schedule!EV$45)*(Results!$B$2:$B$5001=Schedule!$A58)*(Results!$D$2:$D$5001))</f>
        <v>0</v>
      </c>
      <c r="EW58" s="6">
        <f>SUMPRODUCT((Results!$A$2:$A$5001=Schedule!EW$45)*(Results!$B$2:$B$5001=Schedule!$A58)*(Results!$D$2:$D$5001))</f>
        <v>0</v>
      </c>
      <c r="EX58" s="6">
        <f>SUMPRODUCT((Results!$A$2:$A$5001=Schedule!EX$45)*(Results!$B$2:$B$5001=Schedule!$A58)*(Results!$D$2:$D$5001))</f>
        <v>0</v>
      </c>
      <c r="EY58" s="6">
        <f>SUMPRODUCT((Results!$A$2:$A$5001=Schedule!EY$45)*(Results!$B$2:$B$5001=Schedule!$A58)*(Results!$D$2:$D$5001))</f>
        <v>0</v>
      </c>
      <c r="EZ58" s="6">
        <f>SUMPRODUCT((Results!$A$2:$A$5001=Schedule!EZ$45)*(Results!$B$2:$B$5001=Schedule!$A58)*(Results!$D$2:$D$5001))</f>
        <v>0</v>
      </c>
      <c r="FA58" s="6">
        <f>SUMPRODUCT((Results!$A$2:$A$5001=Schedule!FA$45)*(Results!$B$2:$B$5001=Schedule!$A58)*(Results!$D$2:$D$5001))</f>
        <v>0</v>
      </c>
      <c r="FB58" s="6">
        <f>SUMPRODUCT((Results!$A$2:$A$5001=Schedule!FB$45)*(Results!$B$2:$B$5001=Schedule!$A58)*(Results!$D$2:$D$5001))</f>
        <v>0</v>
      </c>
      <c r="FC58" s="6">
        <f>SUMPRODUCT((Results!$A$2:$A$5001=Schedule!FC$45)*(Results!$B$2:$B$5001=Schedule!$A58)*(Results!$D$2:$D$5001))</f>
        <v>0</v>
      </c>
      <c r="FD58" s="6">
        <f>SUMPRODUCT((Results!$A$2:$A$5001=Schedule!FD$45)*(Results!$B$2:$B$5001=Schedule!$A58)*(Results!$D$2:$D$5001))</f>
        <v>0</v>
      </c>
      <c r="FE58" s="6">
        <f>SUMPRODUCT((Results!$A$2:$A$5001=Schedule!FE$45)*(Results!$B$2:$B$5001=Schedule!$A58)*(Results!$D$2:$D$5001))</f>
        <v>0</v>
      </c>
      <c r="FF58" s="6">
        <f>SUMPRODUCT((Results!$A$2:$A$5001=Schedule!FF$45)*(Results!$B$2:$B$5001=Schedule!$A58)*(Results!$D$2:$D$5001))</f>
        <v>0</v>
      </c>
      <c r="FG58" s="6">
        <f>SUMPRODUCT((Results!$A$2:$A$5001=Schedule!FG$45)*(Results!$B$2:$B$5001=Schedule!$A58)*(Results!$D$2:$D$5001))</f>
        <v>0</v>
      </c>
      <c r="FH58" s="6">
        <f>SUMPRODUCT((Results!$A$2:$A$5001=Schedule!FH$45)*(Results!$B$2:$B$5001=Schedule!$A58)*(Results!$D$2:$D$5001))</f>
        <v>0</v>
      </c>
      <c r="FI58" s="6">
        <f>SUMPRODUCT((Results!$A$2:$A$5001=Schedule!FI$45)*(Results!$B$2:$B$5001=Schedule!$A58)*(Results!$D$2:$D$5001))</f>
        <v>0</v>
      </c>
      <c r="FJ58" s="6">
        <f>SUMPRODUCT((Results!$A$2:$A$5001=Schedule!FJ$45)*(Results!$B$2:$B$5001=Schedule!$A58)*(Results!$D$2:$D$5001))</f>
        <v>0</v>
      </c>
      <c r="FK58" s="6">
        <f>SUMPRODUCT((Results!$A$2:$A$5001=Schedule!FK$45)*(Results!$B$2:$B$5001=Schedule!$A58)*(Results!$D$2:$D$5001))</f>
        <v>0</v>
      </c>
      <c r="FL58" s="6">
        <f>SUMPRODUCT((Results!$A$2:$A$5001=Schedule!FL$45)*(Results!$B$2:$B$5001=Schedule!$A58)*(Results!$D$2:$D$5001))</f>
        <v>0</v>
      </c>
      <c r="FM58" s="6">
        <f>SUMPRODUCT((Results!$A$2:$A$5001=Schedule!FM$45)*(Results!$B$2:$B$5001=Schedule!$A58)*(Results!$D$2:$D$5001))</f>
        <v>0</v>
      </c>
      <c r="FN58" s="6">
        <f>SUMPRODUCT((Results!$A$2:$A$5001=Schedule!FN$45)*(Results!$B$2:$B$5001=Schedule!$A58)*(Results!$D$2:$D$5001))</f>
        <v>0</v>
      </c>
      <c r="FO58" s="6">
        <f>SUMPRODUCT((Results!$A$2:$A$5001=Schedule!FO$45)*(Results!$B$2:$B$5001=Schedule!$A58)*(Results!$D$2:$D$5001))</f>
        <v>0</v>
      </c>
      <c r="FP58" s="6">
        <f>SUMPRODUCT((Results!$A$2:$A$5001=Schedule!FP$45)*(Results!$B$2:$B$5001=Schedule!$A58)*(Results!$D$2:$D$5001))</f>
        <v>0</v>
      </c>
      <c r="FQ58" s="6">
        <f>SUMPRODUCT((Results!$A$2:$A$5001=Schedule!FQ$45)*(Results!$B$2:$B$5001=Schedule!$A58)*(Results!$D$2:$D$5001))</f>
        <v>0</v>
      </c>
      <c r="FR58" s="6">
        <f>SUMPRODUCT((Results!$A$2:$A$5001=Schedule!FR$45)*(Results!$B$2:$B$5001=Schedule!$A58)*(Results!$D$2:$D$5001))</f>
        <v>0</v>
      </c>
      <c r="FS58" s="6">
        <f>SUMPRODUCT((Results!$A$2:$A$5001=Schedule!FS$45)*(Results!$B$2:$B$5001=Schedule!$A58)*(Results!$D$2:$D$5001))</f>
        <v>0</v>
      </c>
      <c r="FT58" s="6">
        <f>SUMPRODUCT((Results!$A$2:$A$5001=Schedule!FT$45)*(Results!$B$2:$B$5001=Schedule!$A58)*(Results!$D$2:$D$5001))</f>
        <v>0</v>
      </c>
      <c r="FU58" s="6">
        <f>SUMPRODUCT((Results!$A$2:$A$5001=Schedule!FU$45)*(Results!$B$2:$B$5001=Schedule!$A58)*(Results!$D$2:$D$5001))</f>
        <v>0</v>
      </c>
      <c r="FV58" s="6">
        <f>SUMPRODUCT((Results!$A$2:$A$5001=Schedule!FV$45)*(Results!$B$2:$B$5001=Schedule!$A58)*(Results!$D$2:$D$5001))</f>
        <v>0</v>
      </c>
      <c r="FW58" s="6">
        <f>SUMPRODUCT((Results!$A$2:$A$5001=Schedule!FW$45)*(Results!$B$2:$B$5001=Schedule!$A58)*(Results!$D$2:$D$5001))</f>
        <v>0</v>
      </c>
      <c r="FX58" s="6">
        <f>SUMPRODUCT((Results!$A$2:$A$5001=Schedule!FX$45)*(Results!$B$2:$B$5001=Schedule!$A58)*(Results!$D$2:$D$5001))</f>
        <v>0</v>
      </c>
      <c r="FY58" s="6">
        <f>SUMPRODUCT((Results!$A$2:$A$5001=Schedule!FY$45)*(Results!$B$2:$B$5001=Schedule!$A58)*(Results!$D$2:$D$5001))</f>
        <v>0</v>
      </c>
      <c r="FZ58" s="6">
        <f>SUMPRODUCT((Results!$A$2:$A$5001=Schedule!FZ$45)*(Results!$B$2:$B$5001=Schedule!$A58)*(Results!$D$2:$D$5001))</f>
        <v>0</v>
      </c>
      <c r="GA58" s="6">
        <f>SUMPRODUCT((Results!$A$2:$A$5001=Schedule!GA$45)*(Results!$B$2:$B$5001=Schedule!$A58)*(Results!$D$2:$D$5001))</f>
        <v>0</v>
      </c>
      <c r="GB58" s="6">
        <f>SUMPRODUCT((Results!$A$2:$A$5001=Schedule!GB$45)*(Results!$B$2:$B$5001=Schedule!$A58)*(Results!$D$2:$D$5001))</f>
        <v>0</v>
      </c>
      <c r="GC58" s="6">
        <f>SUMPRODUCT((Results!$A$2:$A$5001=Schedule!GC$45)*(Results!$B$2:$B$5001=Schedule!$A58)*(Results!$D$2:$D$5001))</f>
        <v>0</v>
      </c>
      <c r="GD58" s="6">
        <f>SUMPRODUCT((Results!$A$2:$A$5001=Schedule!GD$45)*(Results!$B$2:$B$5001=Schedule!$A58)*(Results!$D$2:$D$5001))</f>
        <v>0</v>
      </c>
      <c r="GE58" s="6">
        <f>SUMPRODUCT((Results!$A$2:$A$5001=Schedule!GE$45)*(Results!$B$2:$B$5001=Schedule!$A58)*(Results!$D$2:$D$5001))</f>
        <v>0</v>
      </c>
      <c r="GF58" s="6">
        <f>SUMPRODUCT((Results!$A$2:$A$5001=Schedule!GF$45)*(Results!$B$2:$B$5001=Schedule!$A58)*(Results!$D$2:$D$5001))</f>
        <v>0</v>
      </c>
      <c r="GG58" s="6">
        <f>SUMPRODUCT((Results!$A$2:$A$5001=Schedule!GG$45)*(Results!$B$2:$B$5001=Schedule!$A58)*(Results!$D$2:$D$5001))</f>
        <v>0</v>
      </c>
      <c r="GH58" s="6">
        <f>SUMPRODUCT((Results!$A$2:$A$5001=Schedule!GH$45)*(Results!$B$2:$B$5001=Schedule!$A58)*(Results!$D$2:$D$5001))</f>
        <v>0</v>
      </c>
      <c r="GI58" s="6">
        <f>SUMPRODUCT((Results!$A$2:$A$5001=Schedule!GI$45)*(Results!$B$2:$B$5001=Schedule!$A58)*(Results!$D$2:$D$5001))</f>
        <v>0</v>
      </c>
      <c r="GJ58" s="6">
        <f>SUMPRODUCT((Results!$A$2:$A$5001=Schedule!GJ$45)*(Results!$B$2:$B$5001=Schedule!$A58)*(Results!$D$2:$D$5001))</f>
        <v>0</v>
      </c>
      <c r="GK58" s="6">
        <f>SUMPRODUCT((Results!$A$2:$A$5001=Schedule!GK$45)*(Results!$B$2:$B$5001=Schedule!$A58)*(Results!$D$2:$D$5001))</f>
        <v>0</v>
      </c>
      <c r="GL58" s="6">
        <f>SUMPRODUCT((Results!$A$2:$A$5001=Schedule!GL$45)*(Results!$B$2:$B$5001=Schedule!$A58)*(Results!$D$2:$D$5001))</f>
        <v>0</v>
      </c>
      <c r="GM58" s="6">
        <f>SUMPRODUCT((Results!$A$2:$A$5001=Schedule!GM$45)*(Results!$B$2:$B$5001=Schedule!$A58)*(Results!$D$2:$D$5001))</f>
        <v>0</v>
      </c>
      <c r="GN58" s="6">
        <f>SUMPRODUCT((Results!$A$2:$A$5001=Schedule!GN$45)*(Results!$B$2:$B$5001=Schedule!$A58)*(Results!$D$2:$D$5001))</f>
        <v>0</v>
      </c>
      <c r="GO58" s="6">
        <f>SUMPRODUCT((Results!$A$2:$A$5001=Schedule!GO$45)*(Results!$B$2:$B$5001=Schedule!$A58)*(Results!$D$2:$D$5001))</f>
        <v>0</v>
      </c>
      <c r="GP58" s="6">
        <f>SUMPRODUCT((Results!$A$2:$A$5001=Schedule!GP$45)*(Results!$B$2:$B$5001=Schedule!$A58)*(Results!$D$2:$D$5001))</f>
        <v>0</v>
      </c>
      <c r="GQ58" s="6">
        <f>SUMPRODUCT((Results!$A$2:$A$5001=Schedule!GQ$45)*(Results!$B$2:$B$5001=Schedule!$A58)*(Results!$D$2:$D$5001))</f>
        <v>0</v>
      </c>
      <c r="GR58" s="6">
        <f>SUMPRODUCT((Results!$A$2:$A$5001=Schedule!GR$45)*(Results!$B$2:$B$5001=Schedule!$A58)*(Results!$D$2:$D$5001))</f>
        <v>0</v>
      </c>
      <c r="GS58" s="6">
        <f>SUMPRODUCT((Results!$A$2:$A$5001=Schedule!GS$45)*(Results!$B$2:$B$5001=Schedule!$A58)*(Results!$D$2:$D$5001))</f>
        <v>0</v>
      </c>
      <c r="GT58" s="6">
        <f>SUMPRODUCT((Results!$A$2:$A$5001=Schedule!GT$45)*(Results!$B$2:$B$5001=Schedule!$A58)*(Results!$D$2:$D$5001))</f>
        <v>0</v>
      </c>
      <c r="GU58" s="6">
        <f>SUMPRODUCT((Results!$A$2:$A$5001=Schedule!GU$45)*(Results!$B$2:$B$5001=Schedule!$A58)*(Results!$D$2:$D$5001))</f>
        <v>0</v>
      </c>
    </row>
    <row r="59" spans="1:203" ht="13.5" customHeight="1" x14ac:dyDescent="0.2">
      <c r="A59" s="40">
        <v>14</v>
      </c>
      <c r="B59" s="6">
        <f t="shared" si="17"/>
        <v>31.4389</v>
      </c>
      <c r="C59" s="6">
        <f>SUMPRODUCT((Results!$A$2:$A$5001=Schedule!C$45)*(Results!$B$2:$B$5001=Schedule!$A59)*(Results!$D$2:$D$5001))</f>
        <v>0.19070000000000001</v>
      </c>
      <c r="D59" s="6">
        <f>SUMPRODUCT((Results!$A$2:$A$5001=Schedule!D$45)*(Results!$B$2:$B$5001=Schedule!$A59)*(Results!$D$2:$D$5001))</f>
        <v>16.925699999999999</v>
      </c>
      <c r="E59" s="6">
        <f>SUMPRODUCT((Results!$A$2:$A$5001=Schedule!E$45)*(Results!$B$2:$B$5001=Schedule!$A59)*(Results!$D$2:$D$5001))</f>
        <v>13.5448</v>
      </c>
      <c r="F59" s="6">
        <f>SUMPRODUCT((Results!$A$2:$A$5001=Schedule!F$45)*(Results!$B$2:$B$5001=Schedule!$A59)*(Results!$D$2:$D$5001))</f>
        <v>0</v>
      </c>
      <c r="G59" s="6">
        <f>SUMPRODUCT((Results!$A$2:$A$5001=Schedule!G$45)*(Results!$B$2:$B$5001=Schedule!$A59)*(Results!$D$2:$D$5001))</f>
        <v>0.77770000000000006</v>
      </c>
      <c r="H59" s="6">
        <f>SUMPRODUCT((Results!$A$2:$A$5001=Schedule!H$45)*(Results!$B$2:$B$5001=Schedule!$A59)*(Results!$D$2:$D$5001))</f>
        <v>0</v>
      </c>
      <c r="I59" s="6">
        <f>SUMPRODUCT((Results!$A$2:$A$5001=Schedule!I$45)*(Results!$B$2:$B$5001=Schedule!$A59)*(Results!$D$2:$D$5001))</f>
        <v>0</v>
      </c>
      <c r="J59" s="6">
        <f>SUMPRODUCT((Results!$A$2:$A$5001=Schedule!J$45)*(Results!$B$2:$B$5001=Schedule!$A59)*(Results!$D$2:$D$5001))</f>
        <v>0</v>
      </c>
      <c r="K59" s="6">
        <f>SUMPRODUCT((Results!$A$2:$A$5001=Schedule!K$45)*(Results!$B$2:$B$5001=Schedule!$A59)*(Results!$D$2:$D$5001))</f>
        <v>0</v>
      </c>
      <c r="L59" s="6">
        <f>SUMPRODUCT((Results!$A$2:$A$5001=Schedule!L$45)*(Results!$B$2:$B$5001=Schedule!$A59)*(Results!$D$2:$D$5001))</f>
        <v>0</v>
      </c>
      <c r="M59" s="6">
        <f>SUMPRODUCT((Results!$A$2:$A$5001=Schedule!M$45)*(Results!$B$2:$B$5001=Schedule!$A59)*(Results!$D$2:$D$5001))</f>
        <v>0</v>
      </c>
      <c r="N59" s="6">
        <f>SUMPRODUCT((Results!$A$2:$A$5001=Schedule!N$45)*(Results!$B$2:$B$5001=Schedule!$A59)*(Results!$D$2:$D$5001))</f>
        <v>0</v>
      </c>
      <c r="O59" s="6">
        <f>SUMPRODUCT((Results!$A$2:$A$5001=Schedule!O$45)*(Results!$B$2:$B$5001=Schedule!$A59)*(Results!$D$2:$D$5001))</f>
        <v>0</v>
      </c>
      <c r="P59" s="6">
        <f>SUMPRODUCT((Results!$A$2:$A$5001=Schedule!P$45)*(Results!$B$2:$B$5001=Schedule!$A59)*(Results!$D$2:$D$5001))</f>
        <v>0</v>
      </c>
      <c r="Q59" s="6">
        <f>SUMPRODUCT((Results!$A$2:$A$5001=Schedule!Q$45)*(Results!$B$2:$B$5001=Schedule!$A59)*(Results!$D$2:$D$5001))</f>
        <v>0</v>
      </c>
      <c r="R59" s="6">
        <f>SUMPRODUCT((Results!$A$2:$A$5001=Schedule!R$45)*(Results!$B$2:$B$5001=Schedule!$A59)*(Results!$D$2:$D$5001))</f>
        <v>0</v>
      </c>
      <c r="S59" s="6">
        <f>SUMPRODUCT((Results!$A$2:$A$5001=Schedule!S$45)*(Results!$B$2:$B$5001=Schedule!$A59)*(Results!$D$2:$D$5001))</f>
        <v>0</v>
      </c>
      <c r="T59" s="6">
        <f>SUMPRODUCT((Results!$A$2:$A$5001=Schedule!T$45)*(Results!$B$2:$B$5001=Schedule!$A59)*(Results!$D$2:$D$5001))</f>
        <v>0</v>
      </c>
      <c r="U59" s="6">
        <f>SUMPRODUCT((Results!$A$2:$A$5001=Schedule!U$45)*(Results!$B$2:$B$5001=Schedule!$A59)*(Results!$D$2:$D$5001))</f>
        <v>0</v>
      </c>
      <c r="V59" s="6">
        <f>SUMPRODUCT((Results!$A$2:$A$5001=Schedule!V$45)*(Results!$B$2:$B$5001=Schedule!$A59)*(Results!$D$2:$D$5001))</f>
        <v>0</v>
      </c>
      <c r="W59" s="6">
        <f>SUMPRODUCT((Results!$A$2:$A$5001=Schedule!W$45)*(Results!$B$2:$B$5001=Schedule!$A59)*(Results!$D$2:$D$5001))</f>
        <v>0</v>
      </c>
      <c r="X59" s="6">
        <f>SUMPRODUCT((Results!$A$2:$A$5001=Schedule!X$45)*(Results!$B$2:$B$5001=Schedule!$A59)*(Results!$D$2:$D$5001))</f>
        <v>0</v>
      </c>
      <c r="Y59" s="6">
        <f>SUMPRODUCT((Results!$A$2:$A$5001=Schedule!Y$45)*(Results!$B$2:$B$5001=Schedule!$A59)*(Results!$D$2:$D$5001))</f>
        <v>0</v>
      </c>
      <c r="Z59" s="6">
        <f>SUMPRODUCT((Results!$A$2:$A$5001=Schedule!Z$45)*(Results!$B$2:$B$5001=Schedule!$A59)*(Results!$D$2:$D$5001))</f>
        <v>0</v>
      </c>
      <c r="AA59" s="6">
        <f>SUMPRODUCT((Results!$A$2:$A$5001=Schedule!AA$45)*(Results!$B$2:$B$5001=Schedule!$A59)*(Results!$D$2:$D$5001))</f>
        <v>0</v>
      </c>
      <c r="AB59" s="6">
        <f>SUMPRODUCT((Results!$A$2:$A$5001=Schedule!AB$45)*(Results!$B$2:$B$5001=Schedule!$A59)*(Results!$D$2:$D$5001))</f>
        <v>0</v>
      </c>
      <c r="AC59" s="6">
        <f>SUMPRODUCT((Results!$A$2:$A$5001=Schedule!AC$45)*(Results!$B$2:$B$5001=Schedule!$A59)*(Results!$D$2:$D$5001))</f>
        <v>0</v>
      </c>
      <c r="AD59" s="6">
        <f>SUMPRODUCT((Results!$A$2:$A$5001=Schedule!AD$45)*(Results!$B$2:$B$5001=Schedule!$A59)*(Results!$D$2:$D$5001))</f>
        <v>0</v>
      </c>
      <c r="AE59" s="6">
        <f>SUMPRODUCT((Results!$A$2:$A$5001=Schedule!AE$45)*(Results!$B$2:$B$5001=Schedule!$A59)*(Results!$D$2:$D$5001))</f>
        <v>0</v>
      </c>
      <c r="AF59" s="6">
        <f>SUMPRODUCT((Results!$A$2:$A$5001=Schedule!AF$45)*(Results!$B$2:$B$5001=Schedule!$A59)*(Results!$D$2:$D$5001))</f>
        <v>0</v>
      </c>
      <c r="AG59" s="6">
        <f>SUMPRODUCT((Results!$A$2:$A$5001=Schedule!AG$45)*(Results!$B$2:$B$5001=Schedule!$A59)*(Results!$D$2:$D$5001))</f>
        <v>0</v>
      </c>
      <c r="AH59" s="6">
        <f>SUMPRODUCT((Results!$A$2:$A$5001=Schedule!AH$45)*(Results!$B$2:$B$5001=Schedule!$A59)*(Results!$D$2:$D$5001))</f>
        <v>0</v>
      </c>
      <c r="AI59" s="6">
        <f>SUMPRODUCT((Results!$A$2:$A$5001=Schedule!AI$45)*(Results!$B$2:$B$5001=Schedule!$A59)*(Results!$D$2:$D$5001))</f>
        <v>0</v>
      </c>
      <c r="AJ59" s="6">
        <f>SUMPRODUCT((Results!$A$2:$A$5001=Schedule!AJ$45)*(Results!$B$2:$B$5001=Schedule!$A59)*(Results!$D$2:$D$5001))</f>
        <v>0</v>
      </c>
      <c r="AK59" s="6">
        <f>SUMPRODUCT((Results!$A$2:$A$5001=Schedule!AK$45)*(Results!$B$2:$B$5001=Schedule!$A59)*(Results!$D$2:$D$5001))</f>
        <v>0</v>
      </c>
      <c r="AL59" s="6">
        <f>SUMPRODUCT((Results!$A$2:$A$5001=Schedule!AL$45)*(Results!$B$2:$B$5001=Schedule!$A59)*(Results!$D$2:$D$5001))</f>
        <v>0</v>
      </c>
      <c r="AM59" s="6">
        <f>SUMPRODUCT((Results!$A$2:$A$5001=Schedule!AM$45)*(Results!$B$2:$B$5001=Schedule!$A59)*(Results!$D$2:$D$5001))</f>
        <v>0</v>
      </c>
      <c r="AN59" s="6">
        <f>SUMPRODUCT((Results!$A$2:$A$5001=Schedule!AN$45)*(Results!$B$2:$B$5001=Schedule!$A59)*(Results!$D$2:$D$5001))</f>
        <v>0</v>
      </c>
      <c r="AO59" s="6">
        <f>SUMPRODUCT((Results!$A$2:$A$5001=Schedule!AO$45)*(Results!$B$2:$B$5001=Schedule!$A59)*(Results!$D$2:$D$5001))</f>
        <v>0</v>
      </c>
      <c r="AP59" s="6">
        <f>SUMPRODUCT((Results!$A$2:$A$5001=Schedule!AP$45)*(Results!$B$2:$B$5001=Schedule!$A59)*(Results!$D$2:$D$5001))</f>
        <v>0</v>
      </c>
      <c r="AQ59" s="6">
        <f>SUMPRODUCT((Results!$A$2:$A$5001=Schedule!AQ$45)*(Results!$B$2:$B$5001=Schedule!$A59)*(Results!$D$2:$D$5001))</f>
        <v>0</v>
      </c>
      <c r="AR59" s="6">
        <f>SUMPRODUCT((Results!$A$2:$A$5001=Schedule!AR$45)*(Results!$B$2:$B$5001=Schedule!$A59)*(Results!$D$2:$D$5001))</f>
        <v>0</v>
      </c>
      <c r="AS59" s="6">
        <f>SUMPRODUCT((Results!$A$2:$A$5001=Schedule!AS$45)*(Results!$B$2:$B$5001=Schedule!$A59)*(Results!$D$2:$D$5001))</f>
        <v>0</v>
      </c>
      <c r="AT59" s="6">
        <f>SUMPRODUCT((Results!$A$2:$A$5001=Schedule!AT$45)*(Results!$B$2:$B$5001=Schedule!$A59)*(Results!$D$2:$D$5001))</f>
        <v>0</v>
      </c>
      <c r="AU59" s="6">
        <f>SUMPRODUCT((Results!$A$2:$A$5001=Schedule!AU$45)*(Results!$B$2:$B$5001=Schedule!$A59)*(Results!$D$2:$D$5001))</f>
        <v>0</v>
      </c>
      <c r="AV59" s="6">
        <f>SUMPRODUCT((Results!$A$2:$A$5001=Schedule!AV$45)*(Results!$B$2:$B$5001=Schedule!$A59)*(Results!$D$2:$D$5001))</f>
        <v>0</v>
      </c>
      <c r="AW59" s="6">
        <f>SUMPRODUCT((Results!$A$2:$A$5001=Schedule!AW$45)*(Results!$B$2:$B$5001=Schedule!$A59)*(Results!$D$2:$D$5001))</f>
        <v>0</v>
      </c>
      <c r="AX59" s="6">
        <f>SUMPRODUCT((Results!$A$2:$A$5001=Schedule!AX$45)*(Results!$B$2:$B$5001=Schedule!$A59)*(Results!$D$2:$D$5001))</f>
        <v>0</v>
      </c>
      <c r="AY59" s="6">
        <f>SUMPRODUCT((Results!$A$2:$A$5001=Schedule!AY$45)*(Results!$B$2:$B$5001=Schedule!$A59)*(Results!$D$2:$D$5001))</f>
        <v>0</v>
      </c>
      <c r="AZ59" s="6">
        <f>SUMPRODUCT((Results!$A$2:$A$5001=Schedule!AZ$45)*(Results!$B$2:$B$5001=Schedule!$A59)*(Results!$D$2:$D$5001))</f>
        <v>0</v>
      </c>
      <c r="BA59" s="6">
        <f>SUMPRODUCT((Results!$A$2:$A$5001=Schedule!BA$45)*(Results!$B$2:$B$5001=Schedule!$A59)*(Results!$D$2:$D$5001))</f>
        <v>0</v>
      </c>
      <c r="BB59" s="6">
        <f>SUMPRODUCT((Results!$A$2:$A$5001=Schedule!BB$45)*(Results!$B$2:$B$5001=Schedule!$A59)*(Results!$D$2:$D$5001))</f>
        <v>0</v>
      </c>
      <c r="BC59" s="6">
        <f>SUMPRODUCT((Results!$A$2:$A$5001=Schedule!BC$45)*(Results!$B$2:$B$5001=Schedule!$A59)*(Results!$D$2:$D$5001))</f>
        <v>0</v>
      </c>
      <c r="BD59" s="6">
        <f>SUMPRODUCT((Results!$A$2:$A$5001=Schedule!BD$45)*(Results!$B$2:$B$5001=Schedule!$A59)*(Results!$D$2:$D$5001))</f>
        <v>0</v>
      </c>
      <c r="BE59" s="6">
        <f>SUMPRODUCT((Results!$A$2:$A$5001=Schedule!BE$45)*(Results!$B$2:$B$5001=Schedule!$A59)*(Results!$D$2:$D$5001))</f>
        <v>0</v>
      </c>
      <c r="BF59" s="6">
        <f>SUMPRODUCT((Results!$A$2:$A$5001=Schedule!BF$45)*(Results!$B$2:$B$5001=Schedule!$A59)*(Results!$D$2:$D$5001))</f>
        <v>0</v>
      </c>
      <c r="BG59" s="6">
        <f>SUMPRODUCT((Results!$A$2:$A$5001=Schedule!BG$45)*(Results!$B$2:$B$5001=Schedule!$A59)*(Results!$D$2:$D$5001))</f>
        <v>0</v>
      </c>
      <c r="BH59" s="6">
        <f>SUMPRODUCT((Results!$A$2:$A$5001=Schedule!BH$45)*(Results!$B$2:$B$5001=Schedule!$A59)*(Results!$D$2:$D$5001))</f>
        <v>0</v>
      </c>
      <c r="BI59" s="6">
        <f>SUMPRODUCT((Results!$A$2:$A$5001=Schedule!BI$45)*(Results!$B$2:$B$5001=Schedule!$A59)*(Results!$D$2:$D$5001))</f>
        <v>0</v>
      </c>
      <c r="BJ59" s="6">
        <f>SUMPRODUCT((Results!$A$2:$A$5001=Schedule!BJ$45)*(Results!$B$2:$B$5001=Schedule!$A59)*(Results!$D$2:$D$5001))</f>
        <v>0</v>
      </c>
      <c r="BK59" s="6">
        <f>SUMPRODUCT((Results!$A$2:$A$5001=Schedule!BK$45)*(Results!$B$2:$B$5001=Schedule!$A59)*(Results!$D$2:$D$5001))</f>
        <v>0</v>
      </c>
      <c r="BL59" s="6">
        <f>SUMPRODUCT((Results!$A$2:$A$5001=Schedule!BL$45)*(Results!$B$2:$B$5001=Schedule!$A59)*(Results!$D$2:$D$5001))</f>
        <v>0</v>
      </c>
      <c r="BM59" s="6">
        <f>SUMPRODUCT((Results!$A$2:$A$5001=Schedule!BM$45)*(Results!$B$2:$B$5001=Schedule!$A59)*(Results!$D$2:$D$5001))</f>
        <v>0</v>
      </c>
      <c r="BN59" s="6">
        <f>SUMPRODUCT((Results!$A$2:$A$5001=Schedule!BN$45)*(Results!$B$2:$B$5001=Schedule!$A59)*(Results!$D$2:$D$5001))</f>
        <v>0</v>
      </c>
      <c r="BO59" s="6">
        <f>SUMPRODUCT((Results!$A$2:$A$5001=Schedule!BO$45)*(Results!$B$2:$B$5001=Schedule!$A59)*(Results!$D$2:$D$5001))</f>
        <v>0</v>
      </c>
      <c r="BP59" s="6">
        <f>SUMPRODUCT((Results!$A$2:$A$5001=Schedule!BP$45)*(Results!$B$2:$B$5001=Schedule!$A59)*(Results!$D$2:$D$5001))</f>
        <v>0</v>
      </c>
      <c r="BQ59" s="6">
        <f>SUMPRODUCT((Results!$A$2:$A$5001=Schedule!BQ$45)*(Results!$B$2:$B$5001=Schedule!$A59)*(Results!$D$2:$D$5001))</f>
        <v>0</v>
      </c>
      <c r="BR59" s="6">
        <f>SUMPRODUCT((Results!$A$2:$A$5001=Schedule!BR$45)*(Results!$B$2:$B$5001=Schedule!$A59)*(Results!$D$2:$D$5001))</f>
        <v>0</v>
      </c>
      <c r="BS59" s="6">
        <f>SUMPRODUCT((Results!$A$2:$A$5001=Schedule!BS$45)*(Results!$B$2:$B$5001=Schedule!$A59)*(Results!$D$2:$D$5001))</f>
        <v>0</v>
      </c>
      <c r="BT59" s="6">
        <f>SUMPRODUCT((Results!$A$2:$A$5001=Schedule!BT$45)*(Results!$B$2:$B$5001=Schedule!$A59)*(Results!$D$2:$D$5001))</f>
        <v>0</v>
      </c>
      <c r="BU59" s="6">
        <f>SUMPRODUCT((Results!$A$2:$A$5001=Schedule!BU$45)*(Results!$B$2:$B$5001=Schedule!$A59)*(Results!$D$2:$D$5001))</f>
        <v>0</v>
      </c>
      <c r="BV59" s="6">
        <f>SUMPRODUCT((Results!$A$2:$A$5001=Schedule!BV$45)*(Results!$B$2:$B$5001=Schedule!$A59)*(Results!$D$2:$D$5001))</f>
        <v>0</v>
      </c>
      <c r="BW59" s="6">
        <f>SUMPRODUCT((Results!$A$2:$A$5001=Schedule!BW$45)*(Results!$B$2:$B$5001=Schedule!$A59)*(Results!$D$2:$D$5001))</f>
        <v>0</v>
      </c>
      <c r="BX59" s="6">
        <f>SUMPRODUCT((Results!$A$2:$A$5001=Schedule!BX$45)*(Results!$B$2:$B$5001=Schedule!$A59)*(Results!$D$2:$D$5001))</f>
        <v>0</v>
      </c>
      <c r="BY59" s="6">
        <f>SUMPRODUCT((Results!$A$2:$A$5001=Schedule!BY$45)*(Results!$B$2:$B$5001=Schedule!$A59)*(Results!$D$2:$D$5001))</f>
        <v>0</v>
      </c>
      <c r="BZ59" s="6">
        <f>SUMPRODUCT((Results!$A$2:$A$5001=Schedule!BZ$45)*(Results!$B$2:$B$5001=Schedule!$A59)*(Results!$D$2:$D$5001))</f>
        <v>0</v>
      </c>
      <c r="CA59" s="6">
        <f>SUMPRODUCT((Results!$A$2:$A$5001=Schedule!CA$45)*(Results!$B$2:$B$5001=Schedule!$A59)*(Results!$D$2:$D$5001))</f>
        <v>0</v>
      </c>
      <c r="CB59" s="6">
        <f>SUMPRODUCT((Results!$A$2:$A$5001=Schedule!CB$45)*(Results!$B$2:$B$5001=Schedule!$A59)*(Results!$D$2:$D$5001))</f>
        <v>0</v>
      </c>
      <c r="CC59" s="6">
        <f>SUMPRODUCT((Results!$A$2:$A$5001=Schedule!CC$45)*(Results!$B$2:$B$5001=Schedule!$A59)*(Results!$D$2:$D$5001))</f>
        <v>0</v>
      </c>
      <c r="CD59" s="6">
        <f>SUMPRODUCT((Results!$A$2:$A$5001=Schedule!CD$45)*(Results!$B$2:$B$5001=Schedule!$A59)*(Results!$D$2:$D$5001))</f>
        <v>0</v>
      </c>
      <c r="CE59" s="6">
        <f>SUMPRODUCT((Results!$A$2:$A$5001=Schedule!CE$45)*(Results!$B$2:$B$5001=Schedule!$A59)*(Results!$D$2:$D$5001))</f>
        <v>0</v>
      </c>
      <c r="CF59" s="6">
        <f>SUMPRODUCT((Results!$A$2:$A$5001=Schedule!CF$45)*(Results!$B$2:$B$5001=Schedule!$A59)*(Results!$D$2:$D$5001))</f>
        <v>0</v>
      </c>
      <c r="CG59" s="6">
        <f>SUMPRODUCT((Results!$A$2:$A$5001=Schedule!CG$45)*(Results!$B$2:$B$5001=Schedule!$A59)*(Results!$D$2:$D$5001))</f>
        <v>0</v>
      </c>
      <c r="CH59" s="6">
        <f>SUMPRODUCT((Results!$A$2:$A$5001=Schedule!CH$45)*(Results!$B$2:$B$5001=Schedule!$A59)*(Results!$D$2:$D$5001))</f>
        <v>0</v>
      </c>
      <c r="CI59" s="6">
        <f>SUMPRODUCT((Results!$A$2:$A$5001=Schedule!CI$45)*(Results!$B$2:$B$5001=Schedule!$A59)*(Results!$D$2:$D$5001))</f>
        <v>0</v>
      </c>
      <c r="CJ59" s="6">
        <f>SUMPRODUCT((Results!$A$2:$A$5001=Schedule!CJ$45)*(Results!$B$2:$B$5001=Schedule!$A59)*(Results!$D$2:$D$5001))</f>
        <v>0</v>
      </c>
      <c r="CK59" s="6">
        <f>SUMPRODUCT((Results!$A$2:$A$5001=Schedule!CK$45)*(Results!$B$2:$B$5001=Schedule!$A59)*(Results!$D$2:$D$5001))</f>
        <v>0</v>
      </c>
      <c r="CL59" s="6">
        <f>SUMPRODUCT((Results!$A$2:$A$5001=Schedule!CL$45)*(Results!$B$2:$B$5001=Schedule!$A59)*(Results!$D$2:$D$5001))</f>
        <v>0</v>
      </c>
      <c r="CM59" s="6">
        <f>SUMPRODUCT((Results!$A$2:$A$5001=Schedule!CM$45)*(Results!$B$2:$B$5001=Schedule!$A59)*(Results!$D$2:$D$5001))</f>
        <v>0</v>
      </c>
      <c r="CN59" s="6">
        <f>SUMPRODUCT((Results!$A$2:$A$5001=Schedule!CN$45)*(Results!$B$2:$B$5001=Schedule!$A59)*(Results!$D$2:$D$5001))</f>
        <v>0</v>
      </c>
      <c r="CO59" s="6">
        <f>SUMPRODUCT((Results!$A$2:$A$5001=Schedule!CO$45)*(Results!$B$2:$B$5001=Schedule!$A59)*(Results!$D$2:$D$5001))</f>
        <v>0</v>
      </c>
      <c r="CP59" s="6">
        <f>SUMPRODUCT((Results!$A$2:$A$5001=Schedule!CP$45)*(Results!$B$2:$B$5001=Schedule!$A59)*(Results!$D$2:$D$5001))</f>
        <v>0</v>
      </c>
      <c r="CQ59" s="6">
        <f>SUMPRODUCT((Results!$A$2:$A$5001=Schedule!CQ$45)*(Results!$B$2:$B$5001=Schedule!$A59)*(Results!$D$2:$D$5001))</f>
        <v>0</v>
      </c>
      <c r="CR59" s="6">
        <f>SUMPRODUCT((Results!$A$2:$A$5001=Schedule!CR$45)*(Results!$B$2:$B$5001=Schedule!$A59)*(Results!$D$2:$D$5001))</f>
        <v>0</v>
      </c>
      <c r="CS59" s="6">
        <f>SUMPRODUCT((Results!$A$2:$A$5001=Schedule!CS$45)*(Results!$B$2:$B$5001=Schedule!$A59)*(Results!$D$2:$D$5001))</f>
        <v>0</v>
      </c>
      <c r="CT59" s="6">
        <f>SUMPRODUCT((Results!$A$2:$A$5001=Schedule!CT$45)*(Results!$B$2:$B$5001=Schedule!$A59)*(Results!$D$2:$D$5001))</f>
        <v>0</v>
      </c>
      <c r="CU59" s="6">
        <f>SUMPRODUCT((Results!$A$2:$A$5001=Schedule!CU$45)*(Results!$B$2:$B$5001=Schedule!$A59)*(Results!$D$2:$D$5001))</f>
        <v>0</v>
      </c>
      <c r="CV59" s="6">
        <f>SUMPRODUCT((Results!$A$2:$A$5001=Schedule!CV$45)*(Results!$B$2:$B$5001=Schedule!$A59)*(Results!$D$2:$D$5001))</f>
        <v>0</v>
      </c>
      <c r="CW59" s="6">
        <f>SUMPRODUCT((Results!$A$2:$A$5001=Schedule!CW$45)*(Results!$B$2:$B$5001=Schedule!$A59)*(Results!$D$2:$D$5001))</f>
        <v>0</v>
      </c>
      <c r="CX59" s="6">
        <f>SUMPRODUCT((Results!$A$2:$A$5001=Schedule!CX$45)*(Results!$B$2:$B$5001=Schedule!$A59)*(Results!$D$2:$D$5001))</f>
        <v>0</v>
      </c>
      <c r="CY59" s="6">
        <f>SUMPRODUCT((Results!$A$2:$A$5001=Schedule!CY$45)*(Results!$B$2:$B$5001=Schedule!$A59)*(Results!$D$2:$D$5001))</f>
        <v>0</v>
      </c>
      <c r="CZ59" s="6">
        <f>SUMPRODUCT((Results!$A$2:$A$5001=Schedule!CZ$45)*(Results!$B$2:$B$5001=Schedule!$A59)*(Results!$D$2:$D$5001))</f>
        <v>0</v>
      </c>
      <c r="DA59" s="6">
        <f>SUMPRODUCT((Results!$A$2:$A$5001=Schedule!DA$45)*(Results!$B$2:$B$5001=Schedule!$A59)*(Results!$D$2:$D$5001))</f>
        <v>0</v>
      </c>
      <c r="DB59" s="6">
        <f>SUMPRODUCT((Results!$A$2:$A$5001=Schedule!DB$45)*(Results!$B$2:$B$5001=Schedule!$A59)*(Results!$D$2:$D$5001))</f>
        <v>0</v>
      </c>
      <c r="DC59" s="6">
        <f>SUMPRODUCT((Results!$A$2:$A$5001=Schedule!DC$45)*(Results!$B$2:$B$5001=Schedule!$A59)*(Results!$D$2:$D$5001))</f>
        <v>0</v>
      </c>
      <c r="DD59" s="6">
        <f>SUMPRODUCT((Results!$A$2:$A$5001=Schedule!DD$45)*(Results!$B$2:$B$5001=Schedule!$A59)*(Results!$D$2:$D$5001))</f>
        <v>0</v>
      </c>
      <c r="DE59" s="6">
        <f>SUMPRODUCT((Results!$A$2:$A$5001=Schedule!DE$45)*(Results!$B$2:$B$5001=Schedule!$A59)*(Results!$D$2:$D$5001))</f>
        <v>0</v>
      </c>
      <c r="DF59" s="6">
        <f>SUMPRODUCT((Results!$A$2:$A$5001=Schedule!DF$45)*(Results!$B$2:$B$5001=Schedule!$A59)*(Results!$D$2:$D$5001))</f>
        <v>0</v>
      </c>
      <c r="DG59" s="6">
        <f>SUMPRODUCT((Results!$A$2:$A$5001=Schedule!DG$45)*(Results!$B$2:$B$5001=Schedule!$A59)*(Results!$D$2:$D$5001))</f>
        <v>0</v>
      </c>
      <c r="DH59" s="6">
        <f>SUMPRODUCT((Results!$A$2:$A$5001=Schedule!DH$45)*(Results!$B$2:$B$5001=Schedule!$A59)*(Results!$D$2:$D$5001))</f>
        <v>0</v>
      </c>
      <c r="DI59" s="6">
        <f>SUMPRODUCT((Results!$A$2:$A$5001=Schedule!DI$45)*(Results!$B$2:$B$5001=Schedule!$A59)*(Results!$D$2:$D$5001))</f>
        <v>0</v>
      </c>
      <c r="DJ59" s="6">
        <f>SUMPRODUCT((Results!$A$2:$A$5001=Schedule!DJ$45)*(Results!$B$2:$B$5001=Schedule!$A59)*(Results!$D$2:$D$5001))</f>
        <v>0</v>
      </c>
      <c r="DK59" s="6">
        <f>SUMPRODUCT((Results!$A$2:$A$5001=Schedule!DK$45)*(Results!$B$2:$B$5001=Schedule!$A59)*(Results!$D$2:$D$5001))</f>
        <v>0</v>
      </c>
      <c r="DL59" s="6">
        <f>SUMPRODUCT((Results!$A$2:$A$5001=Schedule!DL$45)*(Results!$B$2:$B$5001=Schedule!$A59)*(Results!$D$2:$D$5001))</f>
        <v>0</v>
      </c>
      <c r="DM59" s="6">
        <f>SUMPRODUCT((Results!$A$2:$A$5001=Schedule!DM$45)*(Results!$B$2:$B$5001=Schedule!$A59)*(Results!$D$2:$D$5001))</f>
        <v>0</v>
      </c>
      <c r="DN59" s="6">
        <f>SUMPRODUCT((Results!$A$2:$A$5001=Schedule!DN$45)*(Results!$B$2:$B$5001=Schedule!$A59)*(Results!$D$2:$D$5001))</f>
        <v>0</v>
      </c>
      <c r="DO59" s="6">
        <f>SUMPRODUCT((Results!$A$2:$A$5001=Schedule!DO$45)*(Results!$B$2:$B$5001=Schedule!$A59)*(Results!$D$2:$D$5001))</f>
        <v>0</v>
      </c>
      <c r="DP59" s="6">
        <f>SUMPRODUCT((Results!$A$2:$A$5001=Schedule!DP$45)*(Results!$B$2:$B$5001=Schedule!$A59)*(Results!$D$2:$D$5001))</f>
        <v>0</v>
      </c>
      <c r="DQ59" s="6">
        <f>SUMPRODUCT((Results!$A$2:$A$5001=Schedule!DQ$45)*(Results!$B$2:$B$5001=Schedule!$A59)*(Results!$D$2:$D$5001))</f>
        <v>0</v>
      </c>
      <c r="DR59" s="6">
        <f>SUMPRODUCT((Results!$A$2:$A$5001=Schedule!DR$45)*(Results!$B$2:$B$5001=Schedule!$A59)*(Results!$D$2:$D$5001))</f>
        <v>0</v>
      </c>
      <c r="DS59" s="6">
        <f>SUMPRODUCT((Results!$A$2:$A$5001=Schedule!DS$45)*(Results!$B$2:$B$5001=Schedule!$A59)*(Results!$D$2:$D$5001))</f>
        <v>0</v>
      </c>
      <c r="DT59" s="6">
        <f>SUMPRODUCT((Results!$A$2:$A$5001=Schedule!DT$45)*(Results!$B$2:$B$5001=Schedule!$A59)*(Results!$D$2:$D$5001))</f>
        <v>0</v>
      </c>
      <c r="DU59" s="6">
        <f>SUMPRODUCT((Results!$A$2:$A$5001=Schedule!DU$45)*(Results!$B$2:$B$5001=Schedule!$A59)*(Results!$D$2:$D$5001))</f>
        <v>0</v>
      </c>
      <c r="DV59" s="6">
        <f>SUMPRODUCT((Results!$A$2:$A$5001=Schedule!DV$45)*(Results!$B$2:$B$5001=Schedule!$A59)*(Results!$D$2:$D$5001))</f>
        <v>0</v>
      </c>
      <c r="DW59" s="6">
        <f>SUMPRODUCT((Results!$A$2:$A$5001=Schedule!DW$45)*(Results!$B$2:$B$5001=Schedule!$A59)*(Results!$D$2:$D$5001))</f>
        <v>0</v>
      </c>
      <c r="DX59" s="6">
        <f>SUMPRODUCT((Results!$A$2:$A$5001=Schedule!DX$45)*(Results!$B$2:$B$5001=Schedule!$A59)*(Results!$D$2:$D$5001))</f>
        <v>0</v>
      </c>
      <c r="DY59" s="6">
        <f>SUMPRODUCT((Results!$A$2:$A$5001=Schedule!DY$45)*(Results!$B$2:$B$5001=Schedule!$A59)*(Results!$D$2:$D$5001))</f>
        <v>0</v>
      </c>
      <c r="DZ59" s="6">
        <f>SUMPRODUCT((Results!$A$2:$A$5001=Schedule!DZ$45)*(Results!$B$2:$B$5001=Schedule!$A59)*(Results!$D$2:$D$5001))</f>
        <v>0</v>
      </c>
      <c r="EA59" s="6">
        <f>SUMPRODUCT((Results!$A$2:$A$5001=Schedule!EA$45)*(Results!$B$2:$B$5001=Schedule!$A59)*(Results!$D$2:$D$5001))</f>
        <v>0</v>
      </c>
      <c r="EB59" s="6">
        <f>SUMPRODUCT((Results!$A$2:$A$5001=Schedule!EB$45)*(Results!$B$2:$B$5001=Schedule!$A59)*(Results!$D$2:$D$5001))</f>
        <v>0</v>
      </c>
      <c r="EC59" s="6">
        <f>SUMPRODUCT((Results!$A$2:$A$5001=Schedule!EC$45)*(Results!$B$2:$B$5001=Schedule!$A59)*(Results!$D$2:$D$5001))</f>
        <v>0</v>
      </c>
      <c r="ED59" s="6">
        <f>SUMPRODUCT((Results!$A$2:$A$5001=Schedule!ED$45)*(Results!$B$2:$B$5001=Schedule!$A59)*(Results!$D$2:$D$5001))</f>
        <v>0</v>
      </c>
      <c r="EE59" s="6">
        <f>SUMPRODUCT((Results!$A$2:$A$5001=Schedule!EE$45)*(Results!$B$2:$B$5001=Schedule!$A59)*(Results!$D$2:$D$5001))</f>
        <v>0</v>
      </c>
      <c r="EF59" s="6">
        <f>SUMPRODUCT((Results!$A$2:$A$5001=Schedule!EF$45)*(Results!$B$2:$B$5001=Schedule!$A59)*(Results!$D$2:$D$5001))</f>
        <v>0</v>
      </c>
      <c r="EG59" s="6">
        <f>SUMPRODUCT((Results!$A$2:$A$5001=Schedule!EG$45)*(Results!$B$2:$B$5001=Schedule!$A59)*(Results!$D$2:$D$5001))</f>
        <v>0</v>
      </c>
      <c r="EH59" s="6">
        <f>SUMPRODUCT((Results!$A$2:$A$5001=Schedule!EH$45)*(Results!$B$2:$B$5001=Schedule!$A59)*(Results!$D$2:$D$5001))</f>
        <v>0</v>
      </c>
      <c r="EI59" s="6">
        <f>SUMPRODUCT((Results!$A$2:$A$5001=Schedule!EI$45)*(Results!$B$2:$B$5001=Schedule!$A59)*(Results!$D$2:$D$5001))</f>
        <v>0</v>
      </c>
      <c r="EJ59" s="6">
        <f>SUMPRODUCT((Results!$A$2:$A$5001=Schedule!EJ$45)*(Results!$B$2:$B$5001=Schedule!$A59)*(Results!$D$2:$D$5001))</f>
        <v>0</v>
      </c>
      <c r="EK59" s="6">
        <f>SUMPRODUCT((Results!$A$2:$A$5001=Schedule!EK$45)*(Results!$B$2:$B$5001=Schedule!$A59)*(Results!$D$2:$D$5001))</f>
        <v>0</v>
      </c>
      <c r="EL59" s="6">
        <f>SUMPRODUCT((Results!$A$2:$A$5001=Schedule!EL$45)*(Results!$B$2:$B$5001=Schedule!$A59)*(Results!$D$2:$D$5001))</f>
        <v>0</v>
      </c>
      <c r="EM59" s="6">
        <f>SUMPRODUCT((Results!$A$2:$A$5001=Schedule!EM$45)*(Results!$B$2:$B$5001=Schedule!$A59)*(Results!$D$2:$D$5001))</f>
        <v>0</v>
      </c>
      <c r="EN59" s="6">
        <f>SUMPRODUCT((Results!$A$2:$A$5001=Schedule!EN$45)*(Results!$B$2:$B$5001=Schedule!$A59)*(Results!$D$2:$D$5001))</f>
        <v>0</v>
      </c>
      <c r="EO59" s="6">
        <f>SUMPRODUCT((Results!$A$2:$A$5001=Schedule!EO$45)*(Results!$B$2:$B$5001=Schedule!$A59)*(Results!$D$2:$D$5001))</f>
        <v>0</v>
      </c>
      <c r="EP59" s="6">
        <f>SUMPRODUCT((Results!$A$2:$A$5001=Schedule!EP$45)*(Results!$B$2:$B$5001=Schedule!$A59)*(Results!$D$2:$D$5001))</f>
        <v>0</v>
      </c>
      <c r="EQ59" s="6">
        <f>SUMPRODUCT((Results!$A$2:$A$5001=Schedule!EQ$45)*(Results!$B$2:$B$5001=Schedule!$A59)*(Results!$D$2:$D$5001))</f>
        <v>0</v>
      </c>
      <c r="ER59" s="6">
        <f>SUMPRODUCT((Results!$A$2:$A$5001=Schedule!ER$45)*(Results!$B$2:$B$5001=Schedule!$A59)*(Results!$D$2:$D$5001))</f>
        <v>0</v>
      </c>
      <c r="ES59" s="6">
        <f>SUMPRODUCT((Results!$A$2:$A$5001=Schedule!ES$45)*(Results!$B$2:$B$5001=Schedule!$A59)*(Results!$D$2:$D$5001))</f>
        <v>0</v>
      </c>
      <c r="ET59" s="6">
        <f>SUMPRODUCT((Results!$A$2:$A$5001=Schedule!ET$45)*(Results!$B$2:$B$5001=Schedule!$A59)*(Results!$D$2:$D$5001))</f>
        <v>0</v>
      </c>
      <c r="EU59" s="6">
        <f>SUMPRODUCT((Results!$A$2:$A$5001=Schedule!EU$45)*(Results!$B$2:$B$5001=Schedule!$A59)*(Results!$D$2:$D$5001))</f>
        <v>0</v>
      </c>
      <c r="EV59" s="6">
        <f>SUMPRODUCT((Results!$A$2:$A$5001=Schedule!EV$45)*(Results!$B$2:$B$5001=Schedule!$A59)*(Results!$D$2:$D$5001))</f>
        <v>0</v>
      </c>
      <c r="EW59" s="6">
        <f>SUMPRODUCT((Results!$A$2:$A$5001=Schedule!EW$45)*(Results!$B$2:$B$5001=Schedule!$A59)*(Results!$D$2:$D$5001))</f>
        <v>0</v>
      </c>
      <c r="EX59" s="6">
        <f>SUMPRODUCT((Results!$A$2:$A$5001=Schedule!EX$45)*(Results!$B$2:$B$5001=Schedule!$A59)*(Results!$D$2:$D$5001))</f>
        <v>0</v>
      </c>
      <c r="EY59" s="6">
        <f>SUMPRODUCT((Results!$A$2:$A$5001=Schedule!EY$45)*(Results!$B$2:$B$5001=Schedule!$A59)*(Results!$D$2:$D$5001))</f>
        <v>0</v>
      </c>
      <c r="EZ59" s="6">
        <f>SUMPRODUCT((Results!$A$2:$A$5001=Schedule!EZ$45)*(Results!$B$2:$B$5001=Schedule!$A59)*(Results!$D$2:$D$5001))</f>
        <v>0</v>
      </c>
      <c r="FA59" s="6">
        <f>SUMPRODUCT((Results!$A$2:$A$5001=Schedule!FA$45)*(Results!$B$2:$B$5001=Schedule!$A59)*(Results!$D$2:$D$5001))</f>
        <v>0</v>
      </c>
      <c r="FB59" s="6">
        <f>SUMPRODUCT((Results!$A$2:$A$5001=Schedule!FB$45)*(Results!$B$2:$B$5001=Schedule!$A59)*(Results!$D$2:$D$5001))</f>
        <v>0</v>
      </c>
      <c r="FC59" s="6">
        <f>SUMPRODUCT((Results!$A$2:$A$5001=Schedule!FC$45)*(Results!$B$2:$B$5001=Schedule!$A59)*(Results!$D$2:$D$5001))</f>
        <v>0</v>
      </c>
      <c r="FD59" s="6">
        <f>SUMPRODUCT((Results!$A$2:$A$5001=Schedule!FD$45)*(Results!$B$2:$B$5001=Schedule!$A59)*(Results!$D$2:$D$5001))</f>
        <v>0</v>
      </c>
      <c r="FE59" s="6">
        <f>SUMPRODUCT((Results!$A$2:$A$5001=Schedule!FE$45)*(Results!$B$2:$B$5001=Schedule!$A59)*(Results!$D$2:$D$5001))</f>
        <v>0</v>
      </c>
      <c r="FF59" s="6">
        <f>SUMPRODUCT((Results!$A$2:$A$5001=Schedule!FF$45)*(Results!$B$2:$B$5001=Schedule!$A59)*(Results!$D$2:$D$5001))</f>
        <v>0</v>
      </c>
      <c r="FG59" s="6">
        <f>SUMPRODUCT((Results!$A$2:$A$5001=Schedule!FG$45)*(Results!$B$2:$B$5001=Schedule!$A59)*(Results!$D$2:$D$5001))</f>
        <v>0</v>
      </c>
      <c r="FH59" s="6">
        <f>SUMPRODUCT((Results!$A$2:$A$5001=Schedule!FH$45)*(Results!$B$2:$B$5001=Schedule!$A59)*(Results!$D$2:$D$5001))</f>
        <v>0</v>
      </c>
      <c r="FI59" s="6">
        <f>SUMPRODUCT((Results!$A$2:$A$5001=Schedule!FI$45)*(Results!$B$2:$B$5001=Schedule!$A59)*(Results!$D$2:$D$5001))</f>
        <v>0</v>
      </c>
      <c r="FJ59" s="6">
        <f>SUMPRODUCT((Results!$A$2:$A$5001=Schedule!FJ$45)*(Results!$B$2:$B$5001=Schedule!$A59)*(Results!$D$2:$D$5001))</f>
        <v>0</v>
      </c>
      <c r="FK59" s="6">
        <f>SUMPRODUCT((Results!$A$2:$A$5001=Schedule!FK$45)*(Results!$B$2:$B$5001=Schedule!$A59)*(Results!$D$2:$D$5001))</f>
        <v>0</v>
      </c>
      <c r="FL59" s="6">
        <f>SUMPRODUCT((Results!$A$2:$A$5001=Schedule!FL$45)*(Results!$B$2:$B$5001=Schedule!$A59)*(Results!$D$2:$D$5001))</f>
        <v>0</v>
      </c>
      <c r="FM59" s="6">
        <f>SUMPRODUCT((Results!$A$2:$A$5001=Schedule!FM$45)*(Results!$B$2:$B$5001=Schedule!$A59)*(Results!$D$2:$D$5001))</f>
        <v>0</v>
      </c>
      <c r="FN59" s="6">
        <f>SUMPRODUCT((Results!$A$2:$A$5001=Schedule!FN$45)*(Results!$B$2:$B$5001=Schedule!$A59)*(Results!$D$2:$D$5001))</f>
        <v>0</v>
      </c>
      <c r="FO59" s="6">
        <f>SUMPRODUCT((Results!$A$2:$A$5001=Schedule!FO$45)*(Results!$B$2:$B$5001=Schedule!$A59)*(Results!$D$2:$D$5001))</f>
        <v>0</v>
      </c>
      <c r="FP59" s="6">
        <f>SUMPRODUCT((Results!$A$2:$A$5001=Schedule!FP$45)*(Results!$B$2:$B$5001=Schedule!$A59)*(Results!$D$2:$D$5001))</f>
        <v>0</v>
      </c>
      <c r="FQ59" s="6">
        <f>SUMPRODUCT((Results!$A$2:$A$5001=Schedule!FQ$45)*(Results!$B$2:$B$5001=Schedule!$A59)*(Results!$D$2:$D$5001))</f>
        <v>0</v>
      </c>
      <c r="FR59" s="6">
        <f>SUMPRODUCT((Results!$A$2:$A$5001=Schedule!FR$45)*(Results!$B$2:$B$5001=Schedule!$A59)*(Results!$D$2:$D$5001))</f>
        <v>0</v>
      </c>
      <c r="FS59" s="6">
        <f>SUMPRODUCT((Results!$A$2:$A$5001=Schedule!FS$45)*(Results!$B$2:$B$5001=Schedule!$A59)*(Results!$D$2:$D$5001))</f>
        <v>0</v>
      </c>
      <c r="FT59" s="6">
        <f>SUMPRODUCT((Results!$A$2:$A$5001=Schedule!FT$45)*(Results!$B$2:$B$5001=Schedule!$A59)*(Results!$D$2:$D$5001))</f>
        <v>0</v>
      </c>
      <c r="FU59" s="6">
        <f>SUMPRODUCT((Results!$A$2:$A$5001=Schedule!FU$45)*(Results!$B$2:$B$5001=Schedule!$A59)*(Results!$D$2:$D$5001))</f>
        <v>0</v>
      </c>
      <c r="FV59" s="6">
        <f>SUMPRODUCT((Results!$A$2:$A$5001=Schedule!FV$45)*(Results!$B$2:$B$5001=Schedule!$A59)*(Results!$D$2:$D$5001))</f>
        <v>0</v>
      </c>
      <c r="FW59" s="6">
        <f>SUMPRODUCT((Results!$A$2:$A$5001=Schedule!FW$45)*(Results!$B$2:$B$5001=Schedule!$A59)*(Results!$D$2:$D$5001))</f>
        <v>0</v>
      </c>
      <c r="FX59" s="6">
        <f>SUMPRODUCT((Results!$A$2:$A$5001=Schedule!FX$45)*(Results!$B$2:$B$5001=Schedule!$A59)*(Results!$D$2:$D$5001))</f>
        <v>0</v>
      </c>
      <c r="FY59" s="6">
        <f>SUMPRODUCT((Results!$A$2:$A$5001=Schedule!FY$45)*(Results!$B$2:$B$5001=Schedule!$A59)*(Results!$D$2:$D$5001))</f>
        <v>0</v>
      </c>
      <c r="FZ59" s="6">
        <f>SUMPRODUCT((Results!$A$2:$A$5001=Schedule!FZ$45)*(Results!$B$2:$B$5001=Schedule!$A59)*(Results!$D$2:$D$5001))</f>
        <v>0</v>
      </c>
      <c r="GA59" s="6">
        <f>SUMPRODUCT((Results!$A$2:$A$5001=Schedule!GA$45)*(Results!$B$2:$B$5001=Schedule!$A59)*(Results!$D$2:$D$5001))</f>
        <v>0</v>
      </c>
      <c r="GB59" s="6">
        <f>SUMPRODUCT((Results!$A$2:$A$5001=Schedule!GB$45)*(Results!$B$2:$B$5001=Schedule!$A59)*(Results!$D$2:$D$5001))</f>
        <v>0</v>
      </c>
      <c r="GC59" s="6">
        <f>SUMPRODUCT((Results!$A$2:$A$5001=Schedule!GC$45)*(Results!$B$2:$B$5001=Schedule!$A59)*(Results!$D$2:$D$5001))</f>
        <v>0</v>
      </c>
      <c r="GD59" s="6">
        <f>SUMPRODUCT((Results!$A$2:$A$5001=Schedule!GD$45)*(Results!$B$2:$B$5001=Schedule!$A59)*(Results!$D$2:$D$5001))</f>
        <v>0</v>
      </c>
      <c r="GE59" s="6">
        <f>SUMPRODUCT((Results!$A$2:$A$5001=Schedule!GE$45)*(Results!$B$2:$B$5001=Schedule!$A59)*(Results!$D$2:$D$5001))</f>
        <v>0</v>
      </c>
      <c r="GF59" s="6">
        <f>SUMPRODUCT((Results!$A$2:$A$5001=Schedule!GF$45)*(Results!$B$2:$B$5001=Schedule!$A59)*(Results!$D$2:$D$5001))</f>
        <v>0</v>
      </c>
      <c r="GG59" s="6">
        <f>SUMPRODUCT((Results!$A$2:$A$5001=Schedule!GG$45)*(Results!$B$2:$B$5001=Schedule!$A59)*(Results!$D$2:$D$5001))</f>
        <v>0</v>
      </c>
      <c r="GH59" s="6">
        <f>SUMPRODUCT((Results!$A$2:$A$5001=Schedule!GH$45)*(Results!$B$2:$B$5001=Schedule!$A59)*(Results!$D$2:$D$5001))</f>
        <v>0</v>
      </c>
      <c r="GI59" s="6">
        <f>SUMPRODUCT((Results!$A$2:$A$5001=Schedule!GI$45)*(Results!$B$2:$B$5001=Schedule!$A59)*(Results!$D$2:$D$5001))</f>
        <v>0</v>
      </c>
      <c r="GJ59" s="6">
        <f>SUMPRODUCT((Results!$A$2:$A$5001=Schedule!GJ$45)*(Results!$B$2:$B$5001=Schedule!$A59)*(Results!$D$2:$D$5001))</f>
        <v>0</v>
      </c>
      <c r="GK59" s="6">
        <f>SUMPRODUCT((Results!$A$2:$A$5001=Schedule!GK$45)*(Results!$B$2:$B$5001=Schedule!$A59)*(Results!$D$2:$D$5001))</f>
        <v>0</v>
      </c>
      <c r="GL59" s="6">
        <f>SUMPRODUCT((Results!$A$2:$A$5001=Schedule!GL$45)*(Results!$B$2:$B$5001=Schedule!$A59)*(Results!$D$2:$D$5001))</f>
        <v>0</v>
      </c>
      <c r="GM59" s="6">
        <f>SUMPRODUCT((Results!$A$2:$A$5001=Schedule!GM$45)*(Results!$B$2:$B$5001=Schedule!$A59)*(Results!$D$2:$D$5001))</f>
        <v>0</v>
      </c>
      <c r="GN59" s="6">
        <f>SUMPRODUCT((Results!$A$2:$A$5001=Schedule!GN$45)*(Results!$B$2:$B$5001=Schedule!$A59)*(Results!$D$2:$D$5001))</f>
        <v>0</v>
      </c>
      <c r="GO59" s="6">
        <f>SUMPRODUCT((Results!$A$2:$A$5001=Schedule!GO$45)*(Results!$B$2:$B$5001=Schedule!$A59)*(Results!$D$2:$D$5001))</f>
        <v>0</v>
      </c>
      <c r="GP59" s="6">
        <f>SUMPRODUCT((Results!$A$2:$A$5001=Schedule!GP$45)*(Results!$B$2:$B$5001=Schedule!$A59)*(Results!$D$2:$D$5001))</f>
        <v>0</v>
      </c>
      <c r="GQ59" s="6">
        <f>SUMPRODUCT((Results!$A$2:$A$5001=Schedule!GQ$45)*(Results!$B$2:$B$5001=Schedule!$A59)*(Results!$D$2:$D$5001))</f>
        <v>0</v>
      </c>
      <c r="GR59" s="6">
        <f>SUMPRODUCT((Results!$A$2:$A$5001=Schedule!GR$45)*(Results!$B$2:$B$5001=Schedule!$A59)*(Results!$D$2:$D$5001))</f>
        <v>0</v>
      </c>
      <c r="GS59" s="6">
        <f>SUMPRODUCT((Results!$A$2:$A$5001=Schedule!GS$45)*(Results!$B$2:$B$5001=Schedule!$A59)*(Results!$D$2:$D$5001))</f>
        <v>0</v>
      </c>
      <c r="GT59" s="6">
        <f>SUMPRODUCT((Results!$A$2:$A$5001=Schedule!GT$45)*(Results!$B$2:$B$5001=Schedule!$A59)*(Results!$D$2:$D$5001))</f>
        <v>0</v>
      </c>
      <c r="GU59" s="6">
        <f>SUMPRODUCT((Results!$A$2:$A$5001=Schedule!GU$45)*(Results!$B$2:$B$5001=Schedule!$A59)*(Results!$D$2:$D$5001))</f>
        <v>0</v>
      </c>
    </row>
    <row r="60" spans="1:203" ht="13.5" customHeight="1" x14ac:dyDescent="0.2">
      <c r="A60" s="40">
        <v>15</v>
      </c>
      <c r="B60" s="6">
        <f t="shared" si="17"/>
        <v>0.1103</v>
      </c>
      <c r="C60" s="6">
        <f>SUMPRODUCT((Results!$A$2:$A$5001=Schedule!C$45)*(Results!$B$2:$B$5001=Schedule!$A60)*(Results!$D$2:$D$5001))</f>
        <v>0.107</v>
      </c>
      <c r="D60" s="6">
        <f>SUMPRODUCT((Results!$A$2:$A$5001=Schedule!D$45)*(Results!$B$2:$B$5001=Schedule!$A60)*(Results!$D$2:$D$5001))</f>
        <v>3.3E-3</v>
      </c>
      <c r="E60" s="6">
        <f>SUMPRODUCT((Results!$A$2:$A$5001=Schedule!E$45)*(Results!$B$2:$B$5001=Schedule!$A60)*(Results!$D$2:$D$5001))</f>
        <v>0</v>
      </c>
      <c r="F60" s="6">
        <f>SUMPRODUCT((Results!$A$2:$A$5001=Schedule!F$45)*(Results!$B$2:$B$5001=Schedule!$A60)*(Results!$D$2:$D$5001))</f>
        <v>0</v>
      </c>
      <c r="G60" s="6">
        <f>SUMPRODUCT((Results!$A$2:$A$5001=Schedule!G$45)*(Results!$B$2:$B$5001=Schedule!$A60)*(Results!$D$2:$D$5001))</f>
        <v>0</v>
      </c>
      <c r="H60" s="6">
        <f>SUMPRODUCT((Results!$A$2:$A$5001=Schedule!H$45)*(Results!$B$2:$B$5001=Schedule!$A60)*(Results!$D$2:$D$5001))</f>
        <v>0</v>
      </c>
      <c r="I60" s="6">
        <f>SUMPRODUCT((Results!$A$2:$A$5001=Schedule!I$45)*(Results!$B$2:$B$5001=Schedule!$A60)*(Results!$D$2:$D$5001))</f>
        <v>0</v>
      </c>
      <c r="J60" s="6">
        <f>SUMPRODUCT((Results!$A$2:$A$5001=Schedule!J$45)*(Results!$B$2:$B$5001=Schedule!$A60)*(Results!$D$2:$D$5001))</f>
        <v>0</v>
      </c>
      <c r="K60" s="6">
        <f>SUMPRODUCT((Results!$A$2:$A$5001=Schedule!K$45)*(Results!$B$2:$B$5001=Schedule!$A60)*(Results!$D$2:$D$5001))</f>
        <v>0</v>
      </c>
      <c r="L60" s="6">
        <f>SUMPRODUCT((Results!$A$2:$A$5001=Schedule!L$45)*(Results!$B$2:$B$5001=Schedule!$A60)*(Results!$D$2:$D$5001))</f>
        <v>0</v>
      </c>
      <c r="M60" s="6">
        <f>SUMPRODUCT((Results!$A$2:$A$5001=Schedule!M$45)*(Results!$B$2:$B$5001=Schedule!$A60)*(Results!$D$2:$D$5001))</f>
        <v>0</v>
      </c>
      <c r="N60" s="6">
        <f>SUMPRODUCT((Results!$A$2:$A$5001=Schedule!N$45)*(Results!$B$2:$B$5001=Schedule!$A60)*(Results!$D$2:$D$5001))</f>
        <v>0</v>
      </c>
      <c r="O60" s="6">
        <f>SUMPRODUCT((Results!$A$2:$A$5001=Schedule!O$45)*(Results!$B$2:$B$5001=Schedule!$A60)*(Results!$D$2:$D$5001))</f>
        <v>0</v>
      </c>
      <c r="P60" s="6">
        <f>SUMPRODUCT((Results!$A$2:$A$5001=Schedule!P$45)*(Results!$B$2:$B$5001=Schedule!$A60)*(Results!$D$2:$D$5001))</f>
        <v>0</v>
      </c>
      <c r="Q60" s="6">
        <f>SUMPRODUCT((Results!$A$2:$A$5001=Schedule!Q$45)*(Results!$B$2:$B$5001=Schedule!$A60)*(Results!$D$2:$D$5001))</f>
        <v>0</v>
      </c>
      <c r="R60" s="6">
        <f>SUMPRODUCT((Results!$A$2:$A$5001=Schedule!R$45)*(Results!$B$2:$B$5001=Schedule!$A60)*(Results!$D$2:$D$5001))</f>
        <v>0</v>
      </c>
      <c r="S60" s="6">
        <f>SUMPRODUCT((Results!$A$2:$A$5001=Schedule!S$45)*(Results!$B$2:$B$5001=Schedule!$A60)*(Results!$D$2:$D$5001))</f>
        <v>0</v>
      </c>
      <c r="T60" s="6">
        <f>SUMPRODUCT((Results!$A$2:$A$5001=Schedule!T$45)*(Results!$B$2:$B$5001=Schedule!$A60)*(Results!$D$2:$D$5001))</f>
        <v>0</v>
      </c>
      <c r="U60" s="6">
        <f>SUMPRODUCT((Results!$A$2:$A$5001=Schedule!U$45)*(Results!$B$2:$B$5001=Schedule!$A60)*(Results!$D$2:$D$5001))</f>
        <v>0</v>
      </c>
      <c r="V60" s="6">
        <f>SUMPRODUCT((Results!$A$2:$A$5001=Schedule!V$45)*(Results!$B$2:$B$5001=Schedule!$A60)*(Results!$D$2:$D$5001))</f>
        <v>0</v>
      </c>
      <c r="W60" s="6">
        <f>SUMPRODUCT((Results!$A$2:$A$5001=Schedule!W$45)*(Results!$B$2:$B$5001=Schedule!$A60)*(Results!$D$2:$D$5001))</f>
        <v>0</v>
      </c>
      <c r="X60" s="6">
        <f>SUMPRODUCT((Results!$A$2:$A$5001=Schedule!X$45)*(Results!$B$2:$B$5001=Schedule!$A60)*(Results!$D$2:$D$5001))</f>
        <v>0</v>
      </c>
      <c r="Y60" s="6">
        <f>SUMPRODUCT((Results!$A$2:$A$5001=Schedule!Y$45)*(Results!$B$2:$B$5001=Schedule!$A60)*(Results!$D$2:$D$5001))</f>
        <v>0</v>
      </c>
      <c r="Z60" s="6">
        <f>SUMPRODUCT((Results!$A$2:$A$5001=Schedule!Z$45)*(Results!$B$2:$B$5001=Schedule!$A60)*(Results!$D$2:$D$5001))</f>
        <v>0</v>
      </c>
      <c r="AA60" s="6">
        <f>SUMPRODUCT((Results!$A$2:$A$5001=Schedule!AA$45)*(Results!$B$2:$B$5001=Schedule!$A60)*(Results!$D$2:$D$5001))</f>
        <v>0</v>
      </c>
      <c r="AB60" s="6">
        <f>SUMPRODUCT((Results!$A$2:$A$5001=Schedule!AB$45)*(Results!$B$2:$B$5001=Schedule!$A60)*(Results!$D$2:$D$5001))</f>
        <v>0</v>
      </c>
      <c r="AC60" s="6">
        <f>SUMPRODUCT((Results!$A$2:$A$5001=Schedule!AC$45)*(Results!$B$2:$B$5001=Schedule!$A60)*(Results!$D$2:$D$5001))</f>
        <v>0</v>
      </c>
      <c r="AD60" s="6">
        <f>SUMPRODUCT((Results!$A$2:$A$5001=Schedule!AD$45)*(Results!$B$2:$B$5001=Schedule!$A60)*(Results!$D$2:$D$5001))</f>
        <v>0</v>
      </c>
      <c r="AE60" s="6">
        <f>SUMPRODUCT((Results!$A$2:$A$5001=Schedule!AE$45)*(Results!$B$2:$B$5001=Schedule!$A60)*(Results!$D$2:$D$5001))</f>
        <v>0</v>
      </c>
      <c r="AF60" s="6">
        <f>SUMPRODUCT((Results!$A$2:$A$5001=Schedule!AF$45)*(Results!$B$2:$B$5001=Schedule!$A60)*(Results!$D$2:$D$5001))</f>
        <v>0</v>
      </c>
      <c r="AG60" s="6">
        <f>SUMPRODUCT((Results!$A$2:$A$5001=Schedule!AG$45)*(Results!$B$2:$B$5001=Schedule!$A60)*(Results!$D$2:$D$5001))</f>
        <v>0</v>
      </c>
      <c r="AH60" s="6">
        <f>SUMPRODUCT((Results!$A$2:$A$5001=Schedule!AH$45)*(Results!$B$2:$B$5001=Schedule!$A60)*(Results!$D$2:$D$5001))</f>
        <v>0</v>
      </c>
      <c r="AI60" s="6">
        <f>SUMPRODUCT((Results!$A$2:$A$5001=Schedule!AI$45)*(Results!$B$2:$B$5001=Schedule!$A60)*(Results!$D$2:$D$5001))</f>
        <v>0</v>
      </c>
      <c r="AJ60" s="6">
        <f>SUMPRODUCT((Results!$A$2:$A$5001=Schedule!AJ$45)*(Results!$B$2:$B$5001=Schedule!$A60)*(Results!$D$2:$D$5001))</f>
        <v>0</v>
      </c>
      <c r="AK60" s="6">
        <f>SUMPRODUCT((Results!$A$2:$A$5001=Schedule!AK$45)*(Results!$B$2:$B$5001=Schedule!$A60)*(Results!$D$2:$D$5001))</f>
        <v>0</v>
      </c>
      <c r="AL60" s="6">
        <f>SUMPRODUCT((Results!$A$2:$A$5001=Schedule!AL$45)*(Results!$B$2:$B$5001=Schedule!$A60)*(Results!$D$2:$D$5001))</f>
        <v>0</v>
      </c>
      <c r="AM60" s="6">
        <f>SUMPRODUCT((Results!$A$2:$A$5001=Schedule!AM$45)*(Results!$B$2:$B$5001=Schedule!$A60)*(Results!$D$2:$D$5001))</f>
        <v>0</v>
      </c>
      <c r="AN60" s="6">
        <f>SUMPRODUCT((Results!$A$2:$A$5001=Schedule!AN$45)*(Results!$B$2:$B$5001=Schedule!$A60)*(Results!$D$2:$D$5001))</f>
        <v>0</v>
      </c>
      <c r="AO60" s="6">
        <f>SUMPRODUCT((Results!$A$2:$A$5001=Schedule!AO$45)*(Results!$B$2:$B$5001=Schedule!$A60)*(Results!$D$2:$D$5001))</f>
        <v>0</v>
      </c>
      <c r="AP60" s="6">
        <f>SUMPRODUCT((Results!$A$2:$A$5001=Schedule!AP$45)*(Results!$B$2:$B$5001=Schedule!$A60)*(Results!$D$2:$D$5001))</f>
        <v>0</v>
      </c>
      <c r="AQ60" s="6">
        <f>SUMPRODUCT((Results!$A$2:$A$5001=Schedule!AQ$45)*(Results!$B$2:$B$5001=Schedule!$A60)*(Results!$D$2:$D$5001))</f>
        <v>0</v>
      </c>
      <c r="AR60" s="6">
        <f>SUMPRODUCT((Results!$A$2:$A$5001=Schedule!AR$45)*(Results!$B$2:$B$5001=Schedule!$A60)*(Results!$D$2:$D$5001))</f>
        <v>0</v>
      </c>
      <c r="AS60" s="6">
        <f>SUMPRODUCT((Results!$A$2:$A$5001=Schedule!AS$45)*(Results!$B$2:$B$5001=Schedule!$A60)*(Results!$D$2:$D$5001))</f>
        <v>0</v>
      </c>
      <c r="AT60" s="6">
        <f>SUMPRODUCT((Results!$A$2:$A$5001=Schedule!AT$45)*(Results!$B$2:$B$5001=Schedule!$A60)*(Results!$D$2:$D$5001))</f>
        <v>0</v>
      </c>
      <c r="AU60" s="6">
        <f>SUMPRODUCT((Results!$A$2:$A$5001=Schedule!AU$45)*(Results!$B$2:$B$5001=Schedule!$A60)*(Results!$D$2:$D$5001))</f>
        <v>0</v>
      </c>
      <c r="AV60" s="6">
        <f>SUMPRODUCT((Results!$A$2:$A$5001=Schedule!AV$45)*(Results!$B$2:$B$5001=Schedule!$A60)*(Results!$D$2:$D$5001))</f>
        <v>0</v>
      </c>
      <c r="AW60" s="6">
        <f>SUMPRODUCT((Results!$A$2:$A$5001=Schedule!AW$45)*(Results!$B$2:$B$5001=Schedule!$A60)*(Results!$D$2:$D$5001))</f>
        <v>0</v>
      </c>
      <c r="AX60" s="6">
        <f>SUMPRODUCT((Results!$A$2:$A$5001=Schedule!AX$45)*(Results!$B$2:$B$5001=Schedule!$A60)*(Results!$D$2:$D$5001))</f>
        <v>0</v>
      </c>
      <c r="AY60" s="6">
        <f>SUMPRODUCT((Results!$A$2:$A$5001=Schedule!AY$45)*(Results!$B$2:$B$5001=Schedule!$A60)*(Results!$D$2:$D$5001))</f>
        <v>0</v>
      </c>
      <c r="AZ60" s="6">
        <f>SUMPRODUCT((Results!$A$2:$A$5001=Schedule!AZ$45)*(Results!$B$2:$B$5001=Schedule!$A60)*(Results!$D$2:$D$5001))</f>
        <v>0</v>
      </c>
      <c r="BA60" s="6">
        <f>SUMPRODUCT((Results!$A$2:$A$5001=Schedule!BA$45)*(Results!$B$2:$B$5001=Schedule!$A60)*(Results!$D$2:$D$5001))</f>
        <v>0</v>
      </c>
      <c r="BB60" s="6">
        <f>SUMPRODUCT((Results!$A$2:$A$5001=Schedule!BB$45)*(Results!$B$2:$B$5001=Schedule!$A60)*(Results!$D$2:$D$5001))</f>
        <v>0</v>
      </c>
      <c r="BC60" s="6">
        <f>SUMPRODUCT((Results!$A$2:$A$5001=Schedule!BC$45)*(Results!$B$2:$B$5001=Schedule!$A60)*(Results!$D$2:$D$5001))</f>
        <v>0</v>
      </c>
      <c r="BD60" s="6">
        <f>SUMPRODUCT((Results!$A$2:$A$5001=Schedule!BD$45)*(Results!$B$2:$B$5001=Schedule!$A60)*(Results!$D$2:$D$5001))</f>
        <v>0</v>
      </c>
      <c r="BE60" s="6">
        <f>SUMPRODUCT((Results!$A$2:$A$5001=Schedule!BE$45)*(Results!$B$2:$B$5001=Schedule!$A60)*(Results!$D$2:$D$5001))</f>
        <v>0</v>
      </c>
      <c r="BF60" s="6">
        <f>SUMPRODUCT((Results!$A$2:$A$5001=Schedule!BF$45)*(Results!$B$2:$B$5001=Schedule!$A60)*(Results!$D$2:$D$5001))</f>
        <v>0</v>
      </c>
      <c r="BG60" s="6">
        <f>SUMPRODUCT((Results!$A$2:$A$5001=Schedule!BG$45)*(Results!$B$2:$B$5001=Schedule!$A60)*(Results!$D$2:$D$5001))</f>
        <v>0</v>
      </c>
      <c r="BH60" s="6">
        <f>SUMPRODUCT((Results!$A$2:$A$5001=Schedule!BH$45)*(Results!$B$2:$B$5001=Schedule!$A60)*(Results!$D$2:$D$5001))</f>
        <v>0</v>
      </c>
      <c r="BI60" s="6">
        <f>SUMPRODUCT((Results!$A$2:$A$5001=Schedule!BI$45)*(Results!$B$2:$B$5001=Schedule!$A60)*(Results!$D$2:$D$5001))</f>
        <v>0</v>
      </c>
      <c r="BJ60" s="6">
        <f>SUMPRODUCT((Results!$A$2:$A$5001=Schedule!BJ$45)*(Results!$B$2:$B$5001=Schedule!$A60)*(Results!$D$2:$D$5001))</f>
        <v>0</v>
      </c>
      <c r="BK60" s="6">
        <f>SUMPRODUCT((Results!$A$2:$A$5001=Schedule!BK$45)*(Results!$B$2:$B$5001=Schedule!$A60)*(Results!$D$2:$D$5001))</f>
        <v>0</v>
      </c>
      <c r="BL60" s="6">
        <f>SUMPRODUCT((Results!$A$2:$A$5001=Schedule!BL$45)*(Results!$B$2:$B$5001=Schedule!$A60)*(Results!$D$2:$D$5001))</f>
        <v>0</v>
      </c>
      <c r="BM60" s="6">
        <f>SUMPRODUCT((Results!$A$2:$A$5001=Schedule!BM$45)*(Results!$B$2:$B$5001=Schedule!$A60)*(Results!$D$2:$D$5001))</f>
        <v>0</v>
      </c>
      <c r="BN60" s="6">
        <f>SUMPRODUCT((Results!$A$2:$A$5001=Schedule!BN$45)*(Results!$B$2:$B$5001=Schedule!$A60)*(Results!$D$2:$D$5001))</f>
        <v>0</v>
      </c>
      <c r="BO60" s="6">
        <f>SUMPRODUCT((Results!$A$2:$A$5001=Schedule!BO$45)*(Results!$B$2:$B$5001=Schedule!$A60)*(Results!$D$2:$D$5001))</f>
        <v>0</v>
      </c>
      <c r="BP60" s="6">
        <f>SUMPRODUCT((Results!$A$2:$A$5001=Schedule!BP$45)*(Results!$B$2:$B$5001=Schedule!$A60)*(Results!$D$2:$D$5001))</f>
        <v>0</v>
      </c>
      <c r="BQ60" s="6">
        <f>SUMPRODUCT((Results!$A$2:$A$5001=Schedule!BQ$45)*(Results!$B$2:$B$5001=Schedule!$A60)*(Results!$D$2:$D$5001))</f>
        <v>0</v>
      </c>
      <c r="BR60" s="6">
        <f>SUMPRODUCT((Results!$A$2:$A$5001=Schedule!BR$45)*(Results!$B$2:$B$5001=Schedule!$A60)*(Results!$D$2:$D$5001))</f>
        <v>0</v>
      </c>
      <c r="BS60" s="6">
        <f>SUMPRODUCT((Results!$A$2:$A$5001=Schedule!BS$45)*(Results!$B$2:$B$5001=Schedule!$A60)*(Results!$D$2:$D$5001))</f>
        <v>0</v>
      </c>
      <c r="BT60" s="6">
        <f>SUMPRODUCT((Results!$A$2:$A$5001=Schedule!BT$45)*(Results!$B$2:$B$5001=Schedule!$A60)*(Results!$D$2:$D$5001))</f>
        <v>0</v>
      </c>
      <c r="BU60" s="6">
        <f>SUMPRODUCT((Results!$A$2:$A$5001=Schedule!BU$45)*(Results!$B$2:$B$5001=Schedule!$A60)*(Results!$D$2:$D$5001))</f>
        <v>0</v>
      </c>
      <c r="BV60" s="6">
        <f>SUMPRODUCT((Results!$A$2:$A$5001=Schedule!BV$45)*(Results!$B$2:$B$5001=Schedule!$A60)*(Results!$D$2:$D$5001))</f>
        <v>0</v>
      </c>
      <c r="BW60" s="6">
        <f>SUMPRODUCT((Results!$A$2:$A$5001=Schedule!BW$45)*(Results!$B$2:$B$5001=Schedule!$A60)*(Results!$D$2:$D$5001))</f>
        <v>0</v>
      </c>
      <c r="BX60" s="6">
        <f>SUMPRODUCT((Results!$A$2:$A$5001=Schedule!BX$45)*(Results!$B$2:$B$5001=Schedule!$A60)*(Results!$D$2:$D$5001))</f>
        <v>0</v>
      </c>
      <c r="BY60" s="6">
        <f>SUMPRODUCT((Results!$A$2:$A$5001=Schedule!BY$45)*(Results!$B$2:$B$5001=Schedule!$A60)*(Results!$D$2:$D$5001))</f>
        <v>0</v>
      </c>
      <c r="BZ60" s="6">
        <f>SUMPRODUCT((Results!$A$2:$A$5001=Schedule!BZ$45)*(Results!$B$2:$B$5001=Schedule!$A60)*(Results!$D$2:$D$5001))</f>
        <v>0</v>
      </c>
      <c r="CA60" s="6">
        <f>SUMPRODUCT((Results!$A$2:$A$5001=Schedule!CA$45)*(Results!$B$2:$B$5001=Schedule!$A60)*(Results!$D$2:$D$5001))</f>
        <v>0</v>
      </c>
      <c r="CB60" s="6">
        <f>SUMPRODUCT((Results!$A$2:$A$5001=Schedule!CB$45)*(Results!$B$2:$B$5001=Schedule!$A60)*(Results!$D$2:$D$5001))</f>
        <v>0</v>
      </c>
      <c r="CC60" s="6">
        <f>SUMPRODUCT((Results!$A$2:$A$5001=Schedule!CC$45)*(Results!$B$2:$B$5001=Schedule!$A60)*(Results!$D$2:$D$5001))</f>
        <v>0</v>
      </c>
      <c r="CD60" s="6">
        <f>SUMPRODUCT((Results!$A$2:$A$5001=Schedule!CD$45)*(Results!$B$2:$B$5001=Schedule!$A60)*(Results!$D$2:$D$5001))</f>
        <v>0</v>
      </c>
      <c r="CE60" s="6">
        <f>SUMPRODUCT((Results!$A$2:$A$5001=Schedule!CE$45)*(Results!$B$2:$B$5001=Schedule!$A60)*(Results!$D$2:$D$5001))</f>
        <v>0</v>
      </c>
      <c r="CF60" s="6">
        <f>SUMPRODUCT((Results!$A$2:$A$5001=Schedule!CF$45)*(Results!$B$2:$B$5001=Schedule!$A60)*(Results!$D$2:$D$5001))</f>
        <v>0</v>
      </c>
      <c r="CG60" s="6">
        <f>SUMPRODUCT((Results!$A$2:$A$5001=Schedule!CG$45)*(Results!$B$2:$B$5001=Schedule!$A60)*(Results!$D$2:$D$5001))</f>
        <v>0</v>
      </c>
      <c r="CH60" s="6">
        <f>SUMPRODUCT((Results!$A$2:$A$5001=Schedule!CH$45)*(Results!$B$2:$B$5001=Schedule!$A60)*(Results!$D$2:$D$5001))</f>
        <v>0</v>
      </c>
      <c r="CI60" s="6">
        <f>SUMPRODUCT((Results!$A$2:$A$5001=Schedule!CI$45)*(Results!$B$2:$B$5001=Schedule!$A60)*(Results!$D$2:$D$5001))</f>
        <v>0</v>
      </c>
      <c r="CJ60" s="6">
        <f>SUMPRODUCT((Results!$A$2:$A$5001=Schedule!CJ$45)*(Results!$B$2:$B$5001=Schedule!$A60)*(Results!$D$2:$D$5001))</f>
        <v>0</v>
      </c>
      <c r="CK60" s="6">
        <f>SUMPRODUCT((Results!$A$2:$A$5001=Schedule!CK$45)*(Results!$B$2:$B$5001=Schedule!$A60)*(Results!$D$2:$D$5001))</f>
        <v>0</v>
      </c>
      <c r="CL60" s="6">
        <f>SUMPRODUCT((Results!$A$2:$A$5001=Schedule!CL$45)*(Results!$B$2:$B$5001=Schedule!$A60)*(Results!$D$2:$D$5001))</f>
        <v>0</v>
      </c>
      <c r="CM60" s="6">
        <f>SUMPRODUCT((Results!$A$2:$A$5001=Schedule!CM$45)*(Results!$B$2:$B$5001=Schedule!$A60)*(Results!$D$2:$D$5001))</f>
        <v>0</v>
      </c>
      <c r="CN60" s="6">
        <f>SUMPRODUCT((Results!$A$2:$A$5001=Schedule!CN$45)*(Results!$B$2:$B$5001=Schedule!$A60)*(Results!$D$2:$D$5001))</f>
        <v>0</v>
      </c>
      <c r="CO60" s="6">
        <f>SUMPRODUCT((Results!$A$2:$A$5001=Schedule!CO$45)*(Results!$B$2:$B$5001=Schedule!$A60)*(Results!$D$2:$D$5001))</f>
        <v>0</v>
      </c>
      <c r="CP60" s="6">
        <f>SUMPRODUCT((Results!$A$2:$A$5001=Schedule!CP$45)*(Results!$B$2:$B$5001=Schedule!$A60)*(Results!$D$2:$D$5001))</f>
        <v>0</v>
      </c>
      <c r="CQ60" s="6">
        <f>SUMPRODUCT((Results!$A$2:$A$5001=Schedule!CQ$45)*(Results!$B$2:$B$5001=Schedule!$A60)*(Results!$D$2:$D$5001))</f>
        <v>0</v>
      </c>
      <c r="CR60" s="6">
        <f>SUMPRODUCT((Results!$A$2:$A$5001=Schedule!CR$45)*(Results!$B$2:$B$5001=Schedule!$A60)*(Results!$D$2:$D$5001))</f>
        <v>0</v>
      </c>
      <c r="CS60" s="6">
        <f>SUMPRODUCT((Results!$A$2:$A$5001=Schedule!CS$45)*(Results!$B$2:$B$5001=Schedule!$A60)*(Results!$D$2:$D$5001))</f>
        <v>0</v>
      </c>
      <c r="CT60" s="6">
        <f>SUMPRODUCT((Results!$A$2:$A$5001=Schedule!CT$45)*(Results!$B$2:$B$5001=Schedule!$A60)*(Results!$D$2:$D$5001))</f>
        <v>0</v>
      </c>
      <c r="CU60" s="6">
        <f>SUMPRODUCT((Results!$A$2:$A$5001=Schedule!CU$45)*(Results!$B$2:$B$5001=Schedule!$A60)*(Results!$D$2:$D$5001))</f>
        <v>0</v>
      </c>
      <c r="CV60" s="6">
        <f>SUMPRODUCT((Results!$A$2:$A$5001=Schedule!CV$45)*(Results!$B$2:$B$5001=Schedule!$A60)*(Results!$D$2:$D$5001))</f>
        <v>0</v>
      </c>
      <c r="CW60" s="6">
        <f>SUMPRODUCT((Results!$A$2:$A$5001=Schedule!CW$45)*(Results!$B$2:$B$5001=Schedule!$A60)*(Results!$D$2:$D$5001))</f>
        <v>0</v>
      </c>
      <c r="CX60" s="6">
        <f>SUMPRODUCT((Results!$A$2:$A$5001=Schedule!CX$45)*(Results!$B$2:$B$5001=Schedule!$A60)*(Results!$D$2:$D$5001))</f>
        <v>0</v>
      </c>
      <c r="CY60" s="6">
        <f>SUMPRODUCT((Results!$A$2:$A$5001=Schedule!CY$45)*(Results!$B$2:$B$5001=Schedule!$A60)*(Results!$D$2:$D$5001))</f>
        <v>0</v>
      </c>
      <c r="CZ60" s="6">
        <f>SUMPRODUCT((Results!$A$2:$A$5001=Schedule!CZ$45)*(Results!$B$2:$B$5001=Schedule!$A60)*(Results!$D$2:$D$5001))</f>
        <v>0</v>
      </c>
      <c r="DA60" s="6">
        <f>SUMPRODUCT((Results!$A$2:$A$5001=Schedule!DA$45)*(Results!$B$2:$B$5001=Schedule!$A60)*(Results!$D$2:$D$5001))</f>
        <v>0</v>
      </c>
      <c r="DB60" s="6">
        <f>SUMPRODUCT((Results!$A$2:$A$5001=Schedule!DB$45)*(Results!$B$2:$B$5001=Schedule!$A60)*(Results!$D$2:$D$5001))</f>
        <v>0</v>
      </c>
      <c r="DC60" s="6">
        <f>SUMPRODUCT((Results!$A$2:$A$5001=Schedule!DC$45)*(Results!$B$2:$B$5001=Schedule!$A60)*(Results!$D$2:$D$5001))</f>
        <v>0</v>
      </c>
      <c r="DD60" s="6">
        <f>SUMPRODUCT((Results!$A$2:$A$5001=Schedule!DD$45)*(Results!$B$2:$B$5001=Schedule!$A60)*(Results!$D$2:$D$5001))</f>
        <v>0</v>
      </c>
      <c r="DE60" s="6">
        <f>SUMPRODUCT((Results!$A$2:$A$5001=Schedule!DE$45)*(Results!$B$2:$B$5001=Schedule!$A60)*(Results!$D$2:$D$5001))</f>
        <v>0</v>
      </c>
      <c r="DF60" s="6">
        <f>SUMPRODUCT((Results!$A$2:$A$5001=Schedule!DF$45)*(Results!$B$2:$B$5001=Schedule!$A60)*(Results!$D$2:$D$5001))</f>
        <v>0</v>
      </c>
      <c r="DG60" s="6">
        <f>SUMPRODUCT((Results!$A$2:$A$5001=Schedule!DG$45)*(Results!$B$2:$B$5001=Schedule!$A60)*(Results!$D$2:$D$5001))</f>
        <v>0</v>
      </c>
      <c r="DH60" s="6">
        <f>SUMPRODUCT((Results!$A$2:$A$5001=Schedule!DH$45)*(Results!$B$2:$B$5001=Schedule!$A60)*(Results!$D$2:$D$5001))</f>
        <v>0</v>
      </c>
      <c r="DI60" s="6">
        <f>SUMPRODUCT((Results!$A$2:$A$5001=Schedule!DI$45)*(Results!$B$2:$B$5001=Schedule!$A60)*(Results!$D$2:$D$5001))</f>
        <v>0</v>
      </c>
      <c r="DJ60" s="6">
        <f>SUMPRODUCT((Results!$A$2:$A$5001=Schedule!DJ$45)*(Results!$B$2:$B$5001=Schedule!$A60)*(Results!$D$2:$D$5001))</f>
        <v>0</v>
      </c>
      <c r="DK60" s="6">
        <f>SUMPRODUCT((Results!$A$2:$A$5001=Schedule!DK$45)*(Results!$B$2:$B$5001=Schedule!$A60)*(Results!$D$2:$D$5001))</f>
        <v>0</v>
      </c>
      <c r="DL60" s="6">
        <f>SUMPRODUCT((Results!$A$2:$A$5001=Schedule!DL$45)*(Results!$B$2:$B$5001=Schedule!$A60)*(Results!$D$2:$D$5001))</f>
        <v>0</v>
      </c>
      <c r="DM60" s="6">
        <f>SUMPRODUCT((Results!$A$2:$A$5001=Schedule!DM$45)*(Results!$B$2:$B$5001=Schedule!$A60)*(Results!$D$2:$D$5001))</f>
        <v>0</v>
      </c>
      <c r="DN60" s="6">
        <f>SUMPRODUCT((Results!$A$2:$A$5001=Schedule!DN$45)*(Results!$B$2:$B$5001=Schedule!$A60)*(Results!$D$2:$D$5001))</f>
        <v>0</v>
      </c>
      <c r="DO60" s="6">
        <f>SUMPRODUCT((Results!$A$2:$A$5001=Schedule!DO$45)*(Results!$B$2:$B$5001=Schedule!$A60)*(Results!$D$2:$D$5001))</f>
        <v>0</v>
      </c>
      <c r="DP60" s="6">
        <f>SUMPRODUCT((Results!$A$2:$A$5001=Schedule!DP$45)*(Results!$B$2:$B$5001=Schedule!$A60)*(Results!$D$2:$D$5001))</f>
        <v>0</v>
      </c>
      <c r="DQ60" s="6">
        <f>SUMPRODUCT((Results!$A$2:$A$5001=Schedule!DQ$45)*(Results!$B$2:$B$5001=Schedule!$A60)*(Results!$D$2:$D$5001))</f>
        <v>0</v>
      </c>
      <c r="DR60" s="6">
        <f>SUMPRODUCT((Results!$A$2:$A$5001=Schedule!DR$45)*(Results!$B$2:$B$5001=Schedule!$A60)*(Results!$D$2:$D$5001))</f>
        <v>0</v>
      </c>
      <c r="DS60" s="6">
        <f>SUMPRODUCT((Results!$A$2:$A$5001=Schedule!DS$45)*(Results!$B$2:$B$5001=Schedule!$A60)*(Results!$D$2:$D$5001))</f>
        <v>0</v>
      </c>
      <c r="DT60" s="6">
        <f>SUMPRODUCT((Results!$A$2:$A$5001=Schedule!DT$45)*(Results!$B$2:$B$5001=Schedule!$A60)*(Results!$D$2:$D$5001))</f>
        <v>0</v>
      </c>
      <c r="DU60" s="6">
        <f>SUMPRODUCT((Results!$A$2:$A$5001=Schedule!DU$45)*(Results!$B$2:$B$5001=Schedule!$A60)*(Results!$D$2:$D$5001))</f>
        <v>0</v>
      </c>
      <c r="DV60" s="6">
        <f>SUMPRODUCT((Results!$A$2:$A$5001=Schedule!DV$45)*(Results!$B$2:$B$5001=Schedule!$A60)*(Results!$D$2:$D$5001))</f>
        <v>0</v>
      </c>
      <c r="DW60" s="6">
        <f>SUMPRODUCT((Results!$A$2:$A$5001=Schedule!DW$45)*(Results!$B$2:$B$5001=Schedule!$A60)*(Results!$D$2:$D$5001))</f>
        <v>0</v>
      </c>
      <c r="DX60" s="6">
        <f>SUMPRODUCT((Results!$A$2:$A$5001=Schedule!DX$45)*(Results!$B$2:$B$5001=Schedule!$A60)*(Results!$D$2:$D$5001))</f>
        <v>0</v>
      </c>
      <c r="DY60" s="6">
        <f>SUMPRODUCT((Results!$A$2:$A$5001=Schedule!DY$45)*(Results!$B$2:$B$5001=Schedule!$A60)*(Results!$D$2:$D$5001))</f>
        <v>0</v>
      </c>
      <c r="DZ60" s="6">
        <f>SUMPRODUCT((Results!$A$2:$A$5001=Schedule!DZ$45)*(Results!$B$2:$B$5001=Schedule!$A60)*(Results!$D$2:$D$5001))</f>
        <v>0</v>
      </c>
      <c r="EA60" s="6">
        <f>SUMPRODUCT((Results!$A$2:$A$5001=Schedule!EA$45)*(Results!$B$2:$B$5001=Schedule!$A60)*(Results!$D$2:$D$5001))</f>
        <v>0</v>
      </c>
      <c r="EB60" s="6">
        <f>SUMPRODUCT((Results!$A$2:$A$5001=Schedule!EB$45)*(Results!$B$2:$B$5001=Schedule!$A60)*(Results!$D$2:$D$5001))</f>
        <v>0</v>
      </c>
      <c r="EC60" s="6">
        <f>SUMPRODUCT((Results!$A$2:$A$5001=Schedule!EC$45)*(Results!$B$2:$B$5001=Schedule!$A60)*(Results!$D$2:$D$5001))</f>
        <v>0</v>
      </c>
      <c r="ED60" s="6">
        <f>SUMPRODUCT((Results!$A$2:$A$5001=Schedule!ED$45)*(Results!$B$2:$B$5001=Schedule!$A60)*(Results!$D$2:$D$5001))</f>
        <v>0</v>
      </c>
      <c r="EE60" s="6">
        <f>SUMPRODUCT((Results!$A$2:$A$5001=Schedule!EE$45)*(Results!$B$2:$B$5001=Schedule!$A60)*(Results!$D$2:$D$5001))</f>
        <v>0</v>
      </c>
      <c r="EF60" s="6">
        <f>SUMPRODUCT((Results!$A$2:$A$5001=Schedule!EF$45)*(Results!$B$2:$B$5001=Schedule!$A60)*(Results!$D$2:$D$5001))</f>
        <v>0</v>
      </c>
      <c r="EG60" s="6">
        <f>SUMPRODUCT((Results!$A$2:$A$5001=Schedule!EG$45)*(Results!$B$2:$B$5001=Schedule!$A60)*(Results!$D$2:$D$5001))</f>
        <v>0</v>
      </c>
      <c r="EH60" s="6">
        <f>SUMPRODUCT((Results!$A$2:$A$5001=Schedule!EH$45)*(Results!$B$2:$B$5001=Schedule!$A60)*(Results!$D$2:$D$5001))</f>
        <v>0</v>
      </c>
      <c r="EI60" s="6">
        <f>SUMPRODUCT((Results!$A$2:$A$5001=Schedule!EI$45)*(Results!$B$2:$B$5001=Schedule!$A60)*(Results!$D$2:$D$5001))</f>
        <v>0</v>
      </c>
      <c r="EJ60" s="6">
        <f>SUMPRODUCT((Results!$A$2:$A$5001=Schedule!EJ$45)*(Results!$B$2:$B$5001=Schedule!$A60)*(Results!$D$2:$D$5001))</f>
        <v>0</v>
      </c>
      <c r="EK60" s="6">
        <f>SUMPRODUCT((Results!$A$2:$A$5001=Schedule!EK$45)*(Results!$B$2:$B$5001=Schedule!$A60)*(Results!$D$2:$D$5001))</f>
        <v>0</v>
      </c>
      <c r="EL60" s="6">
        <f>SUMPRODUCT((Results!$A$2:$A$5001=Schedule!EL$45)*(Results!$B$2:$B$5001=Schedule!$A60)*(Results!$D$2:$D$5001))</f>
        <v>0</v>
      </c>
      <c r="EM60" s="6">
        <f>SUMPRODUCT((Results!$A$2:$A$5001=Schedule!EM$45)*(Results!$B$2:$B$5001=Schedule!$A60)*(Results!$D$2:$D$5001))</f>
        <v>0</v>
      </c>
      <c r="EN60" s="6">
        <f>SUMPRODUCT((Results!$A$2:$A$5001=Schedule!EN$45)*(Results!$B$2:$B$5001=Schedule!$A60)*(Results!$D$2:$D$5001))</f>
        <v>0</v>
      </c>
      <c r="EO60" s="6">
        <f>SUMPRODUCT((Results!$A$2:$A$5001=Schedule!EO$45)*(Results!$B$2:$B$5001=Schedule!$A60)*(Results!$D$2:$D$5001))</f>
        <v>0</v>
      </c>
      <c r="EP60" s="6">
        <f>SUMPRODUCT((Results!$A$2:$A$5001=Schedule!EP$45)*(Results!$B$2:$B$5001=Schedule!$A60)*(Results!$D$2:$D$5001))</f>
        <v>0</v>
      </c>
      <c r="EQ60" s="6">
        <f>SUMPRODUCT((Results!$A$2:$A$5001=Schedule!EQ$45)*(Results!$B$2:$B$5001=Schedule!$A60)*(Results!$D$2:$D$5001))</f>
        <v>0</v>
      </c>
      <c r="ER60" s="6">
        <f>SUMPRODUCT((Results!$A$2:$A$5001=Schedule!ER$45)*(Results!$B$2:$B$5001=Schedule!$A60)*(Results!$D$2:$D$5001))</f>
        <v>0</v>
      </c>
      <c r="ES60" s="6">
        <f>SUMPRODUCT((Results!$A$2:$A$5001=Schedule!ES$45)*(Results!$B$2:$B$5001=Schedule!$A60)*(Results!$D$2:$D$5001))</f>
        <v>0</v>
      </c>
      <c r="ET60" s="6">
        <f>SUMPRODUCT((Results!$A$2:$A$5001=Schedule!ET$45)*(Results!$B$2:$B$5001=Schedule!$A60)*(Results!$D$2:$D$5001))</f>
        <v>0</v>
      </c>
      <c r="EU60" s="6">
        <f>SUMPRODUCT((Results!$A$2:$A$5001=Schedule!EU$45)*(Results!$B$2:$B$5001=Schedule!$A60)*(Results!$D$2:$D$5001))</f>
        <v>0</v>
      </c>
      <c r="EV60" s="6">
        <f>SUMPRODUCT((Results!$A$2:$A$5001=Schedule!EV$45)*(Results!$B$2:$B$5001=Schedule!$A60)*(Results!$D$2:$D$5001))</f>
        <v>0</v>
      </c>
      <c r="EW60" s="6">
        <f>SUMPRODUCT((Results!$A$2:$A$5001=Schedule!EW$45)*(Results!$B$2:$B$5001=Schedule!$A60)*(Results!$D$2:$D$5001))</f>
        <v>0</v>
      </c>
      <c r="EX60" s="6">
        <f>SUMPRODUCT((Results!$A$2:$A$5001=Schedule!EX$45)*(Results!$B$2:$B$5001=Schedule!$A60)*(Results!$D$2:$D$5001))</f>
        <v>0</v>
      </c>
      <c r="EY60" s="6">
        <f>SUMPRODUCT((Results!$A$2:$A$5001=Schedule!EY$45)*(Results!$B$2:$B$5001=Schedule!$A60)*(Results!$D$2:$D$5001))</f>
        <v>0</v>
      </c>
      <c r="EZ60" s="6">
        <f>SUMPRODUCT((Results!$A$2:$A$5001=Schedule!EZ$45)*(Results!$B$2:$B$5001=Schedule!$A60)*(Results!$D$2:$D$5001))</f>
        <v>0</v>
      </c>
      <c r="FA60" s="6">
        <f>SUMPRODUCT((Results!$A$2:$A$5001=Schedule!FA$45)*(Results!$B$2:$B$5001=Schedule!$A60)*(Results!$D$2:$D$5001))</f>
        <v>0</v>
      </c>
      <c r="FB60" s="6">
        <f>SUMPRODUCT((Results!$A$2:$A$5001=Schedule!FB$45)*(Results!$B$2:$B$5001=Schedule!$A60)*(Results!$D$2:$D$5001))</f>
        <v>0</v>
      </c>
      <c r="FC60" s="6">
        <f>SUMPRODUCT((Results!$A$2:$A$5001=Schedule!FC$45)*(Results!$B$2:$B$5001=Schedule!$A60)*(Results!$D$2:$D$5001))</f>
        <v>0</v>
      </c>
      <c r="FD60" s="6">
        <f>SUMPRODUCT((Results!$A$2:$A$5001=Schedule!FD$45)*(Results!$B$2:$B$5001=Schedule!$A60)*(Results!$D$2:$D$5001))</f>
        <v>0</v>
      </c>
      <c r="FE60" s="6">
        <f>SUMPRODUCT((Results!$A$2:$A$5001=Schedule!FE$45)*(Results!$B$2:$B$5001=Schedule!$A60)*(Results!$D$2:$D$5001))</f>
        <v>0</v>
      </c>
      <c r="FF60" s="6">
        <f>SUMPRODUCT((Results!$A$2:$A$5001=Schedule!FF$45)*(Results!$B$2:$B$5001=Schedule!$A60)*(Results!$D$2:$D$5001))</f>
        <v>0</v>
      </c>
      <c r="FG60" s="6">
        <f>SUMPRODUCT((Results!$A$2:$A$5001=Schedule!FG$45)*(Results!$B$2:$B$5001=Schedule!$A60)*(Results!$D$2:$D$5001))</f>
        <v>0</v>
      </c>
      <c r="FH60" s="6">
        <f>SUMPRODUCT((Results!$A$2:$A$5001=Schedule!FH$45)*(Results!$B$2:$B$5001=Schedule!$A60)*(Results!$D$2:$D$5001))</f>
        <v>0</v>
      </c>
      <c r="FI60" s="6">
        <f>SUMPRODUCT((Results!$A$2:$A$5001=Schedule!FI$45)*(Results!$B$2:$B$5001=Schedule!$A60)*(Results!$D$2:$D$5001))</f>
        <v>0</v>
      </c>
      <c r="FJ60" s="6">
        <f>SUMPRODUCT((Results!$A$2:$A$5001=Schedule!FJ$45)*(Results!$B$2:$B$5001=Schedule!$A60)*(Results!$D$2:$D$5001))</f>
        <v>0</v>
      </c>
      <c r="FK60" s="6">
        <f>SUMPRODUCT((Results!$A$2:$A$5001=Schedule!FK$45)*(Results!$B$2:$B$5001=Schedule!$A60)*(Results!$D$2:$D$5001))</f>
        <v>0</v>
      </c>
      <c r="FL60" s="6">
        <f>SUMPRODUCT((Results!$A$2:$A$5001=Schedule!FL$45)*(Results!$B$2:$B$5001=Schedule!$A60)*(Results!$D$2:$D$5001))</f>
        <v>0</v>
      </c>
      <c r="FM60" s="6">
        <f>SUMPRODUCT((Results!$A$2:$A$5001=Schedule!FM$45)*(Results!$B$2:$B$5001=Schedule!$A60)*(Results!$D$2:$D$5001))</f>
        <v>0</v>
      </c>
      <c r="FN60" s="6">
        <f>SUMPRODUCT((Results!$A$2:$A$5001=Schedule!FN$45)*(Results!$B$2:$B$5001=Schedule!$A60)*(Results!$D$2:$D$5001))</f>
        <v>0</v>
      </c>
      <c r="FO60" s="6">
        <f>SUMPRODUCT((Results!$A$2:$A$5001=Schedule!FO$45)*(Results!$B$2:$B$5001=Schedule!$A60)*(Results!$D$2:$D$5001))</f>
        <v>0</v>
      </c>
      <c r="FP60" s="6">
        <f>SUMPRODUCT((Results!$A$2:$A$5001=Schedule!FP$45)*(Results!$B$2:$B$5001=Schedule!$A60)*(Results!$D$2:$D$5001))</f>
        <v>0</v>
      </c>
      <c r="FQ60" s="6">
        <f>SUMPRODUCT((Results!$A$2:$A$5001=Schedule!FQ$45)*(Results!$B$2:$B$5001=Schedule!$A60)*(Results!$D$2:$D$5001))</f>
        <v>0</v>
      </c>
      <c r="FR60" s="6">
        <f>SUMPRODUCT((Results!$A$2:$A$5001=Schedule!FR$45)*(Results!$B$2:$B$5001=Schedule!$A60)*(Results!$D$2:$D$5001))</f>
        <v>0</v>
      </c>
      <c r="FS60" s="6">
        <f>SUMPRODUCT((Results!$A$2:$A$5001=Schedule!FS$45)*(Results!$B$2:$B$5001=Schedule!$A60)*(Results!$D$2:$D$5001))</f>
        <v>0</v>
      </c>
      <c r="FT60" s="6">
        <f>SUMPRODUCT((Results!$A$2:$A$5001=Schedule!FT$45)*(Results!$B$2:$B$5001=Schedule!$A60)*(Results!$D$2:$D$5001))</f>
        <v>0</v>
      </c>
      <c r="FU60" s="6">
        <f>SUMPRODUCT((Results!$A$2:$A$5001=Schedule!FU$45)*(Results!$B$2:$B$5001=Schedule!$A60)*(Results!$D$2:$D$5001))</f>
        <v>0</v>
      </c>
      <c r="FV60" s="6">
        <f>SUMPRODUCT((Results!$A$2:$A$5001=Schedule!FV$45)*(Results!$B$2:$B$5001=Schedule!$A60)*(Results!$D$2:$D$5001))</f>
        <v>0</v>
      </c>
      <c r="FW60" s="6">
        <f>SUMPRODUCT((Results!$A$2:$A$5001=Schedule!FW$45)*(Results!$B$2:$B$5001=Schedule!$A60)*(Results!$D$2:$D$5001))</f>
        <v>0</v>
      </c>
      <c r="FX60" s="6">
        <f>SUMPRODUCT((Results!$A$2:$A$5001=Schedule!FX$45)*(Results!$B$2:$B$5001=Schedule!$A60)*(Results!$D$2:$D$5001))</f>
        <v>0</v>
      </c>
      <c r="FY60" s="6">
        <f>SUMPRODUCT((Results!$A$2:$A$5001=Schedule!FY$45)*(Results!$B$2:$B$5001=Schedule!$A60)*(Results!$D$2:$D$5001))</f>
        <v>0</v>
      </c>
      <c r="FZ60" s="6">
        <f>SUMPRODUCT((Results!$A$2:$A$5001=Schedule!FZ$45)*(Results!$B$2:$B$5001=Schedule!$A60)*(Results!$D$2:$D$5001))</f>
        <v>0</v>
      </c>
      <c r="GA60" s="6">
        <f>SUMPRODUCT((Results!$A$2:$A$5001=Schedule!GA$45)*(Results!$B$2:$B$5001=Schedule!$A60)*(Results!$D$2:$D$5001))</f>
        <v>0</v>
      </c>
      <c r="GB60" s="6">
        <f>SUMPRODUCT((Results!$A$2:$A$5001=Schedule!GB$45)*(Results!$B$2:$B$5001=Schedule!$A60)*(Results!$D$2:$D$5001))</f>
        <v>0</v>
      </c>
      <c r="GC60" s="6">
        <f>SUMPRODUCT((Results!$A$2:$A$5001=Schedule!GC$45)*(Results!$B$2:$B$5001=Schedule!$A60)*(Results!$D$2:$D$5001))</f>
        <v>0</v>
      </c>
      <c r="GD60" s="6">
        <f>SUMPRODUCT((Results!$A$2:$A$5001=Schedule!GD$45)*(Results!$B$2:$B$5001=Schedule!$A60)*(Results!$D$2:$D$5001))</f>
        <v>0</v>
      </c>
      <c r="GE60" s="6">
        <f>SUMPRODUCT((Results!$A$2:$A$5001=Schedule!GE$45)*(Results!$B$2:$B$5001=Schedule!$A60)*(Results!$D$2:$D$5001))</f>
        <v>0</v>
      </c>
      <c r="GF60" s="6">
        <f>SUMPRODUCT((Results!$A$2:$A$5001=Schedule!GF$45)*(Results!$B$2:$B$5001=Schedule!$A60)*(Results!$D$2:$D$5001))</f>
        <v>0</v>
      </c>
      <c r="GG60" s="6">
        <f>SUMPRODUCT((Results!$A$2:$A$5001=Schedule!GG$45)*(Results!$B$2:$B$5001=Schedule!$A60)*(Results!$D$2:$D$5001))</f>
        <v>0</v>
      </c>
      <c r="GH60" s="6">
        <f>SUMPRODUCT((Results!$A$2:$A$5001=Schedule!GH$45)*(Results!$B$2:$B$5001=Schedule!$A60)*(Results!$D$2:$D$5001))</f>
        <v>0</v>
      </c>
      <c r="GI60" s="6">
        <f>SUMPRODUCT((Results!$A$2:$A$5001=Schedule!GI$45)*(Results!$B$2:$B$5001=Schedule!$A60)*(Results!$D$2:$D$5001))</f>
        <v>0</v>
      </c>
      <c r="GJ60" s="6">
        <f>SUMPRODUCT((Results!$A$2:$A$5001=Schedule!GJ$45)*(Results!$B$2:$B$5001=Schedule!$A60)*(Results!$D$2:$D$5001))</f>
        <v>0</v>
      </c>
      <c r="GK60" s="6">
        <f>SUMPRODUCT((Results!$A$2:$A$5001=Schedule!GK$45)*(Results!$B$2:$B$5001=Schedule!$A60)*(Results!$D$2:$D$5001))</f>
        <v>0</v>
      </c>
      <c r="GL60" s="6">
        <f>SUMPRODUCT((Results!$A$2:$A$5001=Schedule!GL$45)*(Results!$B$2:$B$5001=Schedule!$A60)*(Results!$D$2:$D$5001))</f>
        <v>0</v>
      </c>
      <c r="GM60" s="6">
        <f>SUMPRODUCT((Results!$A$2:$A$5001=Schedule!GM$45)*(Results!$B$2:$B$5001=Schedule!$A60)*(Results!$D$2:$D$5001))</f>
        <v>0</v>
      </c>
      <c r="GN60" s="6">
        <f>SUMPRODUCT((Results!$A$2:$A$5001=Schedule!GN$45)*(Results!$B$2:$B$5001=Schedule!$A60)*(Results!$D$2:$D$5001))</f>
        <v>0</v>
      </c>
      <c r="GO60" s="6">
        <f>SUMPRODUCT((Results!$A$2:$A$5001=Schedule!GO$45)*(Results!$B$2:$B$5001=Schedule!$A60)*(Results!$D$2:$D$5001))</f>
        <v>0</v>
      </c>
      <c r="GP60" s="6">
        <f>SUMPRODUCT((Results!$A$2:$A$5001=Schedule!GP$45)*(Results!$B$2:$B$5001=Schedule!$A60)*(Results!$D$2:$D$5001))</f>
        <v>0</v>
      </c>
      <c r="GQ60" s="6">
        <f>SUMPRODUCT((Results!$A$2:$A$5001=Schedule!GQ$45)*(Results!$B$2:$B$5001=Schedule!$A60)*(Results!$D$2:$D$5001))</f>
        <v>0</v>
      </c>
      <c r="GR60" s="6">
        <f>SUMPRODUCT((Results!$A$2:$A$5001=Schedule!GR$45)*(Results!$B$2:$B$5001=Schedule!$A60)*(Results!$D$2:$D$5001))</f>
        <v>0</v>
      </c>
      <c r="GS60" s="6">
        <f>SUMPRODUCT((Results!$A$2:$A$5001=Schedule!GS$45)*(Results!$B$2:$B$5001=Schedule!$A60)*(Results!$D$2:$D$5001))</f>
        <v>0</v>
      </c>
      <c r="GT60" s="6">
        <f>SUMPRODUCT((Results!$A$2:$A$5001=Schedule!GT$45)*(Results!$B$2:$B$5001=Schedule!$A60)*(Results!$D$2:$D$5001))</f>
        <v>0</v>
      </c>
      <c r="GU60" s="6">
        <f>SUMPRODUCT((Results!$A$2:$A$5001=Schedule!GU$45)*(Results!$B$2:$B$5001=Schedule!$A60)*(Results!$D$2:$D$5001))</f>
        <v>0</v>
      </c>
    </row>
    <row r="61" spans="1:203" ht="13.5" customHeight="1" x14ac:dyDescent="0.2">
      <c r="A61" s="40">
        <v>16</v>
      </c>
      <c r="B61" s="6">
        <f t="shared" si="17"/>
        <v>5.8279999999999994</v>
      </c>
      <c r="C61" s="6">
        <f>SUMPRODUCT((Results!$A$2:$A$5001=Schedule!C$45)*(Results!$B$2:$B$5001=Schedule!$A61)*(Results!$D$2:$D$5001))</f>
        <v>4.6300000000000001E-2</v>
      </c>
      <c r="D61" s="6">
        <f>SUMPRODUCT((Results!$A$2:$A$5001=Schedule!D$45)*(Results!$B$2:$B$5001=Schedule!$A61)*(Results!$D$2:$D$5001))</f>
        <v>0</v>
      </c>
      <c r="E61" s="6">
        <f>SUMPRODUCT((Results!$A$2:$A$5001=Schedule!E$45)*(Results!$B$2:$B$5001=Schedule!$A61)*(Results!$D$2:$D$5001))</f>
        <v>0</v>
      </c>
      <c r="F61" s="6">
        <f>SUMPRODUCT((Results!$A$2:$A$5001=Schedule!F$45)*(Results!$B$2:$B$5001=Schedule!$A61)*(Results!$D$2:$D$5001))</f>
        <v>4.4161999999999999</v>
      </c>
      <c r="G61" s="6">
        <f>SUMPRODUCT((Results!$A$2:$A$5001=Schedule!G$45)*(Results!$B$2:$B$5001=Schedule!$A61)*(Results!$D$2:$D$5001))</f>
        <v>1.3655000000000002</v>
      </c>
      <c r="H61" s="6">
        <f>SUMPRODUCT((Results!$A$2:$A$5001=Schedule!H$45)*(Results!$B$2:$B$5001=Schedule!$A61)*(Results!$D$2:$D$5001))</f>
        <v>0</v>
      </c>
      <c r="I61" s="6">
        <f>SUMPRODUCT((Results!$A$2:$A$5001=Schedule!I$45)*(Results!$B$2:$B$5001=Schedule!$A61)*(Results!$D$2:$D$5001))</f>
        <v>0</v>
      </c>
      <c r="J61" s="6">
        <f>SUMPRODUCT((Results!$A$2:$A$5001=Schedule!J$45)*(Results!$B$2:$B$5001=Schedule!$A61)*(Results!$D$2:$D$5001))</f>
        <v>0</v>
      </c>
      <c r="K61" s="6">
        <f>SUMPRODUCT((Results!$A$2:$A$5001=Schedule!K$45)*(Results!$B$2:$B$5001=Schedule!$A61)*(Results!$D$2:$D$5001))</f>
        <v>0</v>
      </c>
      <c r="L61" s="6">
        <f>SUMPRODUCT((Results!$A$2:$A$5001=Schedule!L$45)*(Results!$B$2:$B$5001=Schedule!$A61)*(Results!$D$2:$D$5001))</f>
        <v>0</v>
      </c>
      <c r="M61" s="6">
        <f>SUMPRODUCT((Results!$A$2:$A$5001=Schedule!M$45)*(Results!$B$2:$B$5001=Schedule!$A61)*(Results!$D$2:$D$5001))</f>
        <v>0</v>
      </c>
      <c r="N61" s="6">
        <f>SUMPRODUCT((Results!$A$2:$A$5001=Schedule!N$45)*(Results!$B$2:$B$5001=Schedule!$A61)*(Results!$D$2:$D$5001))</f>
        <v>0</v>
      </c>
      <c r="O61" s="6">
        <f>SUMPRODUCT((Results!$A$2:$A$5001=Schedule!O$45)*(Results!$B$2:$B$5001=Schedule!$A61)*(Results!$D$2:$D$5001))</f>
        <v>0</v>
      </c>
      <c r="P61" s="6">
        <f>SUMPRODUCT((Results!$A$2:$A$5001=Schedule!P$45)*(Results!$B$2:$B$5001=Schedule!$A61)*(Results!$D$2:$D$5001))</f>
        <v>0</v>
      </c>
      <c r="Q61" s="6">
        <f>SUMPRODUCT((Results!$A$2:$A$5001=Schedule!Q$45)*(Results!$B$2:$B$5001=Schedule!$A61)*(Results!$D$2:$D$5001))</f>
        <v>0</v>
      </c>
      <c r="R61" s="6">
        <f>SUMPRODUCT((Results!$A$2:$A$5001=Schedule!R$45)*(Results!$B$2:$B$5001=Schedule!$A61)*(Results!$D$2:$D$5001))</f>
        <v>0</v>
      </c>
      <c r="S61" s="6">
        <f>SUMPRODUCT((Results!$A$2:$A$5001=Schedule!S$45)*(Results!$B$2:$B$5001=Schedule!$A61)*(Results!$D$2:$D$5001))</f>
        <v>0</v>
      </c>
      <c r="T61" s="6">
        <f>SUMPRODUCT((Results!$A$2:$A$5001=Schedule!T$45)*(Results!$B$2:$B$5001=Schedule!$A61)*(Results!$D$2:$D$5001))</f>
        <v>0</v>
      </c>
      <c r="U61" s="6">
        <f>SUMPRODUCT((Results!$A$2:$A$5001=Schedule!U$45)*(Results!$B$2:$B$5001=Schedule!$A61)*(Results!$D$2:$D$5001))</f>
        <v>0</v>
      </c>
      <c r="V61" s="6">
        <f>SUMPRODUCT((Results!$A$2:$A$5001=Schedule!V$45)*(Results!$B$2:$B$5001=Schedule!$A61)*(Results!$D$2:$D$5001))</f>
        <v>0</v>
      </c>
      <c r="W61" s="6">
        <f>SUMPRODUCT((Results!$A$2:$A$5001=Schedule!W$45)*(Results!$B$2:$B$5001=Schedule!$A61)*(Results!$D$2:$D$5001))</f>
        <v>0</v>
      </c>
      <c r="X61" s="6">
        <f>SUMPRODUCT((Results!$A$2:$A$5001=Schedule!X$45)*(Results!$B$2:$B$5001=Schedule!$A61)*(Results!$D$2:$D$5001))</f>
        <v>0</v>
      </c>
      <c r="Y61" s="6">
        <f>SUMPRODUCT((Results!$A$2:$A$5001=Schedule!Y$45)*(Results!$B$2:$B$5001=Schedule!$A61)*(Results!$D$2:$D$5001))</f>
        <v>0</v>
      </c>
      <c r="Z61" s="6">
        <f>SUMPRODUCT((Results!$A$2:$A$5001=Schedule!Z$45)*(Results!$B$2:$B$5001=Schedule!$A61)*(Results!$D$2:$D$5001))</f>
        <v>0</v>
      </c>
      <c r="AA61" s="6">
        <f>SUMPRODUCT((Results!$A$2:$A$5001=Schedule!AA$45)*(Results!$B$2:$B$5001=Schedule!$A61)*(Results!$D$2:$D$5001))</f>
        <v>0</v>
      </c>
      <c r="AB61" s="6">
        <f>SUMPRODUCT((Results!$A$2:$A$5001=Schedule!AB$45)*(Results!$B$2:$B$5001=Schedule!$A61)*(Results!$D$2:$D$5001))</f>
        <v>0</v>
      </c>
      <c r="AC61" s="6">
        <f>SUMPRODUCT((Results!$A$2:$A$5001=Schedule!AC$45)*(Results!$B$2:$B$5001=Schedule!$A61)*(Results!$D$2:$D$5001))</f>
        <v>0</v>
      </c>
      <c r="AD61" s="6">
        <f>SUMPRODUCT((Results!$A$2:$A$5001=Schedule!AD$45)*(Results!$B$2:$B$5001=Schedule!$A61)*(Results!$D$2:$D$5001))</f>
        <v>0</v>
      </c>
      <c r="AE61" s="6">
        <f>SUMPRODUCT((Results!$A$2:$A$5001=Schedule!AE$45)*(Results!$B$2:$B$5001=Schedule!$A61)*(Results!$D$2:$D$5001))</f>
        <v>0</v>
      </c>
      <c r="AF61" s="6">
        <f>SUMPRODUCT((Results!$A$2:$A$5001=Schedule!AF$45)*(Results!$B$2:$B$5001=Schedule!$A61)*(Results!$D$2:$D$5001))</f>
        <v>0</v>
      </c>
      <c r="AG61" s="6">
        <f>SUMPRODUCT((Results!$A$2:$A$5001=Schedule!AG$45)*(Results!$B$2:$B$5001=Schedule!$A61)*(Results!$D$2:$D$5001))</f>
        <v>0</v>
      </c>
      <c r="AH61" s="6">
        <f>SUMPRODUCT((Results!$A$2:$A$5001=Schedule!AH$45)*(Results!$B$2:$B$5001=Schedule!$A61)*(Results!$D$2:$D$5001))</f>
        <v>0</v>
      </c>
      <c r="AI61" s="6">
        <f>SUMPRODUCT((Results!$A$2:$A$5001=Schedule!AI$45)*(Results!$B$2:$B$5001=Schedule!$A61)*(Results!$D$2:$D$5001))</f>
        <v>0</v>
      </c>
      <c r="AJ61" s="6">
        <f>SUMPRODUCT((Results!$A$2:$A$5001=Schedule!AJ$45)*(Results!$B$2:$B$5001=Schedule!$A61)*(Results!$D$2:$D$5001))</f>
        <v>0</v>
      </c>
      <c r="AK61" s="6">
        <f>SUMPRODUCT((Results!$A$2:$A$5001=Schedule!AK$45)*(Results!$B$2:$B$5001=Schedule!$A61)*(Results!$D$2:$D$5001))</f>
        <v>0</v>
      </c>
      <c r="AL61" s="6">
        <f>SUMPRODUCT((Results!$A$2:$A$5001=Schedule!AL$45)*(Results!$B$2:$B$5001=Schedule!$A61)*(Results!$D$2:$D$5001))</f>
        <v>0</v>
      </c>
      <c r="AM61" s="6">
        <f>SUMPRODUCT((Results!$A$2:$A$5001=Schedule!AM$45)*(Results!$B$2:$B$5001=Schedule!$A61)*(Results!$D$2:$D$5001))</f>
        <v>0</v>
      </c>
      <c r="AN61" s="6">
        <f>SUMPRODUCT((Results!$A$2:$A$5001=Schedule!AN$45)*(Results!$B$2:$B$5001=Schedule!$A61)*(Results!$D$2:$D$5001))</f>
        <v>0</v>
      </c>
      <c r="AO61" s="6">
        <f>SUMPRODUCT((Results!$A$2:$A$5001=Schedule!AO$45)*(Results!$B$2:$B$5001=Schedule!$A61)*(Results!$D$2:$D$5001))</f>
        <v>0</v>
      </c>
      <c r="AP61" s="6">
        <f>SUMPRODUCT((Results!$A$2:$A$5001=Schedule!AP$45)*(Results!$B$2:$B$5001=Schedule!$A61)*(Results!$D$2:$D$5001))</f>
        <v>0</v>
      </c>
      <c r="AQ61" s="6">
        <f>SUMPRODUCT((Results!$A$2:$A$5001=Schedule!AQ$45)*(Results!$B$2:$B$5001=Schedule!$A61)*(Results!$D$2:$D$5001))</f>
        <v>0</v>
      </c>
      <c r="AR61" s="6">
        <f>SUMPRODUCT((Results!$A$2:$A$5001=Schedule!AR$45)*(Results!$B$2:$B$5001=Schedule!$A61)*(Results!$D$2:$D$5001))</f>
        <v>0</v>
      </c>
      <c r="AS61" s="6">
        <f>SUMPRODUCT((Results!$A$2:$A$5001=Schedule!AS$45)*(Results!$B$2:$B$5001=Schedule!$A61)*(Results!$D$2:$D$5001))</f>
        <v>0</v>
      </c>
      <c r="AT61" s="6">
        <f>SUMPRODUCT((Results!$A$2:$A$5001=Schedule!AT$45)*(Results!$B$2:$B$5001=Schedule!$A61)*(Results!$D$2:$D$5001))</f>
        <v>0</v>
      </c>
      <c r="AU61" s="6">
        <f>SUMPRODUCT((Results!$A$2:$A$5001=Schedule!AU$45)*(Results!$B$2:$B$5001=Schedule!$A61)*(Results!$D$2:$D$5001))</f>
        <v>0</v>
      </c>
      <c r="AV61" s="6">
        <f>SUMPRODUCT((Results!$A$2:$A$5001=Schedule!AV$45)*(Results!$B$2:$B$5001=Schedule!$A61)*(Results!$D$2:$D$5001))</f>
        <v>0</v>
      </c>
      <c r="AW61" s="6">
        <f>SUMPRODUCT((Results!$A$2:$A$5001=Schedule!AW$45)*(Results!$B$2:$B$5001=Schedule!$A61)*(Results!$D$2:$D$5001))</f>
        <v>0</v>
      </c>
      <c r="AX61" s="6">
        <f>SUMPRODUCT((Results!$A$2:$A$5001=Schedule!AX$45)*(Results!$B$2:$B$5001=Schedule!$A61)*(Results!$D$2:$D$5001))</f>
        <v>0</v>
      </c>
      <c r="AY61" s="6">
        <f>SUMPRODUCT((Results!$A$2:$A$5001=Schedule!AY$45)*(Results!$B$2:$B$5001=Schedule!$A61)*(Results!$D$2:$D$5001))</f>
        <v>0</v>
      </c>
      <c r="AZ61" s="6">
        <f>SUMPRODUCT((Results!$A$2:$A$5001=Schedule!AZ$45)*(Results!$B$2:$B$5001=Schedule!$A61)*(Results!$D$2:$D$5001))</f>
        <v>0</v>
      </c>
      <c r="BA61" s="6">
        <f>SUMPRODUCT((Results!$A$2:$A$5001=Schedule!BA$45)*(Results!$B$2:$B$5001=Schedule!$A61)*(Results!$D$2:$D$5001))</f>
        <v>0</v>
      </c>
      <c r="BB61" s="6">
        <f>SUMPRODUCT((Results!$A$2:$A$5001=Schedule!BB$45)*(Results!$B$2:$B$5001=Schedule!$A61)*(Results!$D$2:$D$5001))</f>
        <v>0</v>
      </c>
      <c r="BC61" s="6">
        <f>SUMPRODUCT((Results!$A$2:$A$5001=Schedule!BC$45)*(Results!$B$2:$B$5001=Schedule!$A61)*(Results!$D$2:$D$5001))</f>
        <v>0</v>
      </c>
      <c r="BD61" s="6">
        <f>SUMPRODUCT((Results!$A$2:$A$5001=Schedule!BD$45)*(Results!$B$2:$B$5001=Schedule!$A61)*(Results!$D$2:$D$5001))</f>
        <v>0</v>
      </c>
      <c r="BE61" s="6">
        <f>SUMPRODUCT((Results!$A$2:$A$5001=Schedule!BE$45)*(Results!$B$2:$B$5001=Schedule!$A61)*(Results!$D$2:$D$5001))</f>
        <v>0</v>
      </c>
      <c r="BF61" s="6">
        <f>SUMPRODUCT((Results!$A$2:$A$5001=Schedule!BF$45)*(Results!$B$2:$B$5001=Schedule!$A61)*(Results!$D$2:$D$5001))</f>
        <v>0</v>
      </c>
      <c r="BG61" s="6">
        <f>SUMPRODUCT((Results!$A$2:$A$5001=Schedule!BG$45)*(Results!$B$2:$B$5001=Schedule!$A61)*(Results!$D$2:$D$5001))</f>
        <v>0</v>
      </c>
      <c r="BH61" s="6">
        <f>SUMPRODUCT((Results!$A$2:$A$5001=Schedule!BH$45)*(Results!$B$2:$B$5001=Schedule!$A61)*(Results!$D$2:$D$5001))</f>
        <v>0</v>
      </c>
      <c r="BI61" s="6">
        <f>SUMPRODUCT((Results!$A$2:$A$5001=Schedule!BI$45)*(Results!$B$2:$B$5001=Schedule!$A61)*(Results!$D$2:$D$5001))</f>
        <v>0</v>
      </c>
      <c r="BJ61" s="6">
        <f>SUMPRODUCT((Results!$A$2:$A$5001=Schedule!BJ$45)*(Results!$B$2:$B$5001=Schedule!$A61)*(Results!$D$2:$D$5001))</f>
        <v>0</v>
      </c>
      <c r="BK61" s="6">
        <f>SUMPRODUCT((Results!$A$2:$A$5001=Schedule!BK$45)*(Results!$B$2:$B$5001=Schedule!$A61)*(Results!$D$2:$D$5001))</f>
        <v>0</v>
      </c>
      <c r="BL61" s="6">
        <f>SUMPRODUCT((Results!$A$2:$A$5001=Schedule!BL$45)*(Results!$B$2:$B$5001=Schedule!$A61)*(Results!$D$2:$D$5001))</f>
        <v>0</v>
      </c>
      <c r="BM61" s="6">
        <f>SUMPRODUCT((Results!$A$2:$A$5001=Schedule!BM$45)*(Results!$B$2:$B$5001=Schedule!$A61)*(Results!$D$2:$D$5001))</f>
        <v>0</v>
      </c>
      <c r="BN61" s="6">
        <f>SUMPRODUCT((Results!$A$2:$A$5001=Schedule!BN$45)*(Results!$B$2:$B$5001=Schedule!$A61)*(Results!$D$2:$D$5001))</f>
        <v>0</v>
      </c>
      <c r="BO61" s="6">
        <f>SUMPRODUCT((Results!$A$2:$A$5001=Schedule!BO$45)*(Results!$B$2:$B$5001=Schedule!$A61)*(Results!$D$2:$D$5001))</f>
        <v>0</v>
      </c>
      <c r="BP61" s="6">
        <f>SUMPRODUCT((Results!$A$2:$A$5001=Schedule!BP$45)*(Results!$B$2:$B$5001=Schedule!$A61)*(Results!$D$2:$D$5001))</f>
        <v>0</v>
      </c>
      <c r="BQ61" s="6">
        <f>SUMPRODUCT((Results!$A$2:$A$5001=Schedule!BQ$45)*(Results!$B$2:$B$5001=Schedule!$A61)*(Results!$D$2:$D$5001))</f>
        <v>0</v>
      </c>
      <c r="BR61" s="6">
        <f>SUMPRODUCT((Results!$A$2:$A$5001=Schedule!BR$45)*(Results!$B$2:$B$5001=Schedule!$A61)*(Results!$D$2:$D$5001))</f>
        <v>0</v>
      </c>
      <c r="BS61" s="6">
        <f>SUMPRODUCT((Results!$A$2:$A$5001=Schedule!BS$45)*(Results!$B$2:$B$5001=Schedule!$A61)*(Results!$D$2:$D$5001))</f>
        <v>0</v>
      </c>
      <c r="BT61" s="6">
        <f>SUMPRODUCT((Results!$A$2:$A$5001=Schedule!BT$45)*(Results!$B$2:$B$5001=Schedule!$A61)*(Results!$D$2:$D$5001))</f>
        <v>0</v>
      </c>
      <c r="BU61" s="6">
        <f>SUMPRODUCT((Results!$A$2:$A$5001=Schedule!BU$45)*(Results!$B$2:$B$5001=Schedule!$A61)*(Results!$D$2:$D$5001))</f>
        <v>0</v>
      </c>
      <c r="BV61" s="6">
        <f>SUMPRODUCT((Results!$A$2:$A$5001=Schedule!BV$45)*(Results!$B$2:$B$5001=Schedule!$A61)*(Results!$D$2:$D$5001))</f>
        <v>0</v>
      </c>
      <c r="BW61" s="6">
        <f>SUMPRODUCT((Results!$A$2:$A$5001=Schedule!BW$45)*(Results!$B$2:$B$5001=Schedule!$A61)*(Results!$D$2:$D$5001))</f>
        <v>0</v>
      </c>
      <c r="BX61" s="6">
        <f>SUMPRODUCT((Results!$A$2:$A$5001=Schedule!BX$45)*(Results!$B$2:$B$5001=Schedule!$A61)*(Results!$D$2:$D$5001))</f>
        <v>0</v>
      </c>
      <c r="BY61" s="6">
        <f>SUMPRODUCT((Results!$A$2:$A$5001=Schedule!BY$45)*(Results!$B$2:$B$5001=Schedule!$A61)*(Results!$D$2:$D$5001))</f>
        <v>0</v>
      </c>
      <c r="BZ61" s="6">
        <f>SUMPRODUCT((Results!$A$2:$A$5001=Schedule!BZ$45)*(Results!$B$2:$B$5001=Schedule!$A61)*(Results!$D$2:$D$5001))</f>
        <v>0</v>
      </c>
      <c r="CA61" s="6">
        <f>SUMPRODUCT((Results!$A$2:$A$5001=Schedule!CA$45)*(Results!$B$2:$B$5001=Schedule!$A61)*(Results!$D$2:$D$5001))</f>
        <v>0</v>
      </c>
      <c r="CB61" s="6">
        <f>SUMPRODUCT((Results!$A$2:$A$5001=Schedule!CB$45)*(Results!$B$2:$B$5001=Schedule!$A61)*(Results!$D$2:$D$5001))</f>
        <v>0</v>
      </c>
      <c r="CC61" s="6">
        <f>SUMPRODUCT((Results!$A$2:$A$5001=Schedule!CC$45)*(Results!$B$2:$B$5001=Schedule!$A61)*(Results!$D$2:$D$5001))</f>
        <v>0</v>
      </c>
      <c r="CD61" s="6">
        <f>SUMPRODUCT((Results!$A$2:$A$5001=Schedule!CD$45)*(Results!$B$2:$B$5001=Schedule!$A61)*(Results!$D$2:$D$5001))</f>
        <v>0</v>
      </c>
      <c r="CE61" s="6">
        <f>SUMPRODUCT((Results!$A$2:$A$5001=Schedule!CE$45)*(Results!$B$2:$B$5001=Schedule!$A61)*(Results!$D$2:$D$5001))</f>
        <v>0</v>
      </c>
      <c r="CF61" s="6">
        <f>SUMPRODUCT((Results!$A$2:$A$5001=Schedule!CF$45)*(Results!$B$2:$B$5001=Schedule!$A61)*(Results!$D$2:$D$5001))</f>
        <v>0</v>
      </c>
      <c r="CG61" s="6">
        <f>SUMPRODUCT((Results!$A$2:$A$5001=Schedule!CG$45)*(Results!$B$2:$B$5001=Schedule!$A61)*(Results!$D$2:$D$5001))</f>
        <v>0</v>
      </c>
      <c r="CH61" s="6">
        <f>SUMPRODUCT((Results!$A$2:$A$5001=Schedule!CH$45)*(Results!$B$2:$B$5001=Schedule!$A61)*(Results!$D$2:$D$5001))</f>
        <v>0</v>
      </c>
      <c r="CI61" s="6">
        <f>SUMPRODUCT((Results!$A$2:$A$5001=Schedule!CI$45)*(Results!$B$2:$B$5001=Schedule!$A61)*(Results!$D$2:$D$5001))</f>
        <v>0</v>
      </c>
      <c r="CJ61" s="6">
        <f>SUMPRODUCT((Results!$A$2:$A$5001=Schedule!CJ$45)*(Results!$B$2:$B$5001=Schedule!$A61)*(Results!$D$2:$D$5001))</f>
        <v>0</v>
      </c>
      <c r="CK61" s="6">
        <f>SUMPRODUCT((Results!$A$2:$A$5001=Schedule!CK$45)*(Results!$B$2:$B$5001=Schedule!$A61)*(Results!$D$2:$D$5001))</f>
        <v>0</v>
      </c>
      <c r="CL61" s="6">
        <f>SUMPRODUCT((Results!$A$2:$A$5001=Schedule!CL$45)*(Results!$B$2:$B$5001=Schedule!$A61)*(Results!$D$2:$D$5001))</f>
        <v>0</v>
      </c>
      <c r="CM61" s="6">
        <f>SUMPRODUCT((Results!$A$2:$A$5001=Schedule!CM$45)*(Results!$B$2:$B$5001=Schedule!$A61)*(Results!$D$2:$D$5001))</f>
        <v>0</v>
      </c>
      <c r="CN61" s="6">
        <f>SUMPRODUCT((Results!$A$2:$A$5001=Schedule!CN$45)*(Results!$B$2:$B$5001=Schedule!$A61)*(Results!$D$2:$D$5001))</f>
        <v>0</v>
      </c>
      <c r="CO61" s="6">
        <f>SUMPRODUCT((Results!$A$2:$A$5001=Schedule!CO$45)*(Results!$B$2:$B$5001=Schedule!$A61)*(Results!$D$2:$D$5001))</f>
        <v>0</v>
      </c>
      <c r="CP61" s="6">
        <f>SUMPRODUCT((Results!$A$2:$A$5001=Schedule!CP$45)*(Results!$B$2:$B$5001=Schedule!$A61)*(Results!$D$2:$D$5001))</f>
        <v>0</v>
      </c>
      <c r="CQ61" s="6">
        <f>SUMPRODUCT((Results!$A$2:$A$5001=Schedule!CQ$45)*(Results!$B$2:$B$5001=Schedule!$A61)*(Results!$D$2:$D$5001))</f>
        <v>0</v>
      </c>
      <c r="CR61" s="6">
        <f>SUMPRODUCT((Results!$A$2:$A$5001=Schedule!CR$45)*(Results!$B$2:$B$5001=Schedule!$A61)*(Results!$D$2:$D$5001))</f>
        <v>0</v>
      </c>
      <c r="CS61" s="6">
        <f>SUMPRODUCT((Results!$A$2:$A$5001=Schedule!CS$45)*(Results!$B$2:$B$5001=Schedule!$A61)*(Results!$D$2:$D$5001))</f>
        <v>0</v>
      </c>
      <c r="CT61" s="6">
        <f>SUMPRODUCT((Results!$A$2:$A$5001=Schedule!CT$45)*(Results!$B$2:$B$5001=Schedule!$A61)*(Results!$D$2:$D$5001))</f>
        <v>0</v>
      </c>
      <c r="CU61" s="6">
        <f>SUMPRODUCT((Results!$A$2:$A$5001=Schedule!CU$45)*(Results!$B$2:$B$5001=Schedule!$A61)*(Results!$D$2:$D$5001))</f>
        <v>0</v>
      </c>
      <c r="CV61" s="6">
        <f>SUMPRODUCT((Results!$A$2:$A$5001=Schedule!CV$45)*(Results!$B$2:$B$5001=Schedule!$A61)*(Results!$D$2:$D$5001))</f>
        <v>0</v>
      </c>
      <c r="CW61" s="6">
        <f>SUMPRODUCT((Results!$A$2:$A$5001=Schedule!CW$45)*(Results!$B$2:$B$5001=Schedule!$A61)*(Results!$D$2:$D$5001))</f>
        <v>0</v>
      </c>
      <c r="CX61" s="6">
        <f>SUMPRODUCT((Results!$A$2:$A$5001=Schedule!CX$45)*(Results!$B$2:$B$5001=Schedule!$A61)*(Results!$D$2:$D$5001))</f>
        <v>0</v>
      </c>
      <c r="CY61" s="6">
        <f>SUMPRODUCT((Results!$A$2:$A$5001=Schedule!CY$45)*(Results!$B$2:$B$5001=Schedule!$A61)*(Results!$D$2:$D$5001))</f>
        <v>0</v>
      </c>
      <c r="CZ61" s="6">
        <f>SUMPRODUCT((Results!$A$2:$A$5001=Schedule!CZ$45)*(Results!$B$2:$B$5001=Schedule!$A61)*(Results!$D$2:$D$5001))</f>
        <v>0</v>
      </c>
      <c r="DA61" s="6">
        <f>SUMPRODUCT((Results!$A$2:$A$5001=Schedule!DA$45)*(Results!$B$2:$B$5001=Schedule!$A61)*(Results!$D$2:$D$5001))</f>
        <v>0</v>
      </c>
      <c r="DB61" s="6">
        <f>SUMPRODUCT((Results!$A$2:$A$5001=Schedule!DB$45)*(Results!$B$2:$B$5001=Schedule!$A61)*(Results!$D$2:$D$5001))</f>
        <v>0</v>
      </c>
      <c r="DC61" s="6">
        <f>SUMPRODUCT((Results!$A$2:$A$5001=Schedule!DC$45)*(Results!$B$2:$B$5001=Schedule!$A61)*(Results!$D$2:$D$5001))</f>
        <v>0</v>
      </c>
      <c r="DD61" s="6">
        <f>SUMPRODUCT((Results!$A$2:$A$5001=Schedule!DD$45)*(Results!$B$2:$B$5001=Schedule!$A61)*(Results!$D$2:$D$5001))</f>
        <v>0</v>
      </c>
      <c r="DE61" s="6">
        <f>SUMPRODUCT((Results!$A$2:$A$5001=Schedule!DE$45)*(Results!$B$2:$B$5001=Schedule!$A61)*(Results!$D$2:$D$5001))</f>
        <v>0</v>
      </c>
      <c r="DF61" s="6">
        <f>SUMPRODUCT((Results!$A$2:$A$5001=Schedule!DF$45)*(Results!$B$2:$B$5001=Schedule!$A61)*(Results!$D$2:$D$5001))</f>
        <v>0</v>
      </c>
      <c r="DG61" s="6">
        <f>SUMPRODUCT((Results!$A$2:$A$5001=Schedule!DG$45)*(Results!$B$2:$B$5001=Schedule!$A61)*(Results!$D$2:$D$5001))</f>
        <v>0</v>
      </c>
      <c r="DH61" s="6">
        <f>SUMPRODUCT((Results!$A$2:$A$5001=Schedule!DH$45)*(Results!$B$2:$B$5001=Schedule!$A61)*(Results!$D$2:$D$5001))</f>
        <v>0</v>
      </c>
      <c r="DI61" s="6">
        <f>SUMPRODUCT((Results!$A$2:$A$5001=Schedule!DI$45)*(Results!$B$2:$B$5001=Schedule!$A61)*(Results!$D$2:$D$5001))</f>
        <v>0</v>
      </c>
      <c r="DJ61" s="6">
        <f>SUMPRODUCT((Results!$A$2:$A$5001=Schedule!DJ$45)*(Results!$B$2:$B$5001=Schedule!$A61)*(Results!$D$2:$D$5001))</f>
        <v>0</v>
      </c>
      <c r="DK61" s="6">
        <f>SUMPRODUCT((Results!$A$2:$A$5001=Schedule!DK$45)*(Results!$B$2:$B$5001=Schedule!$A61)*(Results!$D$2:$D$5001))</f>
        <v>0</v>
      </c>
      <c r="DL61" s="6">
        <f>SUMPRODUCT((Results!$A$2:$A$5001=Schedule!DL$45)*(Results!$B$2:$B$5001=Schedule!$A61)*(Results!$D$2:$D$5001))</f>
        <v>0</v>
      </c>
      <c r="DM61" s="6">
        <f>SUMPRODUCT((Results!$A$2:$A$5001=Schedule!DM$45)*(Results!$B$2:$B$5001=Schedule!$A61)*(Results!$D$2:$D$5001))</f>
        <v>0</v>
      </c>
      <c r="DN61" s="6">
        <f>SUMPRODUCT((Results!$A$2:$A$5001=Schedule!DN$45)*(Results!$B$2:$B$5001=Schedule!$A61)*(Results!$D$2:$D$5001))</f>
        <v>0</v>
      </c>
      <c r="DO61" s="6">
        <f>SUMPRODUCT((Results!$A$2:$A$5001=Schedule!DO$45)*(Results!$B$2:$B$5001=Schedule!$A61)*(Results!$D$2:$D$5001))</f>
        <v>0</v>
      </c>
      <c r="DP61" s="6">
        <f>SUMPRODUCT((Results!$A$2:$A$5001=Schedule!DP$45)*(Results!$B$2:$B$5001=Schedule!$A61)*(Results!$D$2:$D$5001))</f>
        <v>0</v>
      </c>
      <c r="DQ61" s="6">
        <f>SUMPRODUCT((Results!$A$2:$A$5001=Schedule!DQ$45)*(Results!$B$2:$B$5001=Schedule!$A61)*(Results!$D$2:$D$5001))</f>
        <v>0</v>
      </c>
      <c r="DR61" s="6">
        <f>SUMPRODUCT((Results!$A$2:$A$5001=Schedule!DR$45)*(Results!$B$2:$B$5001=Schedule!$A61)*(Results!$D$2:$D$5001))</f>
        <v>0</v>
      </c>
      <c r="DS61" s="6">
        <f>SUMPRODUCT((Results!$A$2:$A$5001=Schedule!DS$45)*(Results!$B$2:$B$5001=Schedule!$A61)*(Results!$D$2:$D$5001))</f>
        <v>0</v>
      </c>
      <c r="DT61" s="6">
        <f>SUMPRODUCT((Results!$A$2:$A$5001=Schedule!DT$45)*(Results!$B$2:$B$5001=Schedule!$A61)*(Results!$D$2:$D$5001))</f>
        <v>0</v>
      </c>
      <c r="DU61" s="6">
        <f>SUMPRODUCT((Results!$A$2:$A$5001=Schedule!DU$45)*(Results!$B$2:$B$5001=Schedule!$A61)*(Results!$D$2:$D$5001))</f>
        <v>0</v>
      </c>
      <c r="DV61" s="6">
        <f>SUMPRODUCT((Results!$A$2:$A$5001=Schedule!DV$45)*(Results!$B$2:$B$5001=Schedule!$A61)*(Results!$D$2:$D$5001))</f>
        <v>0</v>
      </c>
      <c r="DW61" s="6">
        <f>SUMPRODUCT((Results!$A$2:$A$5001=Schedule!DW$45)*(Results!$B$2:$B$5001=Schedule!$A61)*(Results!$D$2:$D$5001))</f>
        <v>0</v>
      </c>
      <c r="DX61" s="6">
        <f>SUMPRODUCT((Results!$A$2:$A$5001=Schedule!DX$45)*(Results!$B$2:$B$5001=Schedule!$A61)*(Results!$D$2:$D$5001))</f>
        <v>0</v>
      </c>
      <c r="DY61" s="6">
        <f>SUMPRODUCT((Results!$A$2:$A$5001=Schedule!DY$45)*(Results!$B$2:$B$5001=Schedule!$A61)*(Results!$D$2:$D$5001))</f>
        <v>0</v>
      </c>
      <c r="DZ61" s="6">
        <f>SUMPRODUCT((Results!$A$2:$A$5001=Schedule!DZ$45)*(Results!$B$2:$B$5001=Schedule!$A61)*(Results!$D$2:$D$5001))</f>
        <v>0</v>
      </c>
      <c r="EA61" s="6">
        <f>SUMPRODUCT((Results!$A$2:$A$5001=Schedule!EA$45)*(Results!$B$2:$B$5001=Schedule!$A61)*(Results!$D$2:$D$5001))</f>
        <v>0</v>
      </c>
      <c r="EB61" s="6">
        <f>SUMPRODUCT((Results!$A$2:$A$5001=Schedule!EB$45)*(Results!$B$2:$B$5001=Schedule!$A61)*(Results!$D$2:$D$5001))</f>
        <v>0</v>
      </c>
      <c r="EC61" s="6">
        <f>SUMPRODUCT((Results!$A$2:$A$5001=Schedule!EC$45)*(Results!$B$2:$B$5001=Schedule!$A61)*(Results!$D$2:$D$5001))</f>
        <v>0</v>
      </c>
      <c r="ED61" s="6">
        <f>SUMPRODUCT((Results!$A$2:$A$5001=Schedule!ED$45)*(Results!$B$2:$B$5001=Schedule!$A61)*(Results!$D$2:$D$5001))</f>
        <v>0</v>
      </c>
      <c r="EE61" s="6">
        <f>SUMPRODUCT((Results!$A$2:$A$5001=Schedule!EE$45)*(Results!$B$2:$B$5001=Schedule!$A61)*(Results!$D$2:$D$5001))</f>
        <v>0</v>
      </c>
      <c r="EF61" s="6">
        <f>SUMPRODUCT((Results!$A$2:$A$5001=Schedule!EF$45)*(Results!$B$2:$B$5001=Schedule!$A61)*(Results!$D$2:$D$5001))</f>
        <v>0</v>
      </c>
      <c r="EG61" s="6">
        <f>SUMPRODUCT((Results!$A$2:$A$5001=Schedule!EG$45)*(Results!$B$2:$B$5001=Schedule!$A61)*(Results!$D$2:$D$5001))</f>
        <v>0</v>
      </c>
      <c r="EH61" s="6">
        <f>SUMPRODUCT((Results!$A$2:$A$5001=Schedule!EH$45)*(Results!$B$2:$B$5001=Schedule!$A61)*(Results!$D$2:$D$5001))</f>
        <v>0</v>
      </c>
      <c r="EI61" s="6">
        <f>SUMPRODUCT((Results!$A$2:$A$5001=Schedule!EI$45)*(Results!$B$2:$B$5001=Schedule!$A61)*(Results!$D$2:$D$5001))</f>
        <v>0</v>
      </c>
      <c r="EJ61" s="6">
        <f>SUMPRODUCT((Results!$A$2:$A$5001=Schedule!EJ$45)*(Results!$B$2:$B$5001=Schedule!$A61)*(Results!$D$2:$D$5001))</f>
        <v>0</v>
      </c>
      <c r="EK61" s="6">
        <f>SUMPRODUCT((Results!$A$2:$A$5001=Schedule!EK$45)*(Results!$B$2:$B$5001=Schedule!$A61)*(Results!$D$2:$D$5001))</f>
        <v>0</v>
      </c>
      <c r="EL61" s="6">
        <f>SUMPRODUCT((Results!$A$2:$A$5001=Schedule!EL$45)*(Results!$B$2:$B$5001=Schedule!$A61)*(Results!$D$2:$D$5001))</f>
        <v>0</v>
      </c>
      <c r="EM61" s="6">
        <f>SUMPRODUCT((Results!$A$2:$A$5001=Schedule!EM$45)*(Results!$B$2:$B$5001=Schedule!$A61)*(Results!$D$2:$D$5001))</f>
        <v>0</v>
      </c>
      <c r="EN61" s="6">
        <f>SUMPRODUCT((Results!$A$2:$A$5001=Schedule!EN$45)*(Results!$B$2:$B$5001=Schedule!$A61)*(Results!$D$2:$D$5001))</f>
        <v>0</v>
      </c>
      <c r="EO61" s="6">
        <f>SUMPRODUCT((Results!$A$2:$A$5001=Schedule!EO$45)*(Results!$B$2:$B$5001=Schedule!$A61)*(Results!$D$2:$D$5001))</f>
        <v>0</v>
      </c>
      <c r="EP61" s="6">
        <f>SUMPRODUCT((Results!$A$2:$A$5001=Schedule!EP$45)*(Results!$B$2:$B$5001=Schedule!$A61)*(Results!$D$2:$D$5001))</f>
        <v>0</v>
      </c>
      <c r="EQ61" s="6">
        <f>SUMPRODUCT((Results!$A$2:$A$5001=Schedule!EQ$45)*(Results!$B$2:$B$5001=Schedule!$A61)*(Results!$D$2:$D$5001))</f>
        <v>0</v>
      </c>
      <c r="ER61" s="6">
        <f>SUMPRODUCT((Results!$A$2:$A$5001=Schedule!ER$45)*(Results!$B$2:$B$5001=Schedule!$A61)*(Results!$D$2:$D$5001))</f>
        <v>0</v>
      </c>
      <c r="ES61" s="6">
        <f>SUMPRODUCT((Results!$A$2:$A$5001=Schedule!ES$45)*(Results!$B$2:$B$5001=Schedule!$A61)*(Results!$D$2:$D$5001))</f>
        <v>0</v>
      </c>
      <c r="ET61" s="6">
        <f>SUMPRODUCT((Results!$A$2:$A$5001=Schedule!ET$45)*(Results!$B$2:$B$5001=Schedule!$A61)*(Results!$D$2:$D$5001))</f>
        <v>0</v>
      </c>
      <c r="EU61" s="6">
        <f>SUMPRODUCT((Results!$A$2:$A$5001=Schedule!EU$45)*(Results!$B$2:$B$5001=Schedule!$A61)*(Results!$D$2:$D$5001))</f>
        <v>0</v>
      </c>
      <c r="EV61" s="6">
        <f>SUMPRODUCT((Results!$A$2:$A$5001=Schedule!EV$45)*(Results!$B$2:$B$5001=Schedule!$A61)*(Results!$D$2:$D$5001))</f>
        <v>0</v>
      </c>
      <c r="EW61" s="6">
        <f>SUMPRODUCT((Results!$A$2:$A$5001=Schedule!EW$45)*(Results!$B$2:$B$5001=Schedule!$A61)*(Results!$D$2:$D$5001))</f>
        <v>0</v>
      </c>
      <c r="EX61" s="6">
        <f>SUMPRODUCT((Results!$A$2:$A$5001=Schedule!EX$45)*(Results!$B$2:$B$5001=Schedule!$A61)*(Results!$D$2:$D$5001))</f>
        <v>0</v>
      </c>
      <c r="EY61" s="6">
        <f>SUMPRODUCT((Results!$A$2:$A$5001=Schedule!EY$45)*(Results!$B$2:$B$5001=Schedule!$A61)*(Results!$D$2:$D$5001))</f>
        <v>0</v>
      </c>
      <c r="EZ61" s="6">
        <f>SUMPRODUCT((Results!$A$2:$A$5001=Schedule!EZ$45)*(Results!$B$2:$B$5001=Schedule!$A61)*(Results!$D$2:$D$5001))</f>
        <v>0</v>
      </c>
      <c r="FA61" s="6">
        <f>SUMPRODUCT((Results!$A$2:$A$5001=Schedule!FA$45)*(Results!$B$2:$B$5001=Schedule!$A61)*(Results!$D$2:$D$5001))</f>
        <v>0</v>
      </c>
      <c r="FB61" s="6">
        <f>SUMPRODUCT((Results!$A$2:$A$5001=Schedule!FB$45)*(Results!$B$2:$B$5001=Schedule!$A61)*(Results!$D$2:$D$5001))</f>
        <v>0</v>
      </c>
      <c r="FC61" s="6">
        <f>SUMPRODUCT((Results!$A$2:$A$5001=Schedule!FC$45)*(Results!$B$2:$B$5001=Schedule!$A61)*(Results!$D$2:$D$5001))</f>
        <v>0</v>
      </c>
      <c r="FD61" s="6">
        <f>SUMPRODUCT((Results!$A$2:$A$5001=Schedule!FD$45)*(Results!$B$2:$B$5001=Schedule!$A61)*(Results!$D$2:$D$5001))</f>
        <v>0</v>
      </c>
      <c r="FE61" s="6">
        <f>SUMPRODUCT((Results!$A$2:$A$5001=Schedule!FE$45)*(Results!$B$2:$B$5001=Schedule!$A61)*(Results!$D$2:$D$5001))</f>
        <v>0</v>
      </c>
      <c r="FF61" s="6">
        <f>SUMPRODUCT((Results!$A$2:$A$5001=Schedule!FF$45)*(Results!$B$2:$B$5001=Schedule!$A61)*(Results!$D$2:$D$5001))</f>
        <v>0</v>
      </c>
      <c r="FG61" s="6">
        <f>SUMPRODUCT((Results!$A$2:$A$5001=Schedule!FG$45)*(Results!$B$2:$B$5001=Schedule!$A61)*(Results!$D$2:$D$5001))</f>
        <v>0</v>
      </c>
      <c r="FH61" s="6">
        <f>SUMPRODUCT((Results!$A$2:$A$5001=Schedule!FH$45)*(Results!$B$2:$B$5001=Schedule!$A61)*(Results!$D$2:$D$5001))</f>
        <v>0</v>
      </c>
      <c r="FI61" s="6">
        <f>SUMPRODUCT((Results!$A$2:$A$5001=Schedule!FI$45)*(Results!$B$2:$B$5001=Schedule!$A61)*(Results!$D$2:$D$5001))</f>
        <v>0</v>
      </c>
      <c r="FJ61" s="6">
        <f>SUMPRODUCT((Results!$A$2:$A$5001=Schedule!FJ$45)*(Results!$B$2:$B$5001=Schedule!$A61)*(Results!$D$2:$D$5001))</f>
        <v>0</v>
      </c>
      <c r="FK61" s="6">
        <f>SUMPRODUCT((Results!$A$2:$A$5001=Schedule!FK$45)*(Results!$B$2:$B$5001=Schedule!$A61)*(Results!$D$2:$D$5001))</f>
        <v>0</v>
      </c>
      <c r="FL61" s="6">
        <f>SUMPRODUCT((Results!$A$2:$A$5001=Schedule!FL$45)*(Results!$B$2:$B$5001=Schedule!$A61)*(Results!$D$2:$D$5001))</f>
        <v>0</v>
      </c>
      <c r="FM61" s="6">
        <f>SUMPRODUCT((Results!$A$2:$A$5001=Schedule!FM$45)*(Results!$B$2:$B$5001=Schedule!$A61)*(Results!$D$2:$D$5001))</f>
        <v>0</v>
      </c>
      <c r="FN61" s="6">
        <f>SUMPRODUCT((Results!$A$2:$A$5001=Schedule!FN$45)*(Results!$B$2:$B$5001=Schedule!$A61)*(Results!$D$2:$D$5001))</f>
        <v>0</v>
      </c>
      <c r="FO61" s="6">
        <f>SUMPRODUCT((Results!$A$2:$A$5001=Schedule!FO$45)*(Results!$B$2:$B$5001=Schedule!$A61)*(Results!$D$2:$D$5001))</f>
        <v>0</v>
      </c>
      <c r="FP61" s="6">
        <f>SUMPRODUCT((Results!$A$2:$A$5001=Schedule!FP$45)*(Results!$B$2:$B$5001=Schedule!$A61)*(Results!$D$2:$D$5001))</f>
        <v>0</v>
      </c>
      <c r="FQ61" s="6">
        <f>SUMPRODUCT((Results!$A$2:$A$5001=Schedule!FQ$45)*(Results!$B$2:$B$5001=Schedule!$A61)*(Results!$D$2:$D$5001))</f>
        <v>0</v>
      </c>
      <c r="FR61" s="6">
        <f>SUMPRODUCT((Results!$A$2:$A$5001=Schedule!FR$45)*(Results!$B$2:$B$5001=Schedule!$A61)*(Results!$D$2:$D$5001))</f>
        <v>0</v>
      </c>
      <c r="FS61" s="6">
        <f>SUMPRODUCT((Results!$A$2:$A$5001=Schedule!FS$45)*(Results!$B$2:$B$5001=Schedule!$A61)*(Results!$D$2:$D$5001))</f>
        <v>0</v>
      </c>
      <c r="FT61" s="6">
        <f>SUMPRODUCT((Results!$A$2:$A$5001=Schedule!FT$45)*(Results!$B$2:$B$5001=Schedule!$A61)*(Results!$D$2:$D$5001))</f>
        <v>0</v>
      </c>
      <c r="FU61" s="6">
        <f>SUMPRODUCT((Results!$A$2:$A$5001=Schedule!FU$45)*(Results!$B$2:$B$5001=Schedule!$A61)*(Results!$D$2:$D$5001))</f>
        <v>0</v>
      </c>
      <c r="FV61" s="6">
        <f>SUMPRODUCT((Results!$A$2:$A$5001=Schedule!FV$45)*(Results!$B$2:$B$5001=Schedule!$A61)*(Results!$D$2:$D$5001))</f>
        <v>0</v>
      </c>
      <c r="FW61" s="6">
        <f>SUMPRODUCT((Results!$A$2:$A$5001=Schedule!FW$45)*(Results!$B$2:$B$5001=Schedule!$A61)*(Results!$D$2:$D$5001))</f>
        <v>0</v>
      </c>
      <c r="FX61" s="6">
        <f>SUMPRODUCT((Results!$A$2:$A$5001=Schedule!FX$45)*(Results!$B$2:$B$5001=Schedule!$A61)*(Results!$D$2:$D$5001))</f>
        <v>0</v>
      </c>
      <c r="FY61" s="6">
        <f>SUMPRODUCT((Results!$A$2:$A$5001=Schedule!FY$45)*(Results!$B$2:$B$5001=Schedule!$A61)*(Results!$D$2:$D$5001))</f>
        <v>0</v>
      </c>
      <c r="FZ61" s="6">
        <f>SUMPRODUCT((Results!$A$2:$A$5001=Schedule!FZ$45)*(Results!$B$2:$B$5001=Schedule!$A61)*(Results!$D$2:$D$5001))</f>
        <v>0</v>
      </c>
      <c r="GA61" s="6">
        <f>SUMPRODUCT((Results!$A$2:$A$5001=Schedule!GA$45)*(Results!$B$2:$B$5001=Schedule!$A61)*(Results!$D$2:$D$5001))</f>
        <v>0</v>
      </c>
      <c r="GB61" s="6">
        <f>SUMPRODUCT((Results!$A$2:$A$5001=Schedule!GB$45)*(Results!$B$2:$B$5001=Schedule!$A61)*(Results!$D$2:$D$5001))</f>
        <v>0</v>
      </c>
      <c r="GC61" s="6">
        <f>SUMPRODUCT((Results!$A$2:$A$5001=Schedule!GC$45)*(Results!$B$2:$B$5001=Schedule!$A61)*(Results!$D$2:$D$5001))</f>
        <v>0</v>
      </c>
      <c r="GD61" s="6">
        <f>SUMPRODUCT((Results!$A$2:$A$5001=Schedule!GD$45)*(Results!$B$2:$B$5001=Schedule!$A61)*(Results!$D$2:$D$5001))</f>
        <v>0</v>
      </c>
      <c r="GE61" s="6">
        <f>SUMPRODUCT((Results!$A$2:$A$5001=Schedule!GE$45)*(Results!$B$2:$B$5001=Schedule!$A61)*(Results!$D$2:$D$5001))</f>
        <v>0</v>
      </c>
      <c r="GF61" s="6">
        <f>SUMPRODUCT((Results!$A$2:$A$5001=Schedule!GF$45)*(Results!$B$2:$B$5001=Schedule!$A61)*(Results!$D$2:$D$5001))</f>
        <v>0</v>
      </c>
      <c r="GG61" s="6">
        <f>SUMPRODUCT((Results!$A$2:$A$5001=Schedule!GG$45)*(Results!$B$2:$B$5001=Schedule!$A61)*(Results!$D$2:$D$5001))</f>
        <v>0</v>
      </c>
      <c r="GH61" s="6">
        <f>SUMPRODUCT((Results!$A$2:$A$5001=Schedule!GH$45)*(Results!$B$2:$B$5001=Schedule!$A61)*(Results!$D$2:$D$5001))</f>
        <v>0</v>
      </c>
      <c r="GI61" s="6">
        <f>SUMPRODUCT((Results!$A$2:$A$5001=Schedule!GI$45)*(Results!$B$2:$B$5001=Schedule!$A61)*(Results!$D$2:$D$5001))</f>
        <v>0</v>
      </c>
      <c r="GJ61" s="6">
        <f>SUMPRODUCT((Results!$A$2:$A$5001=Schedule!GJ$45)*(Results!$B$2:$B$5001=Schedule!$A61)*(Results!$D$2:$D$5001))</f>
        <v>0</v>
      </c>
      <c r="GK61" s="6">
        <f>SUMPRODUCT((Results!$A$2:$A$5001=Schedule!GK$45)*(Results!$B$2:$B$5001=Schedule!$A61)*(Results!$D$2:$D$5001))</f>
        <v>0</v>
      </c>
      <c r="GL61" s="6">
        <f>SUMPRODUCT((Results!$A$2:$A$5001=Schedule!GL$45)*(Results!$B$2:$B$5001=Schedule!$A61)*(Results!$D$2:$D$5001))</f>
        <v>0</v>
      </c>
      <c r="GM61" s="6">
        <f>SUMPRODUCT((Results!$A$2:$A$5001=Schedule!GM$45)*(Results!$B$2:$B$5001=Schedule!$A61)*(Results!$D$2:$D$5001))</f>
        <v>0</v>
      </c>
      <c r="GN61" s="6">
        <f>SUMPRODUCT((Results!$A$2:$A$5001=Schedule!GN$45)*(Results!$B$2:$B$5001=Schedule!$A61)*(Results!$D$2:$D$5001))</f>
        <v>0</v>
      </c>
      <c r="GO61" s="6">
        <f>SUMPRODUCT((Results!$A$2:$A$5001=Schedule!GO$45)*(Results!$B$2:$B$5001=Schedule!$A61)*(Results!$D$2:$D$5001))</f>
        <v>0</v>
      </c>
      <c r="GP61" s="6">
        <f>SUMPRODUCT((Results!$A$2:$A$5001=Schedule!GP$45)*(Results!$B$2:$B$5001=Schedule!$A61)*(Results!$D$2:$D$5001))</f>
        <v>0</v>
      </c>
      <c r="GQ61" s="6">
        <f>SUMPRODUCT((Results!$A$2:$A$5001=Schedule!GQ$45)*(Results!$B$2:$B$5001=Schedule!$A61)*(Results!$D$2:$D$5001))</f>
        <v>0</v>
      </c>
      <c r="GR61" s="6">
        <f>SUMPRODUCT((Results!$A$2:$A$5001=Schedule!GR$45)*(Results!$B$2:$B$5001=Schedule!$A61)*(Results!$D$2:$D$5001))</f>
        <v>0</v>
      </c>
      <c r="GS61" s="6">
        <f>SUMPRODUCT((Results!$A$2:$A$5001=Schedule!GS$45)*(Results!$B$2:$B$5001=Schedule!$A61)*(Results!$D$2:$D$5001))</f>
        <v>0</v>
      </c>
      <c r="GT61" s="6">
        <f>SUMPRODUCT((Results!$A$2:$A$5001=Schedule!GT$45)*(Results!$B$2:$B$5001=Schedule!$A61)*(Results!$D$2:$D$5001))</f>
        <v>0</v>
      </c>
      <c r="GU61" s="6">
        <f>SUMPRODUCT((Results!$A$2:$A$5001=Schedule!GU$45)*(Results!$B$2:$B$5001=Schedule!$A61)*(Results!$D$2:$D$5001))</f>
        <v>0</v>
      </c>
    </row>
    <row r="62" spans="1:203" ht="13.5" customHeight="1" x14ac:dyDescent="0.2">
      <c r="A62" s="40">
        <v>17</v>
      </c>
      <c r="B62" s="6">
        <f t="shared" si="17"/>
        <v>9.4099999999999989E-2</v>
      </c>
      <c r="C62" s="6">
        <f>SUMPRODUCT((Results!$A$2:$A$5001=Schedule!C$45)*(Results!$B$2:$B$5001=Schedule!$A62)*(Results!$D$2:$D$5001))</f>
        <v>9.0899999999999995E-2</v>
      </c>
      <c r="D62" s="6">
        <f>SUMPRODUCT((Results!$A$2:$A$5001=Schedule!D$45)*(Results!$B$2:$B$5001=Schedule!$A62)*(Results!$D$2:$D$5001))</f>
        <v>3.2000000000000002E-3</v>
      </c>
      <c r="E62" s="6">
        <f>SUMPRODUCT((Results!$A$2:$A$5001=Schedule!E$45)*(Results!$B$2:$B$5001=Schedule!$A62)*(Results!$D$2:$D$5001))</f>
        <v>0</v>
      </c>
      <c r="F62" s="6">
        <f>SUMPRODUCT((Results!$A$2:$A$5001=Schedule!F$45)*(Results!$B$2:$B$5001=Schedule!$A62)*(Results!$D$2:$D$5001))</f>
        <v>0</v>
      </c>
      <c r="G62" s="6">
        <f>SUMPRODUCT((Results!$A$2:$A$5001=Schedule!G$45)*(Results!$B$2:$B$5001=Schedule!$A62)*(Results!$D$2:$D$5001))</f>
        <v>0</v>
      </c>
      <c r="H62" s="6">
        <f>SUMPRODUCT((Results!$A$2:$A$5001=Schedule!H$45)*(Results!$B$2:$B$5001=Schedule!$A62)*(Results!$D$2:$D$5001))</f>
        <v>0</v>
      </c>
      <c r="I62" s="6">
        <f>SUMPRODUCT((Results!$A$2:$A$5001=Schedule!I$45)*(Results!$B$2:$B$5001=Schedule!$A62)*(Results!$D$2:$D$5001))</f>
        <v>0</v>
      </c>
      <c r="J62" s="6">
        <f>SUMPRODUCT((Results!$A$2:$A$5001=Schedule!J$45)*(Results!$B$2:$B$5001=Schedule!$A62)*(Results!$D$2:$D$5001))</f>
        <v>0</v>
      </c>
      <c r="K62" s="6">
        <f>SUMPRODUCT((Results!$A$2:$A$5001=Schedule!K$45)*(Results!$B$2:$B$5001=Schedule!$A62)*(Results!$D$2:$D$5001))</f>
        <v>0</v>
      </c>
      <c r="L62" s="6">
        <f>SUMPRODUCT((Results!$A$2:$A$5001=Schedule!L$45)*(Results!$B$2:$B$5001=Schedule!$A62)*(Results!$D$2:$D$5001))</f>
        <v>0</v>
      </c>
      <c r="M62" s="6">
        <f>SUMPRODUCT((Results!$A$2:$A$5001=Schedule!M$45)*(Results!$B$2:$B$5001=Schedule!$A62)*(Results!$D$2:$D$5001))</f>
        <v>0</v>
      </c>
      <c r="N62" s="6">
        <f>SUMPRODUCT((Results!$A$2:$A$5001=Schedule!N$45)*(Results!$B$2:$B$5001=Schedule!$A62)*(Results!$D$2:$D$5001))</f>
        <v>0</v>
      </c>
      <c r="O62" s="6">
        <f>SUMPRODUCT((Results!$A$2:$A$5001=Schedule!O$45)*(Results!$B$2:$B$5001=Schedule!$A62)*(Results!$D$2:$D$5001))</f>
        <v>0</v>
      </c>
      <c r="P62" s="6">
        <f>SUMPRODUCT((Results!$A$2:$A$5001=Schedule!P$45)*(Results!$B$2:$B$5001=Schedule!$A62)*(Results!$D$2:$D$5001))</f>
        <v>0</v>
      </c>
      <c r="Q62" s="6">
        <f>SUMPRODUCT((Results!$A$2:$A$5001=Schedule!Q$45)*(Results!$B$2:$B$5001=Schedule!$A62)*(Results!$D$2:$D$5001))</f>
        <v>0</v>
      </c>
      <c r="R62" s="6">
        <f>SUMPRODUCT((Results!$A$2:$A$5001=Schedule!R$45)*(Results!$B$2:$B$5001=Schedule!$A62)*(Results!$D$2:$D$5001))</f>
        <v>0</v>
      </c>
      <c r="S62" s="6">
        <f>SUMPRODUCT((Results!$A$2:$A$5001=Schedule!S$45)*(Results!$B$2:$B$5001=Schedule!$A62)*(Results!$D$2:$D$5001))</f>
        <v>0</v>
      </c>
      <c r="T62" s="6">
        <f>SUMPRODUCT((Results!$A$2:$A$5001=Schedule!T$45)*(Results!$B$2:$B$5001=Schedule!$A62)*(Results!$D$2:$D$5001))</f>
        <v>0</v>
      </c>
      <c r="U62" s="6">
        <f>SUMPRODUCT((Results!$A$2:$A$5001=Schedule!U$45)*(Results!$B$2:$B$5001=Schedule!$A62)*(Results!$D$2:$D$5001))</f>
        <v>0</v>
      </c>
      <c r="V62" s="6">
        <f>SUMPRODUCT((Results!$A$2:$A$5001=Schedule!V$45)*(Results!$B$2:$B$5001=Schedule!$A62)*(Results!$D$2:$D$5001))</f>
        <v>0</v>
      </c>
      <c r="W62" s="6">
        <f>SUMPRODUCT((Results!$A$2:$A$5001=Schedule!W$45)*(Results!$B$2:$B$5001=Schedule!$A62)*(Results!$D$2:$D$5001))</f>
        <v>0</v>
      </c>
      <c r="X62" s="6">
        <f>SUMPRODUCT((Results!$A$2:$A$5001=Schedule!X$45)*(Results!$B$2:$B$5001=Schedule!$A62)*(Results!$D$2:$D$5001))</f>
        <v>0</v>
      </c>
      <c r="Y62" s="6">
        <f>SUMPRODUCT((Results!$A$2:$A$5001=Schedule!Y$45)*(Results!$B$2:$B$5001=Schedule!$A62)*(Results!$D$2:$D$5001))</f>
        <v>0</v>
      </c>
      <c r="Z62" s="6">
        <f>SUMPRODUCT((Results!$A$2:$A$5001=Schedule!Z$45)*(Results!$B$2:$B$5001=Schedule!$A62)*(Results!$D$2:$D$5001))</f>
        <v>0</v>
      </c>
      <c r="AA62" s="6">
        <f>SUMPRODUCT((Results!$A$2:$A$5001=Schedule!AA$45)*(Results!$B$2:$B$5001=Schedule!$A62)*(Results!$D$2:$D$5001))</f>
        <v>0</v>
      </c>
      <c r="AB62" s="6">
        <f>SUMPRODUCT((Results!$A$2:$A$5001=Schedule!AB$45)*(Results!$B$2:$B$5001=Schedule!$A62)*(Results!$D$2:$D$5001))</f>
        <v>0</v>
      </c>
      <c r="AC62" s="6">
        <f>SUMPRODUCT((Results!$A$2:$A$5001=Schedule!AC$45)*(Results!$B$2:$B$5001=Schedule!$A62)*(Results!$D$2:$D$5001))</f>
        <v>0</v>
      </c>
      <c r="AD62" s="6">
        <f>SUMPRODUCT((Results!$A$2:$A$5001=Schedule!AD$45)*(Results!$B$2:$B$5001=Schedule!$A62)*(Results!$D$2:$D$5001))</f>
        <v>0</v>
      </c>
      <c r="AE62" s="6">
        <f>SUMPRODUCT((Results!$A$2:$A$5001=Schedule!AE$45)*(Results!$B$2:$B$5001=Schedule!$A62)*(Results!$D$2:$D$5001))</f>
        <v>0</v>
      </c>
      <c r="AF62" s="6">
        <f>SUMPRODUCT((Results!$A$2:$A$5001=Schedule!AF$45)*(Results!$B$2:$B$5001=Schedule!$A62)*(Results!$D$2:$D$5001))</f>
        <v>0</v>
      </c>
      <c r="AG62" s="6">
        <f>SUMPRODUCT((Results!$A$2:$A$5001=Schedule!AG$45)*(Results!$B$2:$B$5001=Schedule!$A62)*(Results!$D$2:$D$5001))</f>
        <v>0</v>
      </c>
      <c r="AH62" s="6">
        <f>SUMPRODUCT((Results!$A$2:$A$5001=Schedule!AH$45)*(Results!$B$2:$B$5001=Schedule!$A62)*(Results!$D$2:$D$5001))</f>
        <v>0</v>
      </c>
      <c r="AI62" s="6">
        <f>SUMPRODUCT((Results!$A$2:$A$5001=Schedule!AI$45)*(Results!$B$2:$B$5001=Schedule!$A62)*(Results!$D$2:$D$5001))</f>
        <v>0</v>
      </c>
      <c r="AJ62" s="6">
        <f>SUMPRODUCT((Results!$A$2:$A$5001=Schedule!AJ$45)*(Results!$B$2:$B$5001=Schedule!$A62)*(Results!$D$2:$D$5001))</f>
        <v>0</v>
      </c>
      <c r="AK62" s="6">
        <f>SUMPRODUCT((Results!$A$2:$A$5001=Schedule!AK$45)*(Results!$B$2:$B$5001=Schedule!$A62)*(Results!$D$2:$D$5001))</f>
        <v>0</v>
      </c>
      <c r="AL62" s="6">
        <f>SUMPRODUCT((Results!$A$2:$A$5001=Schedule!AL$45)*(Results!$B$2:$B$5001=Schedule!$A62)*(Results!$D$2:$D$5001))</f>
        <v>0</v>
      </c>
      <c r="AM62" s="6">
        <f>SUMPRODUCT((Results!$A$2:$A$5001=Schedule!AM$45)*(Results!$B$2:$B$5001=Schedule!$A62)*(Results!$D$2:$D$5001))</f>
        <v>0</v>
      </c>
      <c r="AN62" s="6">
        <f>SUMPRODUCT((Results!$A$2:$A$5001=Schedule!AN$45)*(Results!$B$2:$B$5001=Schedule!$A62)*(Results!$D$2:$D$5001))</f>
        <v>0</v>
      </c>
      <c r="AO62" s="6">
        <f>SUMPRODUCT((Results!$A$2:$A$5001=Schedule!AO$45)*(Results!$B$2:$B$5001=Schedule!$A62)*(Results!$D$2:$D$5001))</f>
        <v>0</v>
      </c>
      <c r="AP62" s="6">
        <f>SUMPRODUCT((Results!$A$2:$A$5001=Schedule!AP$45)*(Results!$B$2:$B$5001=Schedule!$A62)*(Results!$D$2:$D$5001))</f>
        <v>0</v>
      </c>
      <c r="AQ62" s="6">
        <f>SUMPRODUCT((Results!$A$2:$A$5001=Schedule!AQ$45)*(Results!$B$2:$B$5001=Schedule!$A62)*(Results!$D$2:$D$5001))</f>
        <v>0</v>
      </c>
      <c r="AR62" s="6">
        <f>SUMPRODUCT((Results!$A$2:$A$5001=Schedule!AR$45)*(Results!$B$2:$B$5001=Schedule!$A62)*(Results!$D$2:$D$5001))</f>
        <v>0</v>
      </c>
      <c r="AS62" s="6">
        <f>SUMPRODUCT((Results!$A$2:$A$5001=Schedule!AS$45)*(Results!$B$2:$B$5001=Schedule!$A62)*(Results!$D$2:$D$5001))</f>
        <v>0</v>
      </c>
      <c r="AT62" s="6">
        <f>SUMPRODUCT((Results!$A$2:$A$5001=Schedule!AT$45)*(Results!$B$2:$B$5001=Schedule!$A62)*(Results!$D$2:$D$5001))</f>
        <v>0</v>
      </c>
      <c r="AU62" s="6">
        <f>SUMPRODUCT((Results!$A$2:$A$5001=Schedule!AU$45)*(Results!$B$2:$B$5001=Schedule!$A62)*(Results!$D$2:$D$5001))</f>
        <v>0</v>
      </c>
      <c r="AV62" s="6">
        <f>SUMPRODUCT((Results!$A$2:$A$5001=Schedule!AV$45)*(Results!$B$2:$B$5001=Schedule!$A62)*(Results!$D$2:$D$5001))</f>
        <v>0</v>
      </c>
      <c r="AW62" s="6">
        <f>SUMPRODUCT((Results!$A$2:$A$5001=Schedule!AW$45)*(Results!$B$2:$B$5001=Schedule!$A62)*(Results!$D$2:$D$5001))</f>
        <v>0</v>
      </c>
      <c r="AX62" s="6">
        <f>SUMPRODUCT((Results!$A$2:$A$5001=Schedule!AX$45)*(Results!$B$2:$B$5001=Schedule!$A62)*(Results!$D$2:$D$5001))</f>
        <v>0</v>
      </c>
      <c r="AY62" s="6">
        <f>SUMPRODUCT((Results!$A$2:$A$5001=Schedule!AY$45)*(Results!$B$2:$B$5001=Schedule!$A62)*(Results!$D$2:$D$5001))</f>
        <v>0</v>
      </c>
      <c r="AZ62" s="6">
        <f>SUMPRODUCT((Results!$A$2:$A$5001=Schedule!AZ$45)*(Results!$B$2:$B$5001=Schedule!$A62)*(Results!$D$2:$D$5001))</f>
        <v>0</v>
      </c>
      <c r="BA62" s="6">
        <f>SUMPRODUCT((Results!$A$2:$A$5001=Schedule!BA$45)*(Results!$B$2:$B$5001=Schedule!$A62)*(Results!$D$2:$D$5001))</f>
        <v>0</v>
      </c>
      <c r="BB62" s="6">
        <f>SUMPRODUCT((Results!$A$2:$A$5001=Schedule!BB$45)*(Results!$B$2:$B$5001=Schedule!$A62)*(Results!$D$2:$D$5001))</f>
        <v>0</v>
      </c>
      <c r="BC62" s="6">
        <f>SUMPRODUCT((Results!$A$2:$A$5001=Schedule!BC$45)*(Results!$B$2:$B$5001=Schedule!$A62)*(Results!$D$2:$D$5001))</f>
        <v>0</v>
      </c>
      <c r="BD62" s="6">
        <f>SUMPRODUCT((Results!$A$2:$A$5001=Schedule!BD$45)*(Results!$B$2:$B$5001=Schedule!$A62)*(Results!$D$2:$D$5001))</f>
        <v>0</v>
      </c>
      <c r="BE62" s="6">
        <f>SUMPRODUCT((Results!$A$2:$A$5001=Schedule!BE$45)*(Results!$B$2:$B$5001=Schedule!$A62)*(Results!$D$2:$D$5001))</f>
        <v>0</v>
      </c>
      <c r="BF62" s="6">
        <f>SUMPRODUCT((Results!$A$2:$A$5001=Schedule!BF$45)*(Results!$B$2:$B$5001=Schedule!$A62)*(Results!$D$2:$D$5001))</f>
        <v>0</v>
      </c>
      <c r="BG62" s="6">
        <f>SUMPRODUCT((Results!$A$2:$A$5001=Schedule!BG$45)*(Results!$B$2:$B$5001=Schedule!$A62)*(Results!$D$2:$D$5001))</f>
        <v>0</v>
      </c>
      <c r="BH62" s="6">
        <f>SUMPRODUCT((Results!$A$2:$A$5001=Schedule!BH$45)*(Results!$B$2:$B$5001=Schedule!$A62)*(Results!$D$2:$D$5001))</f>
        <v>0</v>
      </c>
      <c r="BI62" s="6">
        <f>SUMPRODUCT((Results!$A$2:$A$5001=Schedule!BI$45)*(Results!$B$2:$B$5001=Schedule!$A62)*(Results!$D$2:$D$5001))</f>
        <v>0</v>
      </c>
      <c r="BJ62" s="6">
        <f>SUMPRODUCT((Results!$A$2:$A$5001=Schedule!BJ$45)*(Results!$B$2:$B$5001=Schedule!$A62)*(Results!$D$2:$D$5001))</f>
        <v>0</v>
      </c>
      <c r="BK62" s="6">
        <f>SUMPRODUCT((Results!$A$2:$A$5001=Schedule!BK$45)*(Results!$B$2:$B$5001=Schedule!$A62)*(Results!$D$2:$D$5001))</f>
        <v>0</v>
      </c>
      <c r="BL62" s="6">
        <f>SUMPRODUCT((Results!$A$2:$A$5001=Schedule!BL$45)*(Results!$B$2:$B$5001=Schedule!$A62)*(Results!$D$2:$D$5001))</f>
        <v>0</v>
      </c>
      <c r="BM62" s="6">
        <f>SUMPRODUCT((Results!$A$2:$A$5001=Schedule!BM$45)*(Results!$B$2:$B$5001=Schedule!$A62)*(Results!$D$2:$D$5001))</f>
        <v>0</v>
      </c>
      <c r="BN62" s="6">
        <f>SUMPRODUCT((Results!$A$2:$A$5001=Schedule!BN$45)*(Results!$B$2:$B$5001=Schedule!$A62)*(Results!$D$2:$D$5001))</f>
        <v>0</v>
      </c>
      <c r="BO62" s="6">
        <f>SUMPRODUCT((Results!$A$2:$A$5001=Schedule!BO$45)*(Results!$B$2:$B$5001=Schedule!$A62)*(Results!$D$2:$D$5001))</f>
        <v>0</v>
      </c>
      <c r="BP62" s="6">
        <f>SUMPRODUCT((Results!$A$2:$A$5001=Schedule!BP$45)*(Results!$B$2:$B$5001=Schedule!$A62)*(Results!$D$2:$D$5001))</f>
        <v>0</v>
      </c>
      <c r="BQ62" s="6">
        <f>SUMPRODUCT((Results!$A$2:$A$5001=Schedule!BQ$45)*(Results!$B$2:$B$5001=Schedule!$A62)*(Results!$D$2:$D$5001))</f>
        <v>0</v>
      </c>
      <c r="BR62" s="6">
        <f>SUMPRODUCT((Results!$A$2:$A$5001=Schedule!BR$45)*(Results!$B$2:$B$5001=Schedule!$A62)*(Results!$D$2:$D$5001))</f>
        <v>0</v>
      </c>
      <c r="BS62" s="6">
        <f>SUMPRODUCT((Results!$A$2:$A$5001=Schedule!BS$45)*(Results!$B$2:$B$5001=Schedule!$A62)*(Results!$D$2:$D$5001))</f>
        <v>0</v>
      </c>
      <c r="BT62" s="6">
        <f>SUMPRODUCT((Results!$A$2:$A$5001=Schedule!BT$45)*(Results!$B$2:$B$5001=Schedule!$A62)*(Results!$D$2:$D$5001))</f>
        <v>0</v>
      </c>
      <c r="BU62" s="6">
        <f>SUMPRODUCT((Results!$A$2:$A$5001=Schedule!BU$45)*(Results!$B$2:$B$5001=Schedule!$A62)*(Results!$D$2:$D$5001))</f>
        <v>0</v>
      </c>
      <c r="BV62" s="6">
        <f>SUMPRODUCT((Results!$A$2:$A$5001=Schedule!BV$45)*(Results!$B$2:$B$5001=Schedule!$A62)*(Results!$D$2:$D$5001))</f>
        <v>0</v>
      </c>
      <c r="BW62" s="6">
        <f>SUMPRODUCT((Results!$A$2:$A$5001=Schedule!BW$45)*(Results!$B$2:$B$5001=Schedule!$A62)*(Results!$D$2:$D$5001))</f>
        <v>0</v>
      </c>
      <c r="BX62" s="6">
        <f>SUMPRODUCT((Results!$A$2:$A$5001=Schedule!BX$45)*(Results!$B$2:$B$5001=Schedule!$A62)*(Results!$D$2:$D$5001))</f>
        <v>0</v>
      </c>
      <c r="BY62" s="6">
        <f>SUMPRODUCT((Results!$A$2:$A$5001=Schedule!BY$45)*(Results!$B$2:$B$5001=Schedule!$A62)*(Results!$D$2:$D$5001))</f>
        <v>0</v>
      </c>
      <c r="BZ62" s="6">
        <f>SUMPRODUCT((Results!$A$2:$A$5001=Schedule!BZ$45)*(Results!$B$2:$B$5001=Schedule!$A62)*(Results!$D$2:$D$5001))</f>
        <v>0</v>
      </c>
      <c r="CA62" s="6">
        <f>SUMPRODUCT((Results!$A$2:$A$5001=Schedule!CA$45)*(Results!$B$2:$B$5001=Schedule!$A62)*(Results!$D$2:$D$5001))</f>
        <v>0</v>
      </c>
      <c r="CB62" s="6">
        <f>SUMPRODUCT((Results!$A$2:$A$5001=Schedule!CB$45)*(Results!$B$2:$B$5001=Schedule!$A62)*(Results!$D$2:$D$5001))</f>
        <v>0</v>
      </c>
      <c r="CC62" s="6">
        <f>SUMPRODUCT((Results!$A$2:$A$5001=Schedule!CC$45)*(Results!$B$2:$B$5001=Schedule!$A62)*(Results!$D$2:$D$5001))</f>
        <v>0</v>
      </c>
      <c r="CD62" s="6">
        <f>SUMPRODUCT((Results!$A$2:$A$5001=Schedule!CD$45)*(Results!$B$2:$B$5001=Schedule!$A62)*(Results!$D$2:$D$5001))</f>
        <v>0</v>
      </c>
      <c r="CE62" s="6">
        <f>SUMPRODUCT((Results!$A$2:$A$5001=Schedule!CE$45)*(Results!$B$2:$B$5001=Schedule!$A62)*(Results!$D$2:$D$5001))</f>
        <v>0</v>
      </c>
      <c r="CF62" s="6">
        <f>SUMPRODUCT((Results!$A$2:$A$5001=Schedule!CF$45)*(Results!$B$2:$B$5001=Schedule!$A62)*(Results!$D$2:$D$5001))</f>
        <v>0</v>
      </c>
      <c r="CG62" s="6">
        <f>SUMPRODUCT((Results!$A$2:$A$5001=Schedule!CG$45)*(Results!$B$2:$B$5001=Schedule!$A62)*(Results!$D$2:$D$5001))</f>
        <v>0</v>
      </c>
      <c r="CH62" s="6">
        <f>SUMPRODUCT((Results!$A$2:$A$5001=Schedule!CH$45)*(Results!$B$2:$B$5001=Schedule!$A62)*(Results!$D$2:$D$5001))</f>
        <v>0</v>
      </c>
      <c r="CI62" s="6">
        <f>SUMPRODUCT((Results!$A$2:$A$5001=Schedule!CI$45)*(Results!$B$2:$B$5001=Schedule!$A62)*(Results!$D$2:$D$5001))</f>
        <v>0</v>
      </c>
      <c r="CJ62" s="6">
        <f>SUMPRODUCT((Results!$A$2:$A$5001=Schedule!CJ$45)*(Results!$B$2:$B$5001=Schedule!$A62)*(Results!$D$2:$D$5001))</f>
        <v>0</v>
      </c>
      <c r="CK62" s="6">
        <f>SUMPRODUCT((Results!$A$2:$A$5001=Schedule!CK$45)*(Results!$B$2:$B$5001=Schedule!$A62)*(Results!$D$2:$D$5001))</f>
        <v>0</v>
      </c>
      <c r="CL62" s="6">
        <f>SUMPRODUCT((Results!$A$2:$A$5001=Schedule!CL$45)*(Results!$B$2:$B$5001=Schedule!$A62)*(Results!$D$2:$D$5001))</f>
        <v>0</v>
      </c>
      <c r="CM62" s="6">
        <f>SUMPRODUCT((Results!$A$2:$A$5001=Schedule!CM$45)*(Results!$B$2:$B$5001=Schedule!$A62)*(Results!$D$2:$D$5001))</f>
        <v>0</v>
      </c>
      <c r="CN62" s="6">
        <f>SUMPRODUCT((Results!$A$2:$A$5001=Schedule!CN$45)*(Results!$B$2:$B$5001=Schedule!$A62)*(Results!$D$2:$D$5001))</f>
        <v>0</v>
      </c>
      <c r="CO62" s="6">
        <f>SUMPRODUCT((Results!$A$2:$A$5001=Schedule!CO$45)*(Results!$B$2:$B$5001=Schedule!$A62)*(Results!$D$2:$D$5001))</f>
        <v>0</v>
      </c>
      <c r="CP62" s="6">
        <f>SUMPRODUCT((Results!$A$2:$A$5001=Schedule!CP$45)*(Results!$B$2:$B$5001=Schedule!$A62)*(Results!$D$2:$D$5001))</f>
        <v>0</v>
      </c>
      <c r="CQ62" s="6">
        <f>SUMPRODUCT((Results!$A$2:$A$5001=Schedule!CQ$45)*(Results!$B$2:$B$5001=Schedule!$A62)*(Results!$D$2:$D$5001))</f>
        <v>0</v>
      </c>
      <c r="CR62" s="6">
        <f>SUMPRODUCT((Results!$A$2:$A$5001=Schedule!CR$45)*(Results!$B$2:$B$5001=Schedule!$A62)*(Results!$D$2:$D$5001))</f>
        <v>0</v>
      </c>
      <c r="CS62" s="6">
        <f>SUMPRODUCT((Results!$A$2:$A$5001=Schedule!CS$45)*(Results!$B$2:$B$5001=Schedule!$A62)*(Results!$D$2:$D$5001))</f>
        <v>0</v>
      </c>
      <c r="CT62" s="6">
        <f>SUMPRODUCT((Results!$A$2:$A$5001=Schedule!CT$45)*(Results!$B$2:$B$5001=Schedule!$A62)*(Results!$D$2:$D$5001))</f>
        <v>0</v>
      </c>
      <c r="CU62" s="6">
        <f>SUMPRODUCT((Results!$A$2:$A$5001=Schedule!CU$45)*(Results!$B$2:$B$5001=Schedule!$A62)*(Results!$D$2:$D$5001))</f>
        <v>0</v>
      </c>
      <c r="CV62" s="6">
        <f>SUMPRODUCT((Results!$A$2:$A$5001=Schedule!CV$45)*(Results!$B$2:$B$5001=Schedule!$A62)*(Results!$D$2:$D$5001))</f>
        <v>0</v>
      </c>
      <c r="CW62" s="6">
        <f>SUMPRODUCT((Results!$A$2:$A$5001=Schedule!CW$45)*(Results!$B$2:$B$5001=Schedule!$A62)*(Results!$D$2:$D$5001))</f>
        <v>0</v>
      </c>
      <c r="CX62" s="6">
        <f>SUMPRODUCT((Results!$A$2:$A$5001=Schedule!CX$45)*(Results!$B$2:$B$5001=Schedule!$A62)*(Results!$D$2:$D$5001))</f>
        <v>0</v>
      </c>
      <c r="CY62" s="6">
        <f>SUMPRODUCT((Results!$A$2:$A$5001=Schedule!CY$45)*(Results!$B$2:$B$5001=Schedule!$A62)*(Results!$D$2:$D$5001))</f>
        <v>0</v>
      </c>
      <c r="CZ62" s="6">
        <f>SUMPRODUCT((Results!$A$2:$A$5001=Schedule!CZ$45)*(Results!$B$2:$B$5001=Schedule!$A62)*(Results!$D$2:$D$5001))</f>
        <v>0</v>
      </c>
      <c r="DA62" s="6">
        <f>SUMPRODUCT((Results!$A$2:$A$5001=Schedule!DA$45)*(Results!$B$2:$B$5001=Schedule!$A62)*(Results!$D$2:$D$5001))</f>
        <v>0</v>
      </c>
      <c r="DB62" s="6">
        <f>SUMPRODUCT((Results!$A$2:$A$5001=Schedule!DB$45)*(Results!$B$2:$B$5001=Schedule!$A62)*(Results!$D$2:$D$5001))</f>
        <v>0</v>
      </c>
      <c r="DC62" s="6">
        <f>SUMPRODUCT((Results!$A$2:$A$5001=Schedule!DC$45)*(Results!$B$2:$B$5001=Schedule!$A62)*(Results!$D$2:$D$5001))</f>
        <v>0</v>
      </c>
      <c r="DD62" s="6">
        <f>SUMPRODUCT((Results!$A$2:$A$5001=Schedule!DD$45)*(Results!$B$2:$B$5001=Schedule!$A62)*(Results!$D$2:$D$5001))</f>
        <v>0</v>
      </c>
      <c r="DE62" s="6">
        <f>SUMPRODUCT((Results!$A$2:$A$5001=Schedule!DE$45)*(Results!$B$2:$B$5001=Schedule!$A62)*(Results!$D$2:$D$5001))</f>
        <v>0</v>
      </c>
      <c r="DF62" s="6">
        <f>SUMPRODUCT((Results!$A$2:$A$5001=Schedule!DF$45)*(Results!$B$2:$B$5001=Schedule!$A62)*(Results!$D$2:$D$5001))</f>
        <v>0</v>
      </c>
      <c r="DG62" s="6">
        <f>SUMPRODUCT((Results!$A$2:$A$5001=Schedule!DG$45)*(Results!$B$2:$B$5001=Schedule!$A62)*(Results!$D$2:$D$5001))</f>
        <v>0</v>
      </c>
      <c r="DH62" s="6">
        <f>SUMPRODUCT((Results!$A$2:$A$5001=Schedule!DH$45)*(Results!$B$2:$B$5001=Schedule!$A62)*(Results!$D$2:$D$5001))</f>
        <v>0</v>
      </c>
      <c r="DI62" s="6">
        <f>SUMPRODUCT((Results!$A$2:$A$5001=Schedule!DI$45)*(Results!$B$2:$B$5001=Schedule!$A62)*(Results!$D$2:$D$5001))</f>
        <v>0</v>
      </c>
      <c r="DJ62" s="6">
        <f>SUMPRODUCT((Results!$A$2:$A$5001=Schedule!DJ$45)*(Results!$B$2:$B$5001=Schedule!$A62)*(Results!$D$2:$D$5001))</f>
        <v>0</v>
      </c>
      <c r="DK62" s="6">
        <f>SUMPRODUCT((Results!$A$2:$A$5001=Schedule!DK$45)*(Results!$B$2:$B$5001=Schedule!$A62)*(Results!$D$2:$D$5001))</f>
        <v>0</v>
      </c>
      <c r="DL62" s="6">
        <f>SUMPRODUCT((Results!$A$2:$A$5001=Schedule!DL$45)*(Results!$B$2:$B$5001=Schedule!$A62)*(Results!$D$2:$D$5001))</f>
        <v>0</v>
      </c>
      <c r="DM62" s="6">
        <f>SUMPRODUCT((Results!$A$2:$A$5001=Schedule!DM$45)*(Results!$B$2:$B$5001=Schedule!$A62)*(Results!$D$2:$D$5001))</f>
        <v>0</v>
      </c>
      <c r="DN62" s="6">
        <f>SUMPRODUCT((Results!$A$2:$A$5001=Schedule!DN$45)*(Results!$B$2:$B$5001=Schedule!$A62)*(Results!$D$2:$D$5001))</f>
        <v>0</v>
      </c>
      <c r="DO62" s="6">
        <f>SUMPRODUCT((Results!$A$2:$A$5001=Schedule!DO$45)*(Results!$B$2:$B$5001=Schedule!$A62)*(Results!$D$2:$D$5001))</f>
        <v>0</v>
      </c>
      <c r="DP62" s="6">
        <f>SUMPRODUCT((Results!$A$2:$A$5001=Schedule!DP$45)*(Results!$B$2:$B$5001=Schedule!$A62)*(Results!$D$2:$D$5001))</f>
        <v>0</v>
      </c>
      <c r="DQ62" s="6">
        <f>SUMPRODUCT((Results!$A$2:$A$5001=Schedule!DQ$45)*(Results!$B$2:$B$5001=Schedule!$A62)*(Results!$D$2:$D$5001))</f>
        <v>0</v>
      </c>
      <c r="DR62" s="6">
        <f>SUMPRODUCT((Results!$A$2:$A$5001=Schedule!DR$45)*(Results!$B$2:$B$5001=Schedule!$A62)*(Results!$D$2:$D$5001))</f>
        <v>0</v>
      </c>
      <c r="DS62" s="6">
        <f>SUMPRODUCT((Results!$A$2:$A$5001=Schedule!DS$45)*(Results!$B$2:$B$5001=Schedule!$A62)*(Results!$D$2:$D$5001))</f>
        <v>0</v>
      </c>
      <c r="DT62" s="6">
        <f>SUMPRODUCT((Results!$A$2:$A$5001=Schedule!DT$45)*(Results!$B$2:$B$5001=Schedule!$A62)*(Results!$D$2:$D$5001))</f>
        <v>0</v>
      </c>
      <c r="DU62" s="6">
        <f>SUMPRODUCT((Results!$A$2:$A$5001=Schedule!DU$45)*(Results!$B$2:$B$5001=Schedule!$A62)*(Results!$D$2:$D$5001))</f>
        <v>0</v>
      </c>
      <c r="DV62" s="6">
        <f>SUMPRODUCT((Results!$A$2:$A$5001=Schedule!DV$45)*(Results!$B$2:$B$5001=Schedule!$A62)*(Results!$D$2:$D$5001))</f>
        <v>0</v>
      </c>
      <c r="DW62" s="6">
        <f>SUMPRODUCT((Results!$A$2:$A$5001=Schedule!DW$45)*(Results!$B$2:$B$5001=Schedule!$A62)*(Results!$D$2:$D$5001))</f>
        <v>0</v>
      </c>
      <c r="DX62" s="6">
        <f>SUMPRODUCT((Results!$A$2:$A$5001=Schedule!DX$45)*(Results!$B$2:$B$5001=Schedule!$A62)*(Results!$D$2:$D$5001))</f>
        <v>0</v>
      </c>
      <c r="DY62" s="6">
        <f>SUMPRODUCT((Results!$A$2:$A$5001=Schedule!DY$45)*(Results!$B$2:$B$5001=Schedule!$A62)*(Results!$D$2:$D$5001))</f>
        <v>0</v>
      </c>
      <c r="DZ62" s="6">
        <f>SUMPRODUCT((Results!$A$2:$A$5001=Schedule!DZ$45)*(Results!$B$2:$B$5001=Schedule!$A62)*(Results!$D$2:$D$5001))</f>
        <v>0</v>
      </c>
      <c r="EA62" s="6">
        <f>SUMPRODUCT((Results!$A$2:$A$5001=Schedule!EA$45)*(Results!$B$2:$B$5001=Schedule!$A62)*(Results!$D$2:$D$5001))</f>
        <v>0</v>
      </c>
      <c r="EB62" s="6">
        <f>SUMPRODUCT((Results!$A$2:$A$5001=Schedule!EB$45)*(Results!$B$2:$B$5001=Schedule!$A62)*(Results!$D$2:$D$5001))</f>
        <v>0</v>
      </c>
      <c r="EC62" s="6">
        <f>SUMPRODUCT((Results!$A$2:$A$5001=Schedule!EC$45)*(Results!$B$2:$B$5001=Schedule!$A62)*(Results!$D$2:$D$5001))</f>
        <v>0</v>
      </c>
      <c r="ED62" s="6">
        <f>SUMPRODUCT((Results!$A$2:$A$5001=Schedule!ED$45)*(Results!$B$2:$B$5001=Schedule!$A62)*(Results!$D$2:$D$5001))</f>
        <v>0</v>
      </c>
      <c r="EE62" s="6">
        <f>SUMPRODUCT((Results!$A$2:$A$5001=Schedule!EE$45)*(Results!$B$2:$B$5001=Schedule!$A62)*(Results!$D$2:$D$5001))</f>
        <v>0</v>
      </c>
      <c r="EF62" s="6">
        <f>SUMPRODUCT((Results!$A$2:$A$5001=Schedule!EF$45)*(Results!$B$2:$B$5001=Schedule!$A62)*(Results!$D$2:$D$5001))</f>
        <v>0</v>
      </c>
      <c r="EG62" s="6">
        <f>SUMPRODUCT((Results!$A$2:$A$5001=Schedule!EG$45)*(Results!$B$2:$B$5001=Schedule!$A62)*(Results!$D$2:$D$5001))</f>
        <v>0</v>
      </c>
      <c r="EH62" s="6">
        <f>SUMPRODUCT((Results!$A$2:$A$5001=Schedule!EH$45)*(Results!$B$2:$B$5001=Schedule!$A62)*(Results!$D$2:$D$5001))</f>
        <v>0</v>
      </c>
      <c r="EI62" s="6">
        <f>SUMPRODUCT((Results!$A$2:$A$5001=Schedule!EI$45)*(Results!$B$2:$B$5001=Schedule!$A62)*(Results!$D$2:$D$5001))</f>
        <v>0</v>
      </c>
      <c r="EJ62" s="6">
        <f>SUMPRODUCT((Results!$A$2:$A$5001=Schedule!EJ$45)*(Results!$B$2:$B$5001=Schedule!$A62)*(Results!$D$2:$D$5001))</f>
        <v>0</v>
      </c>
      <c r="EK62" s="6">
        <f>SUMPRODUCT((Results!$A$2:$A$5001=Schedule!EK$45)*(Results!$B$2:$B$5001=Schedule!$A62)*(Results!$D$2:$D$5001))</f>
        <v>0</v>
      </c>
      <c r="EL62" s="6">
        <f>SUMPRODUCT((Results!$A$2:$A$5001=Schedule!EL$45)*(Results!$B$2:$B$5001=Schedule!$A62)*(Results!$D$2:$D$5001))</f>
        <v>0</v>
      </c>
      <c r="EM62" s="6">
        <f>SUMPRODUCT((Results!$A$2:$A$5001=Schedule!EM$45)*(Results!$B$2:$B$5001=Schedule!$A62)*(Results!$D$2:$D$5001))</f>
        <v>0</v>
      </c>
      <c r="EN62" s="6">
        <f>SUMPRODUCT((Results!$A$2:$A$5001=Schedule!EN$45)*(Results!$B$2:$B$5001=Schedule!$A62)*(Results!$D$2:$D$5001))</f>
        <v>0</v>
      </c>
      <c r="EO62" s="6">
        <f>SUMPRODUCT((Results!$A$2:$A$5001=Schedule!EO$45)*(Results!$B$2:$B$5001=Schedule!$A62)*(Results!$D$2:$D$5001))</f>
        <v>0</v>
      </c>
      <c r="EP62" s="6">
        <f>SUMPRODUCT((Results!$A$2:$A$5001=Schedule!EP$45)*(Results!$B$2:$B$5001=Schedule!$A62)*(Results!$D$2:$D$5001))</f>
        <v>0</v>
      </c>
      <c r="EQ62" s="6">
        <f>SUMPRODUCT((Results!$A$2:$A$5001=Schedule!EQ$45)*(Results!$B$2:$B$5001=Schedule!$A62)*(Results!$D$2:$D$5001))</f>
        <v>0</v>
      </c>
      <c r="ER62" s="6">
        <f>SUMPRODUCT((Results!$A$2:$A$5001=Schedule!ER$45)*(Results!$B$2:$B$5001=Schedule!$A62)*(Results!$D$2:$D$5001))</f>
        <v>0</v>
      </c>
      <c r="ES62" s="6">
        <f>SUMPRODUCT((Results!$A$2:$A$5001=Schedule!ES$45)*(Results!$B$2:$B$5001=Schedule!$A62)*(Results!$D$2:$D$5001))</f>
        <v>0</v>
      </c>
      <c r="ET62" s="6">
        <f>SUMPRODUCT((Results!$A$2:$A$5001=Schedule!ET$45)*(Results!$B$2:$B$5001=Schedule!$A62)*(Results!$D$2:$D$5001))</f>
        <v>0</v>
      </c>
      <c r="EU62" s="6">
        <f>SUMPRODUCT((Results!$A$2:$A$5001=Schedule!EU$45)*(Results!$B$2:$B$5001=Schedule!$A62)*(Results!$D$2:$D$5001))</f>
        <v>0</v>
      </c>
      <c r="EV62" s="6">
        <f>SUMPRODUCT((Results!$A$2:$A$5001=Schedule!EV$45)*(Results!$B$2:$B$5001=Schedule!$A62)*(Results!$D$2:$D$5001))</f>
        <v>0</v>
      </c>
      <c r="EW62" s="6">
        <f>SUMPRODUCT((Results!$A$2:$A$5001=Schedule!EW$45)*(Results!$B$2:$B$5001=Schedule!$A62)*(Results!$D$2:$D$5001))</f>
        <v>0</v>
      </c>
      <c r="EX62" s="6">
        <f>SUMPRODUCT((Results!$A$2:$A$5001=Schedule!EX$45)*(Results!$B$2:$B$5001=Schedule!$A62)*(Results!$D$2:$D$5001))</f>
        <v>0</v>
      </c>
      <c r="EY62" s="6">
        <f>SUMPRODUCT((Results!$A$2:$A$5001=Schedule!EY$45)*(Results!$B$2:$B$5001=Schedule!$A62)*(Results!$D$2:$D$5001))</f>
        <v>0</v>
      </c>
      <c r="EZ62" s="6">
        <f>SUMPRODUCT((Results!$A$2:$A$5001=Schedule!EZ$45)*(Results!$B$2:$B$5001=Schedule!$A62)*(Results!$D$2:$D$5001))</f>
        <v>0</v>
      </c>
      <c r="FA62" s="6">
        <f>SUMPRODUCT((Results!$A$2:$A$5001=Schedule!FA$45)*(Results!$B$2:$B$5001=Schedule!$A62)*(Results!$D$2:$D$5001))</f>
        <v>0</v>
      </c>
      <c r="FB62" s="6">
        <f>SUMPRODUCT((Results!$A$2:$A$5001=Schedule!FB$45)*(Results!$B$2:$B$5001=Schedule!$A62)*(Results!$D$2:$D$5001))</f>
        <v>0</v>
      </c>
      <c r="FC62" s="6">
        <f>SUMPRODUCT((Results!$A$2:$A$5001=Schedule!FC$45)*(Results!$B$2:$B$5001=Schedule!$A62)*(Results!$D$2:$D$5001))</f>
        <v>0</v>
      </c>
      <c r="FD62" s="6">
        <f>SUMPRODUCT((Results!$A$2:$A$5001=Schedule!FD$45)*(Results!$B$2:$B$5001=Schedule!$A62)*(Results!$D$2:$D$5001))</f>
        <v>0</v>
      </c>
      <c r="FE62" s="6">
        <f>SUMPRODUCT((Results!$A$2:$A$5001=Schedule!FE$45)*(Results!$B$2:$B$5001=Schedule!$A62)*(Results!$D$2:$D$5001))</f>
        <v>0</v>
      </c>
      <c r="FF62" s="6">
        <f>SUMPRODUCT((Results!$A$2:$A$5001=Schedule!FF$45)*(Results!$B$2:$B$5001=Schedule!$A62)*(Results!$D$2:$D$5001))</f>
        <v>0</v>
      </c>
      <c r="FG62" s="6">
        <f>SUMPRODUCT((Results!$A$2:$A$5001=Schedule!FG$45)*(Results!$B$2:$B$5001=Schedule!$A62)*(Results!$D$2:$D$5001))</f>
        <v>0</v>
      </c>
      <c r="FH62" s="6">
        <f>SUMPRODUCT((Results!$A$2:$A$5001=Schedule!FH$45)*(Results!$B$2:$B$5001=Schedule!$A62)*(Results!$D$2:$D$5001))</f>
        <v>0</v>
      </c>
      <c r="FI62" s="6">
        <f>SUMPRODUCT((Results!$A$2:$A$5001=Schedule!FI$45)*(Results!$B$2:$B$5001=Schedule!$A62)*(Results!$D$2:$D$5001))</f>
        <v>0</v>
      </c>
      <c r="FJ62" s="6">
        <f>SUMPRODUCT((Results!$A$2:$A$5001=Schedule!FJ$45)*(Results!$B$2:$B$5001=Schedule!$A62)*(Results!$D$2:$D$5001))</f>
        <v>0</v>
      </c>
      <c r="FK62" s="6">
        <f>SUMPRODUCT((Results!$A$2:$A$5001=Schedule!FK$45)*(Results!$B$2:$B$5001=Schedule!$A62)*(Results!$D$2:$D$5001))</f>
        <v>0</v>
      </c>
      <c r="FL62" s="6">
        <f>SUMPRODUCT((Results!$A$2:$A$5001=Schedule!FL$45)*(Results!$B$2:$B$5001=Schedule!$A62)*(Results!$D$2:$D$5001))</f>
        <v>0</v>
      </c>
      <c r="FM62" s="6">
        <f>SUMPRODUCT((Results!$A$2:$A$5001=Schedule!FM$45)*(Results!$B$2:$B$5001=Schedule!$A62)*(Results!$D$2:$D$5001))</f>
        <v>0</v>
      </c>
      <c r="FN62" s="6">
        <f>SUMPRODUCT((Results!$A$2:$A$5001=Schedule!FN$45)*(Results!$B$2:$B$5001=Schedule!$A62)*(Results!$D$2:$D$5001))</f>
        <v>0</v>
      </c>
      <c r="FO62" s="6">
        <f>SUMPRODUCT((Results!$A$2:$A$5001=Schedule!FO$45)*(Results!$B$2:$B$5001=Schedule!$A62)*(Results!$D$2:$D$5001))</f>
        <v>0</v>
      </c>
      <c r="FP62" s="6">
        <f>SUMPRODUCT((Results!$A$2:$A$5001=Schedule!FP$45)*(Results!$B$2:$B$5001=Schedule!$A62)*(Results!$D$2:$D$5001))</f>
        <v>0</v>
      </c>
      <c r="FQ62" s="6">
        <f>SUMPRODUCT((Results!$A$2:$A$5001=Schedule!FQ$45)*(Results!$B$2:$B$5001=Schedule!$A62)*(Results!$D$2:$D$5001))</f>
        <v>0</v>
      </c>
      <c r="FR62" s="6">
        <f>SUMPRODUCT((Results!$A$2:$A$5001=Schedule!FR$45)*(Results!$B$2:$B$5001=Schedule!$A62)*(Results!$D$2:$D$5001))</f>
        <v>0</v>
      </c>
      <c r="FS62" s="6">
        <f>SUMPRODUCT((Results!$A$2:$A$5001=Schedule!FS$45)*(Results!$B$2:$B$5001=Schedule!$A62)*(Results!$D$2:$D$5001))</f>
        <v>0</v>
      </c>
      <c r="FT62" s="6">
        <f>SUMPRODUCT((Results!$A$2:$A$5001=Schedule!FT$45)*(Results!$B$2:$B$5001=Schedule!$A62)*(Results!$D$2:$D$5001))</f>
        <v>0</v>
      </c>
      <c r="FU62" s="6">
        <f>SUMPRODUCT((Results!$A$2:$A$5001=Schedule!FU$45)*(Results!$B$2:$B$5001=Schedule!$A62)*(Results!$D$2:$D$5001))</f>
        <v>0</v>
      </c>
      <c r="FV62" s="6">
        <f>SUMPRODUCT((Results!$A$2:$A$5001=Schedule!FV$45)*(Results!$B$2:$B$5001=Schedule!$A62)*(Results!$D$2:$D$5001))</f>
        <v>0</v>
      </c>
      <c r="FW62" s="6">
        <f>SUMPRODUCT((Results!$A$2:$A$5001=Schedule!FW$45)*(Results!$B$2:$B$5001=Schedule!$A62)*(Results!$D$2:$D$5001))</f>
        <v>0</v>
      </c>
      <c r="FX62" s="6">
        <f>SUMPRODUCT((Results!$A$2:$A$5001=Schedule!FX$45)*(Results!$B$2:$B$5001=Schedule!$A62)*(Results!$D$2:$D$5001))</f>
        <v>0</v>
      </c>
      <c r="FY62" s="6">
        <f>SUMPRODUCT((Results!$A$2:$A$5001=Schedule!FY$45)*(Results!$B$2:$B$5001=Schedule!$A62)*(Results!$D$2:$D$5001))</f>
        <v>0</v>
      </c>
      <c r="FZ62" s="6">
        <f>SUMPRODUCT((Results!$A$2:$A$5001=Schedule!FZ$45)*(Results!$B$2:$B$5001=Schedule!$A62)*(Results!$D$2:$D$5001))</f>
        <v>0</v>
      </c>
      <c r="GA62" s="6">
        <f>SUMPRODUCT((Results!$A$2:$A$5001=Schedule!GA$45)*(Results!$B$2:$B$5001=Schedule!$A62)*(Results!$D$2:$D$5001))</f>
        <v>0</v>
      </c>
      <c r="GB62" s="6">
        <f>SUMPRODUCT((Results!$A$2:$A$5001=Schedule!GB$45)*(Results!$B$2:$B$5001=Schedule!$A62)*(Results!$D$2:$D$5001))</f>
        <v>0</v>
      </c>
      <c r="GC62" s="6">
        <f>SUMPRODUCT((Results!$A$2:$A$5001=Schedule!GC$45)*(Results!$B$2:$B$5001=Schedule!$A62)*(Results!$D$2:$D$5001))</f>
        <v>0</v>
      </c>
      <c r="GD62" s="6">
        <f>SUMPRODUCT((Results!$A$2:$A$5001=Schedule!GD$45)*(Results!$B$2:$B$5001=Schedule!$A62)*(Results!$D$2:$D$5001))</f>
        <v>0</v>
      </c>
      <c r="GE62" s="6">
        <f>SUMPRODUCT((Results!$A$2:$A$5001=Schedule!GE$45)*(Results!$B$2:$B$5001=Schedule!$A62)*(Results!$D$2:$D$5001))</f>
        <v>0</v>
      </c>
      <c r="GF62" s="6">
        <f>SUMPRODUCT((Results!$A$2:$A$5001=Schedule!GF$45)*(Results!$B$2:$B$5001=Schedule!$A62)*(Results!$D$2:$D$5001))</f>
        <v>0</v>
      </c>
      <c r="GG62" s="6">
        <f>SUMPRODUCT((Results!$A$2:$A$5001=Schedule!GG$45)*(Results!$B$2:$B$5001=Schedule!$A62)*(Results!$D$2:$D$5001))</f>
        <v>0</v>
      </c>
      <c r="GH62" s="6">
        <f>SUMPRODUCT((Results!$A$2:$A$5001=Schedule!GH$45)*(Results!$B$2:$B$5001=Schedule!$A62)*(Results!$D$2:$D$5001))</f>
        <v>0</v>
      </c>
      <c r="GI62" s="6">
        <f>SUMPRODUCT((Results!$A$2:$A$5001=Schedule!GI$45)*(Results!$B$2:$B$5001=Schedule!$A62)*(Results!$D$2:$D$5001))</f>
        <v>0</v>
      </c>
      <c r="GJ62" s="6">
        <f>SUMPRODUCT((Results!$A$2:$A$5001=Schedule!GJ$45)*(Results!$B$2:$B$5001=Schedule!$A62)*(Results!$D$2:$D$5001))</f>
        <v>0</v>
      </c>
      <c r="GK62" s="6">
        <f>SUMPRODUCT((Results!$A$2:$A$5001=Schedule!GK$45)*(Results!$B$2:$B$5001=Schedule!$A62)*(Results!$D$2:$D$5001))</f>
        <v>0</v>
      </c>
      <c r="GL62" s="6">
        <f>SUMPRODUCT((Results!$A$2:$A$5001=Schedule!GL$45)*(Results!$B$2:$B$5001=Schedule!$A62)*(Results!$D$2:$D$5001))</f>
        <v>0</v>
      </c>
      <c r="GM62" s="6">
        <f>SUMPRODUCT((Results!$A$2:$A$5001=Schedule!GM$45)*(Results!$B$2:$B$5001=Schedule!$A62)*(Results!$D$2:$D$5001))</f>
        <v>0</v>
      </c>
      <c r="GN62" s="6">
        <f>SUMPRODUCT((Results!$A$2:$A$5001=Schedule!GN$45)*(Results!$B$2:$B$5001=Schedule!$A62)*(Results!$D$2:$D$5001))</f>
        <v>0</v>
      </c>
      <c r="GO62" s="6">
        <f>SUMPRODUCT((Results!$A$2:$A$5001=Schedule!GO$45)*(Results!$B$2:$B$5001=Schedule!$A62)*(Results!$D$2:$D$5001))</f>
        <v>0</v>
      </c>
      <c r="GP62" s="6">
        <f>SUMPRODUCT((Results!$A$2:$A$5001=Schedule!GP$45)*(Results!$B$2:$B$5001=Schedule!$A62)*(Results!$D$2:$D$5001))</f>
        <v>0</v>
      </c>
      <c r="GQ62" s="6">
        <f>SUMPRODUCT((Results!$A$2:$A$5001=Schedule!GQ$45)*(Results!$B$2:$B$5001=Schedule!$A62)*(Results!$D$2:$D$5001))</f>
        <v>0</v>
      </c>
      <c r="GR62" s="6">
        <f>SUMPRODUCT((Results!$A$2:$A$5001=Schedule!GR$45)*(Results!$B$2:$B$5001=Schedule!$A62)*(Results!$D$2:$D$5001))</f>
        <v>0</v>
      </c>
      <c r="GS62" s="6">
        <f>SUMPRODUCT((Results!$A$2:$A$5001=Schedule!GS$45)*(Results!$B$2:$B$5001=Schedule!$A62)*(Results!$D$2:$D$5001))</f>
        <v>0</v>
      </c>
      <c r="GT62" s="6">
        <f>SUMPRODUCT((Results!$A$2:$A$5001=Schedule!GT$45)*(Results!$B$2:$B$5001=Schedule!$A62)*(Results!$D$2:$D$5001))</f>
        <v>0</v>
      </c>
      <c r="GU62" s="6">
        <f>SUMPRODUCT((Results!$A$2:$A$5001=Schedule!GU$45)*(Results!$B$2:$B$5001=Schedule!$A62)*(Results!$D$2:$D$5001))</f>
        <v>0</v>
      </c>
    </row>
    <row r="63" spans="1:203" ht="13.5" customHeight="1" x14ac:dyDescent="0.2">
      <c r="A63" s="40">
        <v>18</v>
      </c>
      <c r="B63" s="6">
        <f t="shared" si="17"/>
        <v>7.3360000000000003</v>
      </c>
      <c r="C63" s="6">
        <f>SUMPRODUCT((Results!$A$2:$A$5001=Schedule!C$45)*(Results!$B$2:$B$5001=Schedule!$A63)*(Results!$D$2:$D$5001))</f>
        <v>8.5199999999999998E-2</v>
      </c>
      <c r="D63" s="6">
        <f>SUMPRODUCT((Results!$A$2:$A$5001=Schedule!D$45)*(Results!$B$2:$B$5001=Schedule!$A63)*(Results!$D$2:$D$5001))</f>
        <v>8.5199999999999998E-2</v>
      </c>
      <c r="E63" s="6">
        <f>SUMPRODUCT((Results!$A$2:$A$5001=Schedule!E$45)*(Results!$B$2:$B$5001=Schedule!$A63)*(Results!$D$2:$D$5001))</f>
        <v>0</v>
      </c>
      <c r="F63" s="6">
        <f>SUMPRODUCT((Results!$A$2:$A$5001=Schedule!F$45)*(Results!$B$2:$B$5001=Schedule!$A63)*(Results!$D$2:$D$5001))</f>
        <v>6.6069000000000004</v>
      </c>
      <c r="G63" s="6">
        <f>SUMPRODUCT((Results!$A$2:$A$5001=Schedule!G$45)*(Results!$B$2:$B$5001=Schedule!$A63)*(Results!$D$2:$D$5001))</f>
        <v>0.55869999999999997</v>
      </c>
      <c r="H63" s="6">
        <f>SUMPRODUCT((Results!$A$2:$A$5001=Schedule!H$45)*(Results!$B$2:$B$5001=Schedule!$A63)*(Results!$D$2:$D$5001))</f>
        <v>0</v>
      </c>
      <c r="I63" s="6">
        <f>SUMPRODUCT((Results!$A$2:$A$5001=Schedule!I$45)*(Results!$B$2:$B$5001=Schedule!$A63)*(Results!$D$2:$D$5001))</f>
        <v>0</v>
      </c>
      <c r="J63" s="6">
        <f>SUMPRODUCT((Results!$A$2:$A$5001=Schedule!J$45)*(Results!$B$2:$B$5001=Schedule!$A63)*(Results!$D$2:$D$5001))</f>
        <v>0</v>
      </c>
      <c r="K63" s="6">
        <f>SUMPRODUCT((Results!$A$2:$A$5001=Schedule!K$45)*(Results!$B$2:$B$5001=Schedule!$A63)*(Results!$D$2:$D$5001))</f>
        <v>0</v>
      </c>
      <c r="L63" s="6">
        <f>SUMPRODUCT((Results!$A$2:$A$5001=Schedule!L$45)*(Results!$B$2:$B$5001=Schedule!$A63)*(Results!$D$2:$D$5001))</f>
        <v>0</v>
      </c>
      <c r="M63" s="6">
        <f>SUMPRODUCT((Results!$A$2:$A$5001=Schedule!M$45)*(Results!$B$2:$B$5001=Schedule!$A63)*(Results!$D$2:$D$5001))</f>
        <v>0</v>
      </c>
      <c r="N63" s="6">
        <f>SUMPRODUCT((Results!$A$2:$A$5001=Schedule!N$45)*(Results!$B$2:$B$5001=Schedule!$A63)*(Results!$D$2:$D$5001))</f>
        <v>0</v>
      </c>
      <c r="O63" s="6">
        <f>SUMPRODUCT((Results!$A$2:$A$5001=Schedule!O$45)*(Results!$B$2:$B$5001=Schedule!$A63)*(Results!$D$2:$D$5001))</f>
        <v>0</v>
      </c>
      <c r="P63" s="6">
        <f>SUMPRODUCT((Results!$A$2:$A$5001=Schedule!P$45)*(Results!$B$2:$B$5001=Schedule!$A63)*(Results!$D$2:$D$5001))</f>
        <v>0</v>
      </c>
      <c r="Q63" s="6">
        <f>SUMPRODUCT((Results!$A$2:$A$5001=Schedule!Q$45)*(Results!$B$2:$B$5001=Schedule!$A63)*(Results!$D$2:$D$5001))</f>
        <v>0</v>
      </c>
      <c r="R63" s="6">
        <f>SUMPRODUCT((Results!$A$2:$A$5001=Schedule!R$45)*(Results!$B$2:$B$5001=Schedule!$A63)*(Results!$D$2:$D$5001))</f>
        <v>0</v>
      </c>
      <c r="S63" s="6">
        <f>SUMPRODUCT((Results!$A$2:$A$5001=Schedule!S$45)*(Results!$B$2:$B$5001=Schedule!$A63)*(Results!$D$2:$D$5001))</f>
        <v>0</v>
      </c>
      <c r="T63" s="6">
        <f>SUMPRODUCT((Results!$A$2:$A$5001=Schedule!T$45)*(Results!$B$2:$B$5001=Schedule!$A63)*(Results!$D$2:$D$5001))</f>
        <v>0</v>
      </c>
      <c r="U63" s="6">
        <f>SUMPRODUCT((Results!$A$2:$A$5001=Schedule!U$45)*(Results!$B$2:$B$5001=Schedule!$A63)*(Results!$D$2:$D$5001))</f>
        <v>0</v>
      </c>
      <c r="V63" s="6">
        <f>SUMPRODUCT((Results!$A$2:$A$5001=Schedule!V$45)*(Results!$B$2:$B$5001=Schedule!$A63)*(Results!$D$2:$D$5001))</f>
        <v>0</v>
      </c>
      <c r="W63" s="6">
        <f>SUMPRODUCT((Results!$A$2:$A$5001=Schedule!W$45)*(Results!$B$2:$B$5001=Schedule!$A63)*(Results!$D$2:$D$5001))</f>
        <v>0</v>
      </c>
      <c r="X63" s="6">
        <f>SUMPRODUCT((Results!$A$2:$A$5001=Schedule!X$45)*(Results!$B$2:$B$5001=Schedule!$A63)*(Results!$D$2:$D$5001))</f>
        <v>0</v>
      </c>
      <c r="Y63" s="6">
        <f>SUMPRODUCT((Results!$A$2:$A$5001=Schedule!Y$45)*(Results!$B$2:$B$5001=Schedule!$A63)*(Results!$D$2:$D$5001))</f>
        <v>0</v>
      </c>
      <c r="Z63" s="6">
        <f>SUMPRODUCT((Results!$A$2:$A$5001=Schedule!Z$45)*(Results!$B$2:$B$5001=Schedule!$A63)*(Results!$D$2:$D$5001))</f>
        <v>0</v>
      </c>
      <c r="AA63" s="6">
        <f>SUMPRODUCT((Results!$A$2:$A$5001=Schedule!AA$45)*(Results!$B$2:$B$5001=Schedule!$A63)*(Results!$D$2:$D$5001))</f>
        <v>0</v>
      </c>
      <c r="AB63" s="6">
        <f>SUMPRODUCT((Results!$A$2:$A$5001=Schedule!AB$45)*(Results!$B$2:$B$5001=Schedule!$A63)*(Results!$D$2:$D$5001))</f>
        <v>0</v>
      </c>
      <c r="AC63" s="6">
        <f>SUMPRODUCT((Results!$A$2:$A$5001=Schedule!AC$45)*(Results!$B$2:$B$5001=Schedule!$A63)*(Results!$D$2:$D$5001))</f>
        <v>0</v>
      </c>
      <c r="AD63" s="6">
        <f>SUMPRODUCT((Results!$A$2:$A$5001=Schedule!AD$45)*(Results!$B$2:$B$5001=Schedule!$A63)*(Results!$D$2:$D$5001))</f>
        <v>0</v>
      </c>
      <c r="AE63" s="6">
        <f>SUMPRODUCT((Results!$A$2:$A$5001=Schedule!AE$45)*(Results!$B$2:$B$5001=Schedule!$A63)*(Results!$D$2:$D$5001))</f>
        <v>0</v>
      </c>
      <c r="AF63" s="6">
        <f>SUMPRODUCT((Results!$A$2:$A$5001=Schedule!AF$45)*(Results!$B$2:$B$5001=Schedule!$A63)*(Results!$D$2:$D$5001))</f>
        <v>0</v>
      </c>
      <c r="AG63" s="6">
        <f>SUMPRODUCT((Results!$A$2:$A$5001=Schedule!AG$45)*(Results!$B$2:$B$5001=Schedule!$A63)*(Results!$D$2:$D$5001))</f>
        <v>0</v>
      </c>
      <c r="AH63" s="6">
        <f>SUMPRODUCT((Results!$A$2:$A$5001=Schedule!AH$45)*(Results!$B$2:$B$5001=Schedule!$A63)*(Results!$D$2:$D$5001))</f>
        <v>0</v>
      </c>
      <c r="AI63" s="6">
        <f>SUMPRODUCT((Results!$A$2:$A$5001=Schedule!AI$45)*(Results!$B$2:$B$5001=Schedule!$A63)*(Results!$D$2:$D$5001))</f>
        <v>0</v>
      </c>
      <c r="AJ63" s="6">
        <f>SUMPRODUCT((Results!$A$2:$A$5001=Schedule!AJ$45)*(Results!$B$2:$B$5001=Schedule!$A63)*(Results!$D$2:$D$5001))</f>
        <v>0</v>
      </c>
      <c r="AK63" s="6">
        <f>SUMPRODUCT((Results!$A$2:$A$5001=Schedule!AK$45)*(Results!$B$2:$B$5001=Schedule!$A63)*(Results!$D$2:$D$5001))</f>
        <v>0</v>
      </c>
      <c r="AL63" s="6">
        <f>SUMPRODUCT((Results!$A$2:$A$5001=Schedule!AL$45)*(Results!$B$2:$B$5001=Schedule!$A63)*(Results!$D$2:$D$5001))</f>
        <v>0</v>
      </c>
      <c r="AM63" s="6">
        <f>SUMPRODUCT((Results!$A$2:$A$5001=Schedule!AM$45)*(Results!$B$2:$B$5001=Schedule!$A63)*(Results!$D$2:$D$5001))</f>
        <v>0</v>
      </c>
      <c r="AN63" s="6">
        <f>SUMPRODUCT((Results!$A$2:$A$5001=Schedule!AN$45)*(Results!$B$2:$B$5001=Schedule!$A63)*(Results!$D$2:$D$5001))</f>
        <v>0</v>
      </c>
      <c r="AO63" s="6">
        <f>SUMPRODUCT((Results!$A$2:$A$5001=Schedule!AO$45)*(Results!$B$2:$B$5001=Schedule!$A63)*(Results!$D$2:$D$5001))</f>
        <v>0</v>
      </c>
      <c r="AP63" s="6">
        <f>SUMPRODUCT((Results!$A$2:$A$5001=Schedule!AP$45)*(Results!$B$2:$B$5001=Schedule!$A63)*(Results!$D$2:$D$5001))</f>
        <v>0</v>
      </c>
      <c r="AQ63" s="6">
        <f>SUMPRODUCT((Results!$A$2:$A$5001=Schedule!AQ$45)*(Results!$B$2:$B$5001=Schedule!$A63)*(Results!$D$2:$D$5001))</f>
        <v>0</v>
      </c>
      <c r="AR63" s="6">
        <f>SUMPRODUCT((Results!$A$2:$A$5001=Schedule!AR$45)*(Results!$B$2:$B$5001=Schedule!$A63)*(Results!$D$2:$D$5001))</f>
        <v>0</v>
      </c>
      <c r="AS63" s="6">
        <f>SUMPRODUCT((Results!$A$2:$A$5001=Schedule!AS$45)*(Results!$B$2:$B$5001=Schedule!$A63)*(Results!$D$2:$D$5001))</f>
        <v>0</v>
      </c>
      <c r="AT63" s="6">
        <f>SUMPRODUCT((Results!$A$2:$A$5001=Schedule!AT$45)*(Results!$B$2:$B$5001=Schedule!$A63)*(Results!$D$2:$D$5001))</f>
        <v>0</v>
      </c>
      <c r="AU63" s="6">
        <f>SUMPRODUCT((Results!$A$2:$A$5001=Schedule!AU$45)*(Results!$B$2:$B$5001=Schedule!$A63)*(Results!$D$2:$D$5001))</f>
        <v>0</v>
      </c>
      <c r="AV63" s="6">
        <f>SUMPRODUCT((Results!$A$2:$A$5001=Schedule!AV$45)*(Results!$B$2:$B$5001=Schedule!$A63)*(Results!$D$2:$D$5001))</f>
        <v>0</v>
      </c>
      <c r="AW63" s="6">
        <f>SUMPRODUCT((Results!$A$2:$A$5001=Schedule!AW$45)*(Results!$B$2:$B$5001=Schedule!$A63)*(Results!$D$2:$D$5001))</f>
        <v>0</v>
      </c>
      <c r="AX63" s="6">
        <f>SUMPRODUCT((Results!$A$2:$A$5001=Schedule!AX$45)*(Results!$B$2:$B$5001=Schedule!$A63)*(Results!$D$2:$D$5001))</f>
        <v>0</v>
      </c>
      <c r="AY63" s="6">
        <f>SUMPRODUCT((Results!$A$2:$A$5001=Schedule!AY$45)*(Results!$B$2:$B$5001=Schedule!$A63)*(Results!$D$2:$D$5001))</f>
        <v>0</v>
      </c>
      <c r="AZ63" s="6">
        <f>SUMPRODUCT((Results!$A$2:$A$5001=Schedule!AZ$45)*(Results!$B$2:$B$5001=Schedule!$A63)*(Results!$D$2:$D$5001))</f>
        <v>0</v>
      </c>
      <c r="BA63" s="6">
        <f>SUMPRODUCT((Results!$A$2:$A$5001=Schedule!BA$45)*(Results!$B$2:$B$5001=Schedule!$A63)*(Results!$D$2:$D$5001))</f>
        <v>0</v>
      </c>
      <c r="BB63" s="6">
        <f>SUMPRODUCT((Results!$A$2:$A$5001=Schedule!BB$45)*(Results!$B$2:$B$5001=Schedule!$A63)*(Results!$D$2:$D$5001))</f>
        <v>0</v>
      </c>
      <c r="BC63" s="6">
        <f>SUMPRODUCT((Results!$A$2:$A$5001=Schedule!BC$45)*(Results!$B$2:$B$5001=Schedule!$A63)*(Results!$D$2:$D$5001))</f>
        <v>0</v>
      </c>
      <c r="BD63" s="6">
        <f>SUMPRODUCT((Results!$A$2:$A$5001=Schedule!BD$45)*(Results!$B$2:$B$5001=Schedule!$A63)*(Results!$D$2:$D$5001))</f>
        <v>0</v>
      </c>
      <c r="BE63" s="6">
        <f>SUMPRODUCT((Results!$A$2:$A$5001=Schedule!BE$45)*(Results!$B$2:$B$5001=Schedule!$A63)*(Results!$D$2:$D$5001))</f>
        <v>0</v>
      </c>
      <c r="BF63" s="6">
        <f>SUMPRODUCT((Results!$A$2:$A$5001=Schedule!BF$45)*(Results!$B$2:$B$5001=Schedule!$A63)*(Results!$D$2:$D$5001))</f>
        <v>0</v>
      </c>
      <c r="BG63" s="6">
        <f>SUMPRODUCT((Results!$A$2:$A$5001=Schedule!BG$45)*(Results!$B$2:$B$5001=Schedule!$A63)*(Results!$D$2:$D$5001))</f>
        <v>0</v>
      </c>
      <c r="BH63" s="6">
        <f>SUMPRODUCT((Results!$A$2:$A$5001=Schedule!BH$45)*(Results!$B$2:$B$5001=Schedule!$A63)*(Results!$D$2:$D$5001))</f>
        <v>0</v>
      </c>
      <c r="BI63" s="6">
        <f>SUMPRODUCT((Results!$A$2:$A$5001=Schedule!BI$45)*(Results!$B$2:$B$5001=Schedule!$A63)*(Results!$D$2:$D$5001))</f>
        <v>0</v>
      </c>
      <c r="BJ63" s="6">
        <f>SUMPRODUCT((Results!$A$2:$A$5001=Schedule!BJ$45)*(Results!$B$2:$B$5001=Schedule!$A63)*(Results!$D$2:$D$5001))</f>
        <v>0</v>
      </c>
      <c r="BK63" s="6">
        <f>SUMPRODUCT((Results!$A$2:$A$5001=Schedule!BK$45)*(Results!$B$2:$B$5001=Schedule!$A63)*(Results!$D$2:$D$5001))</f>
        <v>0</v>
      </c>
      <c r="BL63" s="6">
        <f>SUMPRODUCT((Results!$A$2:$A$5001=Schedule!BL$45)*(Results!$B$2:$B$5001=Schedule!$A63)*(Results!$D$2:$D$5001))</f>
        <v>0</v>
      </c>
      <c r="BM63" s="6">
        <f>SUMPRODUCT((Results!$A$2:$A$5001=Schedule!BM$45)*(Results!$B$2:$B$5001=Schedule!$A63)*(Results!$D$2:$D$5001))</f>
        <v>0</v>
      </c>
      <c r="BN63" s="6">
        <f>SUMPRODUCT((Results!$A$2:$A$5001=Schedule!BN$45)*(Results!$B$2:$B$5001=Schedule!$A63)*(Results!$D$2:$D$5001))</f>
        <v>0</v>
      </c>
      <c r="BO63" s="6">
        <f>SUMPRODUCT((Results!$A$2:$A$5001=Schedule!BO$45)*(Results!$B$2:$B$5001=Schedule!$A63)*(Results!$D$2:$D$5001))</f>
        <v>0</v>
      </c>
      <c r="BP63" s="6">
        <f>SUMPRODUCT((Results!$A$2:$A$5001=Schedule!BP$45)*(Results!$B$2:$B$5001=Schedule!$A63)*(Results!$D$2:$D$5001))</f>
        <v>0</v>
      </c>
      <c r="BQ63" s="6">
        <f>SUMPRODUCT((Results!$A$2:$A$5001=Schedule!BQ$45)*(Results!$B$2:$B$5001=Schedule!$A63)*(Results!$D$2:$D$5001))</f>
        <v>0</v>
      </c>
      <c r="BR63" s="6">
        <f>SUMPRODUCT((Results!$A$2:$A$5001=Schedule!BR$45)*(Results!$B$2:$B$5001=Schedule!$A63)*(Results!$D$2:$D$5001))</f>
        <v>0</v>
      </c>
      <c r="BS63" s="6">
        <f>SUMPRODUCT((Results!$A$2:$A$5001=Schedule!BS$45)*(Results!$B$2:$B$5001=Schedule!$A63)*(Results!$D$2:$D$5001))</f>
        <v>0</v>
      </c>
      <c r="BT63" s="6">
        <f>SUMPRODUCT((Results!$A$2:$A$5001=Schedule!BT$45)*(Results!$B$2:$B$5001=Schedule!$A63)*(Results!$D$2:$D$5001))</f>
        <v>0</v>
      </c>
      <c r="BU63" s="6">
        <f>SUMPRODUCT((Results!$A$2:$A$5001=Schedule!BU$45)*(Results!$B$2:$B$5001=Schedule!$A63)*(Results!$D$2:$D$5001))</f>
        <v>0</v>
      </c>
      <c r="BV63" s="6">
        <f>SUMPRODUCT((Results!$A$2:$A$5001=Schedule!BV$45)*(Results!$B$2:$B$5001=Schedule!$A63)*(Results!$D$2:$D$5001))</f>
        <v>0</v>
      </c>
      <c r="BW63" s="6">
        <f>SUMPRODUCT((Results!$A$2:$A$5001=Schedule!BW$45)*(Results!$B$2:$B$5001=Schedule!$A63)*(Results!$D$2:$D$5001))</f>
        <v>0</v>
      </c>
      <c r="BX63" s="6">
        <f>SUMPRODUCT((Results!$A$2:$A$5001=Schedule!BX$45)*(Results!$B$2:$B$5001=Schedule!$A63)*(Results!$D$2:$D$5001))</f>
        <v>0</v>
      </c>
      <c r="BY63" s="6">
        <f>SUMPRODUCT((Results!$A$2:$A$5001=Schedule!BY$45)*(Results!$B$2:$B$5001=Schedule!$A63)*(Results!$D$2:$D$5001))</f>
        <v>0</v>
      </c>
      <c r="BZ63" s="6">
        <f>SUMPRODUCT((Results!$A$2:$A$5001=Schedule!BZ$45)*(Results!$B$2:$B$5001=Schedule!$A63)*(Results!$D$2:$D$5001))</f>
        <v>0</v>
      </c>
      <c r="CA63" s="6">
        <f>SUMPRODUCT((Results!$A$2:$A$5001=Schedule!CA$45)*(Results!$B$2:$B$5001=Schedule!$A63)*(Results!$D$2:$D$5001))</f>
        <v>0</v>
      </c>
      <c r="CB63" s="6">
        <f>SUMPRODUCT((Results!$A$2:$A$5001=Schedule!CB$45)*(Results!$B$2:$B$5001=Schedule!$A63)*(Results!$D$2:$D$5001))</f>
        <v>0</v>
      </c>
      <c r="CC63" s="6">
        <f>SUMPRODUCT((Results!$A$2:$A$5001=Schedule!CC$45)*(Results!$B$2:$B$5001=Schedule!$A63)*(Results!$D$2:$D$5001))</f>
        <v>0</v>
      </c>
      <c r="CD63" s="6">
        <f>SUMPRODUCT((Results!$A$2:$A$5001=Schedule!CD$45)*(Results!$B$2:$B$5001=Schedule!$A63)*(Results!$D$2:$D$5001))</f>
        <v>0</v>
      </c>
      <c r="CE63" s="6">
        <f>SUMPRODUCT((Results!$A$2:$A$5001=Schedule!CE$45)*(Results!$B$2:$B$5001=Schedule!$A63)*(Results!$D$2:$D$5001))</f>
        <v>0</v>
      </c>
      <c r="CF63" s="6">
        <f>SUMPRODUCT((Results!$A$2:$A$5001=Schedule!CF$45)*(Results!$B$2:$B$5001=Schedule!$A63)*(Results!$D$2:$D$5001))</f>
        <v>0</v>
      </c>
      <c r="CG63" s="6">
        <f>SUMPRODUCT((Results!$A$2:$A$5001=Schedule!CG$45)*(Results!$B$2:$B$5001=Schedule!$A63)*(Results!$D$2:$D$5001))</f>
        <v>0</v>
      </c>
      <c r="CH63" s="6">
        <f>SUMPRODUCT((Results!$A$2:$A$5001=Schedule!CH$45)*(Results!$B$2:$B$5001=Schedule!$A63)*(Results!$D$2:$D$5001))</f>
        <v>0</v>
      </c>
      <c r="CI63" s="6">
        <f>SUMPRODUCT((Results!$A$2:$A$5001=Schedule!CI$45)*(Results!$B$2:$B$5001=Schedule!$A63)*(Results!$D$2:$D$5001))</f>
        <v>0</v>
      </c>
      <c r="CJ63" s="6">
        <f>SUMPRODUCT((Results!$A$2:$A$5001=Schedule!CJ$45)*(Results!$B$2:$B$5001=Schedule!$A63)*(Results!$D$2:$D$5001))</f>
        <v>0</v>
      </c>
      <c r="CK63" s="6">
        <f>SUMPRODUCT((Results!$A$2:$A$5001=Schedule!CK$45)*(Results!$B$2:$B$5001=Schedule!$A63)*(Results!$D$2:$D$5001))</f>
        <v>0</v>
      </c>
      <c r="CL63" s="6">
        <f>SUMPRODUCT((Results!$A$2:$A$5001=Schedule!CL$45)*(Results!$B$2:$B$5001=Schedule!$A63)*(Results!$D$2:$D$5001))</f>
        <v>0</v>
      </c>
      <c r="CM63" s="6">
        <f>SUMPRODUCT((Results!$A$2:$A$5001=Schedule!CM$45)*(Results!$B$2:$B$5001=Schedule!$A63)*(Results!$D$2:$D$5001))</f>
        <v>0</v>
      </c>
      <c r="CN63" s="6">
        <f>SUMPRODUCT((Results!$A$2:$A$5001=Schedule!CN$45)*(Results!$B$2:$B$5001=Schedule!$A63)*(Results!$D$2:$D$5001))</f>
        <v>0</v>
      </c>
      <c r="CO63" s="6">
        <f>SUMPRODUCT((Results!$A$2:$A$5001=Schedule!CO$45)*(Results!$B$2:$B$5001=Schedule!$A63)*(Results!$D$2:$D$5001))</f>
        <v>0</v>
      </c>
      <c r="CP63" s="6">
        <f>SUMPRODUCT((Results!$A$2:$A$5001=Schedule!CP$45)*(Results!$B$2:$B$5001=Schedule!$A63)*(Results!$D$2:$D$5001))</f>
        <v>0</v>
      </c>
      <c r="CQ63" s="6">
        <f>SUMPRODUCT((Results!$A$2:$A$5001=Schedule!CQ$45)*(Results!$B$2:$B$5001=Schedule!$A63)*(Results!$D$2:$D$5001))</f>
        <v>0</v>
      </c>
      <c r="CR63" s="6">
        <f>SUMPRODUCT((Results!$A$2:$A$5001=Schedule!CR$45)*(Results!$B$2:$B$5001=Schedule!$A63)*(Results!$D$2:$D$5001))</f>
        <v>0</v>
      </c>
      <c r="CS63" s="6">
        <f>SUMPRODUCT((Results!$A$2:$A$5001=Schedule!CS$45)*(Results!$B$2:$B$5001=Schedule!$A63)*(Results!$D$2:$D$5001))</f>
        <v>0</v>
      </c>
      <c r="CT63" s="6">
        <f>SUMPRODUCT((Results!$A$2:$A$5001=Schedule!CT$45)*(Results!$B$2:$B$5001=Schedule!$A63)*(Results!$D$2:$D$5001))</f>
        <v>0</v>
      </c>
      <c r="CU63" s="6">
        <f>SUMPRODUCT((Results!$A$2:$A$5001=Schedule!CU$45)*(Results!$B$2:$B$5001=Schedule!$A63)*(Results!$D$2:$D$5001))</f>
        <v>0</v>
      </c>
      <c r="CV63" s="6">
        <f>SUMPRODUCT((Results!$A$2:$A$5001=Schedule!CV$45)*(Results!$B$2:$B$5001=Schedule!$A63)*(Results!$D$2:$D$5001))</f>
        <v>0</v>
      </c>
      <c r="CW63" s="6">
        <f>SUMPRODUCT((Results!$A$2:$A$5001=Schedule!CW$45)*(Results!$B$2:$B$5001=Schedule!$A63)*(Results!$D$2:$D$5001))</f>
        <v>0</v>
      </c>
      <c r="CX63" s="6">
        <f>SUMPRODUCT((Results!$A$2:$A$5001=Schedule!CX$45)*(Results!$B$2:$B$5001=Schedule!$A63)*(Results!$D$2:$D$5001))</f>
        <v>0</v>
      </c>
      <c r="CY63" s="6">
        <f>SUMPRODUCT((Results!$A$2:$A$5001=Schedule!CY$45)*(Results!$B$2:$B$5001=Schedule!$A63)*(Results!$D$2:$D$5001))</f>
        <v>0</v>
      </c>
      <c r="CZ63" s="6">
        <f>SUMPRODUCT((Results!$A$2:$A$5001=Schedule!CZ$45)*(Results!$B$2:$B$5001=Schedule!$A63)*(Results!$D$2:$D$5001))</f>
        <v>0</v>
      </c>
      <c r="DA63" s="6">
        <f>SUMPRODUCT((Results!$A$2:$A$5001=Schedule!DA$45)*(Results!$B$2:$B$5001=Schedule!$A63)*(Results!$D$2:$D$5001))</f>
        <v>0</v>
      </c>
      <c r="DB63" s="6">
        <f>SUMPRODUCT((Results!$A$2:$A$5001=Schedule!DB$45)*(Results!$B$2:$B$5001=Schedule!$A63)*(Results!$D$2:$D$5001))</f>
        <v>0</v>
      </c>
      <c r="DC63" s="6">
        <f>SUMPRODUCT((Results!$A$2:$A$5001=Schedule!DC$45)*(Results!$B$2:$B$5001=Schedule!$A63)*(Results!$D$2:$D$5001))</f>
        <v>0</v>
      </c>
      <c r="DD63" s="6">
        <f>SUMPRODUCT((Results!$A$2:$A$5001=Schedule!DD$45)*(Results!$B$2:$B$5001=Schedule!$A63)*(Results!$D$2:$D$5001))</f>
        <v>0</v>
      </c>
      <c r="DE63" s="6">
        <f>SUMPRODUCT((Results!$A$2:$A$5001=Schedule!DE$45)*(Results!$B$2:$B$5001=Schedule!$A63)*(Results!$D$2:$D$5001))</f>
        <v>0</v>
      </c>
      <c r="DF63" s="6">
        <f>SUMPRODUCT((Results!$A$2:$A$5001=Schedule!DF$45)*(Results!$B$2:$B$5001=Schedule!$A63)*(Results!$D$2:$D$5001))</f>
        <v>0</v>
      </c>
      <c r="DG63" s="6">
        <f>SUMPRODUCT((Results!$A$2:$A$5001=Schedule!DG$45)*(Results!$B$2:$B$5001=Schedule!$A63)*(Results!$D$2:$D$5001))</f>
        <v>0</v>
      </c>
      <c r="DH63" s="6">
        <f>SUMPRODUCT((Results!$A$2:$A$5001=Schedule!DH$45)*(Results!$B$2:$B$5001=Schedule!$A63)*(Results!$D$2:$D$5001))</f>
        <v>0</v>
      </c>
      <c r="DI63" s="6">
        <f>SUMPRODUCT((Results!$A$2:$A$5001=Schedule!DI$45)*(Results!$B$2:$B$5001=Schedule!$A63)*(Results!$D$2:$D$5001))</f>
        <v>0</v>
      </c>
      <c r="DJ63" s="6">
        <f>SUMPRODUCT((Results!$A$2:$A$5001=Schedule!DJ$45)*(Results!$B$2:$B$5001=Schedule!$A63)*(Results!$D$2:$D$5001))</f>
        <v>0</v>
      </c>
      <c r="DK63" s="6">
        <f>SUMPRODUCT((Results!$A$2:$A$5001=Schedule!DK$45)*(Results!$B$2:$B$5001=Schedule!$A63)*(Results!$D$2:$D$5001))</f>
        <v>0</v>
      </c>
      <c r="DL63" s="6">
        <f>SUMPRODUCT((Results!$A$2:$A$5001=Schedule!DL$45)*(Results!$B$2:$B$5001=Schedule!$A63)*(Results!$D$2:$D$5001))</f>
        <v>0</v>
      </c>
      <c r="DM63" s="6">
        <f>SUMPRODUCT((Results!$A$2:$A$5001=Schedule!DM$45)*(Results!$B$2:$B$5001=Schedule!$A63)*(Results!$D$2:$D$5001))</f>
        <v>0</v>
      </c>
      <c r="DN63" s="6">
        <f>SUMPRODUCT((Results!$A$2:$A$5001=Schedule!DN$45)*(Results!$B$2:$B$5001=Schedule!$A63)*(Results!$D$2:$D$5001))</f>
        <v>0</v>
      </c>
      <c r="DO63" s="6">
        <f>SUMPRODUCT((Results!$A$2:$A$5001=Schedule!DO$45)*(Results!$B$2:$B$5001=Schedule!$A63)*(Results!$D$2:$D$5001))</f>
        <v>0</v>
      </c>
      <c r="DP63" s="6">
        <f>SUMPRODUCT((Results!$A$2:$A$5001=Schedule!DP$45)*(Results!$B$2:$B$5001=Schedule!$A63)*(Results!$D$2:$D$5001))</f>
        <v>0</v>
      </c>
      <c r="DQ63" s="6">
        <f>SUMPRODUCT((Results!$A$2:$A$5001=Schedule!DQ$45)*(Results!$B$2:$B$5001=Schedule!$A63)*(Results!$D$2:$D$5001))</f>
        <v>0</v>
      </c>
      <c r="DR63" s="6">
        <f>SUMPRODUCT((Results!$A$2:$A$5001=Schedule!DR$45)*(Results!$B$2:$B$5001=Schedule!$A63)*(Results!$D$2:$D$5001))</f>
        <v>0</v>
      </c>
      <c r="DS63" s="6">
        <f>SUMPRODUCT((Results!$A$2:$A$5001=Schedule!DS$45)*(Results!$B$2:$B$5001=Schedule!$A63)*(Results!$D$2:$D$5001))</f>
        <v>0</v>
      </c>
      <c r="DT63" s="6">
        <f>SUMPRODUCT((Results!$A$2:$A$5001=Schedule!DT$45)*(Results!$B$2:$B$5001=Schedule!$A63)*(Results!$D$2:$D$5001))</f>
        <v>0</v>
      </c>
      <c r="DU63" s="6">
        <f>SUMPRODUCT((Results!$A$2:$A$5001=Schedule!DU$45)*(Results!$B$2:$B$5001=Schedule!$A63)*(Results!$D$2:$D$5001))</f>
        <v>0</v>
      </c>
      <c r="DV63" s="6">
        <f>SUMPRODUCT((Results!$A$2:$A$5001=Schedule!DV$45)*(Results!$B$2:$B$5001=Schedule!$A63)*(Results!$D$2:$D$5001))</f>
        <v>0</v>
      </c>
      <c r="DW63" s="6">
        <f>SUMPRODUCT((Results!$A$2:$A$5001=Schedule!DW$45)*(Results!$B$2:$B$5001=Schedule!$A63)*(Results!$D$2:$D$5001))</f>
        <v>0</v>
      </c>
      <c r="DX63" s="6">
        <f>SUMPRODUCT((Results!$A$2:$A$5001=Schedule!DX$45)*(Results!$B$2:$B$5001=Schedule!$A63)*(Results!$D$2:$D$5001))</f>
        <v>0</v>
      </c>
      <c r="DY63" s="6">
        <f>SUMPRODUCT((Results!$A$2:$A$5001=Schedule!DY$45)*(Results!$B$2:$B$5001=Schedule!$A63)*(Results!$D$2:$D$5001))</f>
        <v>0</v>
      </c>
      <c r="DZ63" s="6">
        <f>SUMPRODUCT((Results!$A$2:$A$5001=Schedule!DZ$45)*(Results!$B$2:$B$5001=Schedule!$A63)*(Results!$D$2:$D$5001))</f>
        <v>0</v>
      </c>
      <c r="EA63" s="6">
        <f>SUMPRODUCT((Results!$A$2:$A$5001=Schedule!EA$45)*(Results!$B$2:$B$5001=Schedule!$A63)*(Results!$D$2:$D$5001))</f>
        <v>0</v>
      </c>
      <c r="EB63" s="6">
        <f>SUMPRODUCT((Results!$A$2:$A$5001=Schedule!EB$45)*(Results!$B$2:$B$5001=Schedule!$A63)*(Results!$D$2:$D$5001))</f>
        <v>0</v>
      </c>
      <c r="EC63" s="6">
        <f>SUMPRODUCT((Results!$A$2:$A$5001=Schedule!EC$45)*(Results!$B$2:$B$5001=Schedule!$A63)*(Results!$D$2:$D$5001))</f>
        <v>0</v>
      </c>
      <c r="ED63" s="6">
        <f>SUMPRODUCT((Results!$A$2:$A$5001=Schedule!ED$45)*(Results!$B$2:$B$5001=Schedule!$A63)*(Results!$D$2:$D$5001))</f>
        <v>0</v>
      </c>
      <c r="EE63" s="6">
        <f>SUMPRODUCT((Results!$A$2:$A$5001=Schedule!EE$45)*(Results!$B$2:$B$5001=Schedule!$A63)*(Results!$D$2:$D$5001))</f>
        <v>0</v>
      </c>
      <c r="EF63" s="6">
        <f>SUMPRODUCT((Results!$A$2:$A$5001=Schedule!EF$45)*(Results!$B$2:$B$5001=Schedule!$A63)*(Results!$D$2:$D$5001))</f>
        <v>0</v>
      </c>
      <c r="EG63" s="6">
        <f>SUMPRODUCT((Results!$A$2:$A$5001=Schedule!EG$45)*(Results!$B$2:$B$5001=Schedule!$A63)*(Results!$D$2:$D$5001))</f>
        <v>0</v>
      </c>
      <c r="EH63" s="6">
        <f>SUMPRODUCT((Results!$A$2:$A$5001=Schedule!EH$45)*(Results!$B$2:$B$5001=Schedule!$A63)*(Results!$D$2:$D$5001))</f>
        <v>0</v>
      </c>
      <c r="EI63" s="6">
        <f>SUMPRODUCT((Results!$A$2:$A$5001=Schedule!EI$45)*(Results!$B$2:$B$5001=Schedule!$A63)*(Results!$D$2:$D$5001))</f>
        <v>0</v>
      </c>
      <c r="EJ63" s="6">
        <f>SUMPRODUCT((Results!$A$2:$A$5001=Schedule!EJ$45)*(Results!$B$2:$B$5001=Schedule!$A63)*(Results!$D$2:$D$5001))</f>
        <v>0</v>
      </c>
      <c r="EK63" s="6">
        <f>SUMPRODUCT((Results!$A$2:$A$5001=Schedule!EK$45)*(Results!$B$2:$B$5001=Schedule!$A63)*(Results!$D$2:$D$5001))</f>
        <v>0</v>
      </c>
      <c r="EL63" s="6">
        <f>SUMPRODUCT((Results!$A$2:$A$5001=Schedule!EL$45)*(Results!$B$2:$B$5001=Schedule!$A63)*(Results!$D$2:$D$5001))</f>
        <v>0</v>
      </c>
      <c r="EM63" s="6">
        <f>SUMPRODUCT((Results!$A$2:$A$5001=Schedule!EM$45)*(Results!$B$2:$B$5001=Schedule!$A63)*(Results!$D$2:$D$5001))</f>
        <v>0</v>
      </c>
      <c r="EN63" s="6">
        <f>SUMPRODUCT((Results!$A$2:$A$5001=Schedule!EN$45)*(Results!$B$2:$B$5001=Schedule!$A63)*(Results!$D$2:$D$5001))</f>
        <v>0</v>
      </c>
      <c r="EO63" s="6">
        <f>SUMPRODUCT((Results!$A$2:$A$5001=Schedule!EO$45)*(Results!$B$2:$B$5001=Schedule!$A63)*(Results!$D$2:$D$5001))</f>
        <v>0</v>
      </c>
      <c r="EP63" s="6">
        <f>SUMPRODUCT((Results!$A$2:$A$5001=Schedule!EP$45)*(Results!$B$2:$B$5001=Schedule!$A63)*(Results!$D$2:$D$5001))</f>
        <v>0</v>
      </c>
      <c r="EQ63" s="6">
        <f>SUMPRODUCT((Results!$A$2:$A$5001=Schedule!EQ$45)*(Results!$B$2:$B$5001=Schedule!$A63)*(Results!$D$2:$D$5001))</f>
        <v>0</v>
      </c>
      <c r="ER63" s="6">
        <f>SUMPRODUCT((Results!$A$2:$A$5001=Schedule!ER$45)*(Results!$B$2:$B$5001=Schedule!$A63)*(Results!$D$2:$D$5001))</f>
        <v>0</v>
      </c>
      <c r="ES63" s="6">
        <f>SUMPRODUCT((Results!$A$2:$A$5001=Schedule!ES$45)*(Results!$B$2:$B$5001=Schedule!$A63)*(Results!$D$2:$D$5001))</f>
        <v>0</v>
      </c>
      <c r="ET63" s="6">
        <f>SUMPRODUCT((Results!$A$2:$A$5001=Schedule!ET$45)*(Results!$B$2:$B$5001=Schedule!$A63)*(Results!$D$2:$D$5001))</f>
        <v>0</v>
      </c>
      <c r="EU63" s="6">
        <f>SUMPRODUCT((Results!$A$2:$A$5001=Schedule!EU$45)*(Results!$B$2:$B$5001=Schedule!$A63)*(Results!$D$2:$D$5001))</f>
        <v>0</v>
      </c>
      <c r="EV63" s="6">
        <f>SUMPRODUCT((Results!$A$2:$A$5001=Schedule!EV$45)*(Results!$B$2:$B$5001=Schedule!$A63)*(Results!$D$2:$D$5001))</f>
        <v>0</v>
      </c>
      <c r="EW63" s="6">
        <f>SUMPRODUCT((Results!$A$2:$A$5001=Schedule!EW$45)*(Results!$B$2:$B$5001=Schedule!$A63)*(Results!$D$2:$D$5001))</f>
        <v>0</v>
      </c>
      <c r="EX63" s="6">
        <f>SUMPRODUCT((Results!$A$2:$A$5001=Schedule!EX$45)*(Results!$B$2:$B$5001=Schedule!$A63)*(Results!$D$2:$D$5001))</f>
        <v>0</v>
      </c>
      <c r="EY63" s="6">
        <f>SUMPRODUCT((Results!$A$2:$A$5001=Schedule!EY$45)*(Results!$B$2:$B$5001=Schedule!$A63)*(Results!$D$2:$D$5001))</f>
        <v>0</v>
      </c>
      <c r="EZ63" s="6">
        <f>SUMPRODUCT((Results!$A$2:$A$5001=Schedule!EZ$45)*(Results!$B$2:$B$5001=Schedule!$A63)*(Results!$D$2:$D$5001))</f>
        <v>0</v>
      </c>
      <c r="FA63" s="6">
        <f>SUMPRODUCT((Results!$A$2:$A$5001=Schedule!FA$45)*(Results!$B$2:$B$5001=Schedule!$A63)*(Results!$D$2:$D$5001))</f>
        <v>0</v>
      </c>
      <c r="FB63" s="6">
        <f>SUMPRODUCT((Results!$A$2:$A$5001=Schedule!FB$45)*(Results!$B$2:$B$5001=Schedule!$A63)*(Results!$D$2:$D$5001))</f>
        <v>0</v>
      </c>
      <c r="FC63" s="6">
        <f>SUMPRODUCT((Results!$A$2:$A$5001=Schedule!FC$45)*(Results!$B$2:$B$5001=Schedule!$A63)*(Results!$D$2:$D$5001))</f>
        <v>0</v>
      </c>
      <c r="FD63" s="6">
        <f>SUMPRODUCT((Results!$A$2:$A$5001=Schedule!FD$45)*(Results!$B$2:$B$5001=Schedule!$A63)*(Results!$D$2:$D$5001))</f>
        <v>0</v>
      </c>
      <c r="FE63" s="6">
        <f>SUMPRODUCT((Results!$A$2:$A$5001=Schedule!FE$45)*(Results!$B$2:$B$5001=Schedule!$A63)*(Results!$D$2:$D$5001))</f>
        <v>0</v>
      </c>
      <c r="FF63" s="6">
        <f>SUMPRODUCT((Results!$A$2:$A$5001=Schedule!FF$45)*(Results!$B$2:$B$5001=Schedule!$A63)*(Results!$D$2:$D$5001))</f>
        <v>0</v>
      </c>
      <c r="FG63" s="6">
        <f>SUMPRODUCT((Results!$A$2:$A$5001=Schedule!FG$45)*(Results!$B$2:$B$5001=Schedule!$A63)*(Results!$D$2:$D$5001))</f>
        <v>0</v>
      </c>
      <c r="FH63" s="6">
        <f>SUMPRODUCT((Results!$A$2:$A$5001=Schedule!FH$45)*(Results!$B$2:$B$5001=Schedule!$A63)*(Results!$D$2:$D$5001))</f>
        <v>0</v>
      </c>
      <c r="FI63" s="6">
        <f>SUMPRODUCT((Results!$A$2:$A$5001=Schedule!FI$45)*(Results!$B$2:$B$5001=Schedule!$A63)*(Results!$D$2:$D$5001))</f>
        <v>0</v>
      </c>
      <c r="FJ63" s="6">
        <f>SUMPRODUCT((Results!$A$2:$A$5001=Schedule!FJ$45)*(Results!$B$2:$B$5001=Schedule!$A63)*(Results!$D$2:$D$5001))</f>
        <v>0</v>
      </c>
      <c r="FK63" s="6">
        <f>SUMPRODUCT((Results!$A$2:$A$5001=Schedule!FK$45)*(Results!$B$2:$B$5001=Schedule!$A63)*(Results!$D$2:$D$5001))</f>
        <v>0</v>
      </c>
      <c r="FL63" s="6">
        <f>SUMPRODUCT((Results!$A$2:$A$5001=Schedule!FL$45)*(Results!$B$2:$B$5001=Schedule!$A63)*(Results!$D$2:$D$5001))</f>
        <v>0</v>
      </c>
      <c r="FM63" s="6">
        <f>SUMPRODUCT((Results!$A$2:$A$5001=Schedule!FM$45)*(Results!$B$2:$B$5001=Schedule!$A63)*(Results!$D$2:$D$5001))</f>
        <v>0</v>
      </c>
      <c r="FN63" s="6">
        <f>SUMPRODUCT((Results!$A$2:$A$5001=Schedule!FN$45)*(Results!$B$2:$B$5001=Schedule!$A63)*(Results!$D$2:$D$5001))</f>
        <v>0</v>
      </c>
      <c r="FO63" s="6">
        <f>SUMPRODUCT((Results!$A$2:$A$5001=Schedule!FO$45)*(Results!$B$2:$B$5001=Schedule!$A63)*(Results!$D$2:$D$5001))</f>
        <v>0</v>
      </c>
      <c r="FP63" s="6">
        <f>SUMPRODUCT((Results!$A$2:$A$5001=Schedule!FP$45)*(Results!$B$2:$B$5001=Schedule!$A63)*(Results!$D$2:$D$5001))</f>
        <v>0</v>
      </c>
      <c r="FQ63" s="6">
        <f>SUMPRODUCT((Results!$A$2:$A$5001=Schedule!FQ$45)*(Results!$B$2:$B$5001=Schedule!$A63)*(Results!$D$2:$D$5001))</f>
        <v>0</v>
      </c>
      <c r="FR63" s="6">
        <f>SUMPRODUCT((Results!$A$2:$A$5001=Schedule!FR$45)*(Results!$B$2:$B$5001=Schedule!$A63)*(Results!$D$2:$D$5001))</f>
        <v>0</v>
      </c>
      <c r="FS63" s="6">
        <f>SUMPRODUCT((Results!$A$2:$A$5001=Schedule!FS$45)*(Results!$B$2:$B$5001=Schedule!$A63)*(Results!$D$2:$D$5001))</f>
        <v>0</v>
      </c>
      <c r="FT63" s="6">
        <f>SUMPRODUCT((Results!$A$2:$A$5001=Schedule!FT$45)*(Results!$B$2:$B$5001=Schedule!$A63)*(Results!$D$2:$D$5001))</f>
        <v>0</v>
      </c>
      <c r="FU63" s="6">
        <f>SUMPRODUCT((Results!$A$2:$A$5001=Schedule!FU$45)*(Results!$B$2:$B$5001=Schedule!$A63)*(Results!$D$2:$D$5001))</f>
        <v>0</v>
      </c>
      <c r="FV63" s="6">
        <f>SUMPRODUCT((Results!$A$2:$A$5001=Schedule!FV$45)*(Results!$B$2:$B$5001=Schedule!$A63)*(Results!$D$2:$D$5001))</f>
        <v>0</v>
      </c>
      <c r="FW63" s="6">
        <f>SUMPRODUCT((Results!$A$2:$A$5001=Schedule!FW$45)*(Results!$B$2:$B$5001=Schedule!$A63)*(Results!$D$2:$D$5001))</f>
        <v>0</v>
      </c>
      <c r="FX63" s="6">
        <f>SUMPRODUCT((Results!$A$2:$A$5001=Schedule!FX$45)*(Results!$B$2:$B$5001=Schedule!$A63)*(Results!$D$2:$D$5001))</f>
        <v>0</v>
      </c>
      <c r="FY63" s="6">
        <f>SUMPRODUCT((Results!$A$2:$A$5001=Schedule!FY$45)*(Results!$B$2:$B$5001=Schedule!$A63)*(Results!$D$2:$D$5001))</f>
        <v>0</v>
      </c>
      <c r="FZ63" s="6">
        <f>SUMPRODUCT((Results!$A$2:$A$5001=Schedule!FZ$45)*(Results!$B$2:$B$5001=Schedule!$A63)*(Results!$D$2:$D$5001))</f>
        <v>0</v>
      </c>
      <c r="GA63" s="6">
        <f>SUMPRODUCT((Results!$A$2:$A$5001=Schedule!GA$45)*(Results!$B$2:$B$5001=Schedule!$A63)*(Results!$D$2:$D$5001))</f>
        <v>0</v>
      </c>
      <c r="GB63" s="6">
        <f>SUMPRODUCT((Results!$A$2:$A$5001=Schedule!GB$45)*(Results!$B$2:$B$5001=Schedule!$A63)*(Results!$D$2:$D$5001))</f>
        <v>0</v>
      </c>
      <c r="GC63" s="6">
        <f>SUMPRODUCT((Results!$A$2:$A$5001=Schedule!GC$45)*(Results!$B$2:$B$5001=Schedule!$A63)*(Results!$D$2:$D$5001))</f>
        <v>0</v>
      </c>
      <c r="GD63" s="6">
        <f>SUMPRODUCT((Results!$A$2:$A$5001=Schedule!GD$45)*(Results!$B$2:$B$5001=Schedule!$A63)*(Results!$D$2:$D$5001))</f>
        <v>0</v>
      </c>
      <c r="GE63" s="6">
        <f>SUMPRODUCT((Results!$A$2:$A$5001=Schedule!GE$45)*(Results!$B$2:$B$5001=Schedule!$A63)*(Results!$D$2:$D$5001))</f>
        <v>0</v>
      </c>
      <c r="GF63" s="6">
        <f>SUMPRODUCT((Results!$A$2:$A$5001=Schedule!GF$45)*(Results!$B$2:$B$5001=Schedule!$A63)*(Results!$D$2:$D$5001))</f>
        <v>0</v>
      </c>
      <c r="GG63" s="6">
        <f>SUMPRODUCT((Results!$A$2:$A$5001=Schedule!GG$45)*(Results!$B$2:$B$5001=Schedule!$A63)*(Results!$D$2:$D$5001))</f>
        <v>0</v>
      </c>
      <c r="GH63" s="6">
        <f>SUMPRODUCT((Results!$A$2:$A$5001=Schedule!GH$45)*(Results!$B$2:$B$5001=Schedule!$A63)*(Results!$D$2:$D$5001))</f>
        <v>0</v>
      </c>
      <c r="GI63" s="6">
        <f>SUMPRODUCT((Results!$A$2:$A$5001=Schedule!GI$45)*(Results!$B$2:$B$5001=Schedule!$A63)*(Results!$D$2:$D$5001))</f>
        <v>0</v>
      </c>
      <c r="GJ63" s="6">
        <f>SUMPRODUCT((Results!$A$2:$A$5001=Schedule!GJ$45)*(Results!$B$2:$B$5001=Schedule!$A63)*(Results!$D$2:$D$5001))</f>
        <v>0</v>
      </c>
      <c r="GK63" s="6">
        <f>SUMPRODUCT((Results!$A$2:$A$5001=Schedule!GK$45)*(Results!$B$2:$B$5001=Schedule!$A63)*(Results!$D$2:$D$5001))</f>
        <v>0</v>
      </c>
      <c r="GL63" s="6">
        <f>SUMPRODUCT((Results!$A$2:$A$5001=Schedule!GL$45)*(Results!$B$2:$B$5001=Schedule!$A63)*(Results!$D$2:$D$5001))</f>
        <v>0</v>
      </c>
      <c r="GM63" s="6">
        <f>SUMPRODUCT((Results!$A$2:$A$5001=Schedule!GM$45)*(Results!$B$2:$B$5001=Schedule!$A63)*(Results!$D$2:$D$5001))</f>
        <v>0</v>
      </c>
      <c r="GN63" s="6">
        <f>SUMPRODUCT((Results!$A$2:$A$5001=Schedule!GN$45)*(Results!$B$2:$B$5001=Schedule!$A63)*(Results!$D$2:$D$5001))</f>
        <v>0</v>
      </c>
      <c r="GO63" s="6">
        <f>SUMPRODUCT((Results!$A$2:$A$5001=Schedule!GO$45)*(Results!$B$2:$B$5001=Schedule!$A63)*(Results!$D$2:$D$5001))</f>
        <v>0</v>
      </c>
      <c r="GP63" s="6">
        <f>SUMPRODUCT((Results!$A$2:$A$5001=Schedule!GP$45)*(Results!$B$2:$B$5001=Schedule!$A63)*(Results!$D$2:$D$5001))</f>
        <v>0</v>
      </c>
      <c r="GQ63" s="6">
        <f>SUMPRODUCT((Results!$A$2:$A$5001=Schedule!GQ$45)*(Results!$B$2:$B$5001=Schedule!$A63)*(Results!$D$2:$D$5001))</f>
        <v>0</v>
      </c>
      <c r="GR63" s="6">
        <f>SUMPRODUCT((Results!$A$2:$A$5001=Schedule!GR$45)*(Results!$B$2:$B$5001=Schedule!$A63)*(Results!$D$2:$D$5001))</f>
        <v>0</v>
      </c>
      <c r="GS63" s="6">
        <f>SUMPRODUCT((Results!$A$2:$A$5001=Schedule!GS$45)*(Results!$B$2:$B$5001=Schedule!$A63)*(Results!$D$2:$D$5001))</f>
        <v>0</v>
      </c>
      <c r="GT63" s="6">
        <f>SUMPRODUCT((Results!$A$2:$A$5001=Schedule!GT$45)*(Results!$B$2:$B$5001=Schedule!$A63)*(Results!$D$2:$D$5001))</f>
        <v>0</v>
      </c>
      <c r="GU63" s="6">
        <f>SUMPRODUCT((Results!$A$2:$A$5001=Schedule!GU$45)*(Results!$B$2:$B$5001=Schedule!$A63)*(Results!$D$2:$D$5001))</f>
        <v>0</v>
      </c>
    </row>
    <row r="64" spans="1:203" ht="13.5" customHeight="1" x14ac:dyDescent="0.2">
      <c r="A64" s="40">
        <v>19</v>
      </c>
      <c r="B64" s="6">
        <f t="shared" si="17"/>
        <v>6.3500000000000001E-2</v>
      </c>
      <c r="C64" s="6">
        <f>SUMPRODUCT((Results!$A$2:$A$5001=Schedule!C$45)*(Results!$B$2:$B$5001=Schedule!$A64)*(Results!$D$2:$D$5001))</f>
        <v>6.3500000000000001E-2</v>
      </c>
      <c r="D64" s="6">
        <f>SUMPRODUCT((Results!$A$2:$A$5001=Schedule!D$45)*(Results!$B$2:$B$5001=Schedule!$A64)*(Results!$D$2:$D$5001))</f>
        <v>0</v>
      </c>
      <c r="E64" s="6">
        <f>SUMPRODUCT((Results!$A$2:$A$5001=Schedule!E$45)*(Results!$B$2:$B$5001=Schedule!$A64)*(Results!$D$2:$D$5001))</f>
        <v>0</v>
      </c>
      <c r="F64" s="6">
        <f>SUMPRODUCT((Results!$A$2:$A$5001=Schedule!F$45)*(Results!$B$2:$B$5001=Schedule!$A64)*(Results!$D$2:$D$5001))</f>
        <v>0</v>
      </c>
      <c r="G64" s="6">
        <f>SUMPRODUCT((Results!$A$2:$A$5001=Schedule!G$45)*(Results!$B$2:$B$5001=Schedule!$A64)*(Results!$D$2:$D$5001))</f>
        <v>0</v>
      </c>
      <c r="H64" s="6">
        <f>SUMPRODUCT((Results!$A$2:$A$5001=Schedule!H$45)*(Results!$B$2:$B$5001=Schedule!$A64)*(Results!$D$2:$D$5001))</f>
        <v>0</v>
      </c>
      <c r="I64" s="6">
        <f>SUMPRODUCT((Results!$A$2:$A$5001=Schedule!I$45)*(Results!$B$2:$B$5001=Schedule!$A64)*(Results!$D$2:$D$5001))</f>
        <v>0</v>
      </c>
      <c r="J64" s="6">
        <f>SUMPRODUCT((Results!$A$2:$A$5001=Schedule!J$45)*(Results!$B$2:$B$5001=Schedule!$A64)*(Results!$D$2:$D$5001))</f>
        <v>0</v>
      </c>
      <c r="K64" s="6">
        <f>SUMPRODUCT((Results!$A$2:$A$5001=Schedule!K$45)*(Results!$B$2:$B$5001=Schedule!$A64)*(Results!$D$2:$D$5001))</f>
        <v>0</v>
      </c>
      <c r="L64" s="6">
        <f>SUMPRODUCT((Results!$A$2:$A$5001=Schedule!L$45)*(Results!$B$2:$B$5001=Schedule!$A64)*(Results!$D$2:$D$5001))</f>
        <v>0</v>
      </c>
      <c r="M64" s="6">
        <f>SUMPRODUCT((Results!$A$2:$A$5001=Schedule!M$45)*(Results!$B$2:$B$5001=Schedule!$A64)*(Results!$D$2:$D$5001))</f>
        <v>0</v>
      </c>
      <c r="N64" s="6">
        <f>SUMPRODUCT((Results!$A$2:$A$5001=Schedule!N$45)*(Results!$B$2:$B$5001=Schedule!$A64)*(Results!$D$2:$D$5001))</f>
        <v>0</v>
      </c>
      <c r="O64" s="6">
        <f>SUMPRODUCT((Results!$A$2:$A$5001=Schedule!O$45)*(Results!$B$2:$B$5001=Schedule!$A64)*(Results!$D$2:$D$5001))</f>
        <v>0</v>
      </c>
      <c r="P64" s="6">
        <f>SUMPRODUCT((Results!$A$2:$A$5001=Schedule!P$45)*(Results!$B$2:$B$5001=Schedule!$A64)*(Results!$D$2:$D$5001))</f>
        <v>0</v>
      </c>
      <c r="Q64" s="6">
        <f>SUMPRODUCT((Results!$A$2:$A$5001=Schedule!Q$45)*(Results!$B$2:$B$5001=Schedule!$A64)*(Results!$D$2:$D$5001))</f>
        <v>0</v>
      </c>
      <c r="R64" s="6">
        <f>SUMPRODUCT((Results!$A$2:$A$5001=Schedule!R$45)*(Results!$B$2:$B$5001=Schedule!$A64)*(Results!$D$2:$D$5001))</f>
        <v>0</v>
      </c>
      <c r="S64" s="6">
        <f>SUMPRODUCT((Results!$A$2:$A$5001=Schedule!S$45)*(Results!$B$2:$B$5001=Schedule!$A64)*(Results!$D$2:$D$5001))</f>
        <v>0</v>
      </c>
      <c r="T64" s="6">
        <f>SUMPRODUCT((Results!$A$2:$A$5001=Schedule!T$45)*(Results!$B$2:$B$5001=Schedule!$A64)*(Results!$D$2:$D$5001))</f>
        <v>0</v>
      </c>
      <c r="U64" s="6">
        <f>SUMPRODUCT((Results!$A$2:$A$5001=Schedule!U$45)*(Results!$B$2:$B$5001=Schedule!$A64)*(Results!$D$2:$D$5001))</f>
        <v>0</v>
      </c>
      <c r="V64" s="6">
        <f>SUMPRODUCT((Results!$A$2:$A$5001=Schedule!V$45)*(Results!$B$2:$B$5001=Schedule!$A64)*(Results!$D$2:$D$5001))</f>
        <v>0</v>
      </c>
      <c r="W64" s="6">
        <f>SUMPRODUCT((Results!$A$2:$A$5001=Schedule!W$45)*(Results!$B$2:$B$5001=Schedule!$A64)*(Results!$D$2:$D$5001))</f>
        <v>0</v>
      </c>
      <c r="X64" s="6">
        <f>SUMPRODUCT((Results!$A$2:$A$5001=Schedule!X$45)*(Results!$B$2:$B$5001=Schedule!$A64)*(Results!$D$2:$D$5001))</f>
        <v>0</v>
      </c>
      <c r="Y64" s="6">
        <f>SUMPRODUCT((Results!$A$2:$A$5001=Schedule!Y$45)*(Results!$B$2:$B$5001=Schedule!$A64)*(Results!$D$2:$D$5001))</f>
        <v>0</v>
      </c>
      <c r="Z64" s="6">
        <f>SUMPRODUCT((Results!$A$2:$A$5001=Schedule!Z$45)*(Results!$B$2:$B$5001=Schedule!$A64)*(Results!$D$2:$D$5001))</f>
        <v>0</v>
      </c>
      <c r="AA64" s="6">
        <f>SUMPRODUCT((Results!$A$2:$A$5001=Schedule!AA$45)*(Results!$B$2:$B$5001=Schedule!$A64)*(Results!$D$2:$D$5001))</f>
        <v>0</v>
      </c>
      <c r="AB64" s="6">
        <f>SUMPRODUCT((Results!$A$2:$A$5001=Schedule!AB$45)*(Results!$B$2:$B$5001=Schedule!$A64)*(Results!$D$2:$D$5001))</f>
        <v>0</v>
      </c>
      <c r="AC64" s="6">
        <f>SUMPRODUCT((Results!$A$2:$A$5001=Schedule!AC$45)*(Results!$B$2:$B$5001=Schedule!$A64)*(Results!$D$2:$D$5001))</f>
        <v>0</v>
      </c>
      <c r="AD64" s="6">
        <f>SUMPRODUCT((Results!$A$2:$A$5001=Schedule!AD$45)*(Results!$B$2:$B$5001=Schedule!$A64)*(Results!$D$2:$D$5001))</f>
        <v>0</v>
      </c>
      <c r="AE64" s="6">
        <f>SUMPRODUCT((Results!$A$2:$A$5001=Schedule!AE$45)*(Results!$B$2:$B$5001=Schedule!$A64)*(Results!$D$2:$D$5001))</f>
        <v>0</v>
      </c>
      <c r="AF64" s="6">
        <f>SUMPRODUCT((Results!$A$2:$A$5001=Schedule!AF$45)*(Results!$B$2:$B$5001=Schedule!$A64)*(Results!$D$2:$D$5001))</f>
        <v>0</v>
      </c>
      <c r="AG64" s="6">
        <f>SUMPRODUCT((Results!$A$2:$A$5001=Schedule!AG$45)*(Results!$B$2:$B$5001=Schedule!$A64)*(Results!$D$2:$D$5001))</f>
        <v>0</v>
      </c>
      <c r="AH64" s="6">
        <f>SUMPRODUCT((Results!$A$2:$A$5001=Schedule!AH$45)*(Results!$B$2:$B$5001=Schedule!$A64)*(Results!$D$2:$D$5001))</f>
        <v>0</v>
      </c>
      <c r="AI64" s="6">
        <f>SUMPRODUCT((Results!$A$2:$A$5001=Schedule!AI$45)*(Results!$B$2:$B$5001=Schedule!$A64)*(Results!$D$2:$D$5001))</f>
        <v>0</v>
      </c>
      <c r="AJ64" s="6">
        <f>SUMPRODUCT((Results!$A$2:$A$5001=Schedule!AJ$45)*(Results!$B$2:$B$5001=Schedule!$A64)*(Results!$D$2:$D$5001))</f>
        <v>0</v>
      </c>
      <c r="AK64" s="6">
        <f>SUMPRODUCT((Results!$A$2:$A$5001=Schedule!AK$45)*(Results!$B$2:$B$5001=Schedule!$A64)*(Results!$D$2:$D$5001))</f>
        <v>0</v>
      </c>
      <c r="AL64" s="6">
        <f>SUMPRODUCT((Results!$A$2:$A$5001=Schedule!AL$45)*(Results!$B$2:$B$5001=Schedule!$A64)*(Results!$D$2:$D$5001))</f>
        <v>0</v>
      </c>
      <c r="AM64" s="6">
        <f>SUMPRODUCT((Results!$A$2:$A$5001=Schedule!AM$45)*(Results!$B$2:$B$5001=Schedule!$A64)*(Results!$D$2:$D$5001))</f>
        <v>0</v>
      </c>
      <c r="AN64" s="6">
        <f>SUMPRODUCT((Results!$A$2:$A$5001=Schedule!AN$45)*(Results!$B$2:$B$5001=Schedule!$A64)*(Results!$D$2:$D$5001))</f>
        <v>0</v>
      </c>
      <c r="AO64" s="6">
        <f>SUMPRODUCT((Results!$A$2:$A$5001=Schedule!AO$45)*(Results!$B$2:$B$5001=Schedule!$A64)*(Results!$D$2:$D$5001))</f>
        <v>0</v>
      </c>
      <c r="AP64" s="6">
        <f>SUMPRODUCT((Results!$A$2:$A$5001=Schedule!AP$45)*(Results!$B$2:$B$5001=Schedule!$A64)*(Results!$D$2:$D$5001))</f>
        <v>0</v>
      </c>
      <c r="AQ64" s="6">
        <f>SUMPRODUCT((Results!$A$2:$A$5001=Schedule!AQ$45)*(Results!$B$2:$B$5001=Schedule!$A64)*(Results!$D$2:$D$5001))</f>
        <v>0</v>
      </c>
      <c r="AR64" s="6">
        <f>SUMPRODUCT((Results!$A$2:$A$5001=Schedule!AR$45)*(Results!$B$2:$B$5001=Schedule!$A64)*(Results!$D$2:$D$5001))</f>
        <v>0</v>
      </c>
      <c r="AS64" s="6">
        <f>SUMPRODUCT((Results!$A$2:$A$5001=Schedule!AS$45)*(Results!$B$2:$B$5001=Schedule!$A64)*(Results!$D$2:$D$5001))</f>
        <v>0</v>
      </c>
      <c r="AT64" s="6">
        <f>SUMPRODUCT((Results!$A$2:$A$5001=Schedule!AT$45)*(Results!$B$2:$B$5001=Schedule!$A64)*(Results!$D$2:$D$5001))</f>
        <v>0</v>
      </c>
      <c r="AU64" s="6">
        <f>SUMPRODUCT((Results!$A$2:$A$5001=Schedule!AU$45)*(Results!$B$2:$B$5001=Schedule!$A64)*(Results!$D$2:$D$5001))</f>
        <v>0</v>
      </c>
      <c r="AV64" s="6">
        <f>SUMPRODUCT((Results!$A$2:$A$5001=Schedule!AV$45)*(Results!$B$2:$B$5001=Schedule!$A64)*(Results!$D$2:$D$5001))</f>
        <v>0</v>
      </c>
      <c r="AW64" s="6">
        <f>SUMPRODUCT((Results!$A$2:$A$5001=Schedule!AW$45)*(Results!$B$2:$B$5001=Schedule!$A64)*(Results!$D$2:$D$5001))</f>
        <v>0</v>
      </c>
      <c r="AX64" s="6">
        <f>SUMPRODUCT((Results!$A$2:$A$5001=Schedule!AX$45)*(Results!$B$2:$B$5001=Schedule!$A64)*(Results!$D$2:$D$5001))</f>
        <v>0</v>
      </c>
      <c r="AY64" s="6">
        <f>SUMPRODUCT((Results!$A$2:$A$5001=Schedule!AY$45)*(Results!$B$2:$B$5001=Schedule!$A64)*(Results!$D$2:$D$5001))</f>
        <v>0</v>
      </c>
      <c r="AZ64" s="6">
        <f>SUMPRODUCT((Results!$A$2:$A$5001=Schedule!AZ$45)*(Results!$B$2:$B$5001=Schedule!$A64)*(Results!$D$2:$D$5001))</f>
        <v>0</v>
      </c>
      <c r="BA64" s="6">
        <f>SUMPRODUCT((Results!$A$2:$A$5001=Schedule!BA$45)*(Results!$B$2:$B$5001=Schedule!$A64)*(Results!$D$2:$D$5001))</f>
        <v>0</v>
      </c>
      <c r="BB64" s="6">
        <f>SUMPRODUCT((Results!$A$2:$A$5001=Schedule!BB$45)*(Results!$B$2:$B$5001=Schedule!$A64)*(Results!$D$2:$D$5001))</f>
        <v>0</v>
      </c>
      <c r="BC64" s="6">
        <f>SUMPRODUCT((Results!$A$2:$A$5001=Schedule!BC$45)*(Results!$B$2:$B$5001=Schedule!$A64)*(Results!$D$2:$D$5001))</f>
        <v>0</v>
      </c>
      <c r="BD64" s="6">
        <f>SUMPRODUCT((Results!$A$2:$A$5001=Schedule!BD$45)*(Results!$B$2:$B$5001=Schedule!$A64)*(Results!$D$2:$D$5001))</f>
        <v>0</v>
      </c>
      <c r="BE64" s="6">
        <f>SUMPRODUCT((Results!$A$2:$A$5001=Schedule!BE$45)*(Results!$B$2:$B$5001=Schedule!$A64)*(Results!$D$2:$D$5001))</f>
        <v>0</v>
      </c>
      <c r="BF64" s="6">
        <f>SUMPRODUCT((Results!$A$2:$A$5001=Schedule!BF$45)*(Results!$B$2:$B$5001=Schedule!$A64)*(Results!$D$2:$D$5001))</f>
        <v>0</v>
      </c>
      <c r="BG64" s="6">
        <f>SUMPRODUCT((Results!$A$2:$A$5001=Schedule!BG$45)*(Results!$B$2:$B$5001=Schedule!$A64)*(Results!$D$2:$D$5001))</f>
        <v>0</v>
      </c>
      <c r="BH64" s="6">
        <f>SUMPRODUCT((Results!$A$2:$A$5001=Schedule!BH$45)*(Results!$B$2:$B$5001=Schedule!$A64)*(Results!$D$2:$D$5001))</f>
        <v>0</v>
      </c>
      <c r="BI64" s="6">
        <f>SUMPRODUCT((Results!$A$2:$A$5001=Schedule!BI$45)*(Results!$B$2:$B$5001=Schedule!$A64)*(Results!$D$2:$D$5001))</f>
        <v>0</v>
      </c>
      <c r="BJ64" s="6">
        <f>SUMPRODUCT((Results!$A$2:$A$5001=Schedule!BJ$45)*(Results!$B$2:$B$5001=Schedule!$A64)*(Results!$D$2:$D$5001))</f>
        <v>0</v>
      </c>
      <c r="BK64" s="6">
        <f>SUMPRODUCT((Results!$A$2:$A$5001=Schedule!BK$45)*(Results!$B$2:$B$5001=Schedule!$A64)*(Results!$D$2:$D$5001))</f>
        <v>0</v>
      </c>
      <c r="BL64" s="6">
        <f>SUMPRODUCT((Results!$A$2:$A$5001=Schedule!BL$45)*(Results!$B$2:$B$5001=Schedule!$A64)*(Results!$D$2:$D$5001))</f>
        <v>0</v>
      </c>
      <c r="BM64" s="6">
        <f>SUMPRODUCT((Results!$A$2:$A$5001=Schedule!BM$45)*(Results!$B$2:$B$5001=Schedule!$A64)*(Results!$D$2:$D$5001))</f>
        <v>0</v>
      </c>
      <c r="BN64" s="6">
        <f>SUMPRODUCT((Results!$A$2:$A$5001=Schedule!BN$45)*(Results!$B$2:$B$5001=Schedule!$A64)*(Results!$D$2:$D$5001))</f>
        <v>0</v>
      </c>
      <c r="BO64" s="6">
        <f>SUMPRODUCT((Results!$A$2:$A$5001=Schedule!BO$45)*(Results!$B$2:$B$5001=Schedule!$A64)*(Results!$D$2:$D$5001))</f>
        <v>0</v>
      </c>
      <c r="BP64" s="6">
        <f>SUMPRODUCT((Results!$A$2:$A$5001=Schedule!BP$45)*(Results!$B$2:$B$5001=Schedule!$A64)*(Results!$D$2:$D$5001))</f>
        <v>0</v>
      </c>
      <c r="BQ64" s="6">
        <f>SUMPRODUCT((Results!$A$2:$A$5001=Schedule!BQ$45)*(Results!$B$2:$B$5001=Schedule!$A64)*(Results!$D$2:$D$5001))</f>
        <v>0</v>
      </c>
      <c r="BR64" s="6">
        <f>SUMPRODUCT((Results!$A$2:$A$5001=Schedule!BR$45)*(Results!$B$2:$B$5001=Schedule!$A64)*(Results!$D$2:$D$5001))</f>
        <v>0</v>
      </c>
      <c r="BS64" s="6">
        <f>SUMPRODUCT((Results!$A$2:$A$5001=Schedule!BS$45)*(Results!$B$2:$B$5001=Schedule!$A64)*(Results!$D$2:$D$5001))</f>
        <v>0</v>
      </c>
      <c r="BT64" s="6">
        <f>SUMPRODUCT((Results!$A$2:$A$5001=Schedule!BT$45)*(Results!$B$2:$B$5001=Schedule!$A64)*(Results!$D$2:$D$5001))</f>
        <v>0</v>
      </c>
      <c r="BU64" s="6">
        <f>SUMPRODUCT((Results!$A$2:$A$5001=Schedule!BU$45)*(Results!$B$2:$B$5001=Schedule!$A64)*(Results!$D$2:$D$5001))</f>
        <v>0</v>
      </c>
      <c r="BV64" s="6">
        <f>SUMPRODUCT((Results!$A$2:$A$5001=Schedule!BV$45)*(Results!$B$2:$B$5001=Schedule!$A64)*(Results!$D$2:$D$5001))</f>
        <v>0</v>
      </c>
      <c r="BW64" s="6">
        <f>SUMPRODUCT((Results!$A$2:$A$5001=Schedule!BW$45)*(Results!$B$2:$B$5001=Schedule!$A64)*(Results!$D$2:$D$5001))</f>
        <v>0</v>
      </c>
      <c r="BX64" s="6">
        <f>SUMPRODUCT((Results!$A$2:$A$5001=Schedule!BX$45)*(Results!$B$2:$B$5001=Schedule!$A64)*(Results!$D$2:$D$5001))</f>
        <v>0</v>
      </c>
      <c r="BY64" s="6">
        <f>SUMPRODUCT((Results!$A$2:$A$5001=Schedule!BY$45)*(Results!$B$2:$B$5001=Schedule!$A64)*(Results!$D$2:$D$5001))</f>
        <v>0</v>
      </c>
      <c r="BZ64" s="6">
        <f>SUMPRODUCT((Results!$A$2:$A$5001=Schedule!BZ$45)*(Results!$B$2:$B$5001=Schedule!$A64)*(Results!$D$2:$D$5001))</f>
        <v>0</v>
      </c>
      <c r="CA64" s="6">
        <f>SUMPRODUCT((Results!$A$2:$A$5001=Schedule!CA$45)*(Results!$B$2:$B$5001=Schedule!$A64)*(Results!$D$2:$D$5001))</f>
        <v>0</v>
      </c>
      <c r="CB64" s="6">
        <f>SUMPRODUCT((Results!$A$2:$A$5001=Schedule!CB$45)*(Results!$B$2:$B$5001=Schedule!$A64)*(Results!$D$2:$D$5001))</f>
        <v>0</v>
      </c>
      <c r="CC64" s="6">
        <f>SUMPRODUCT((Results!$A$2:$A$5001=Schedule!CC$45)*(Results!$B$2:$B$5001=Schedule!$A64)*(Results!$D$2:$D$5001))</f>
        <v>0</v>
      </c>
      <c r="CD64" s="6">
        <f>SUMPRODUCT((Results!$A$2:$A$5001=Schedule!CD$45)*(Results!$B$2:$B$5001=Schedule!$A64)*(Results!$D$2:$D$5001))</f>
        <v>0</v>
      </c>
      <c r="CE64" s="6">
        <f>SUMPRODUCT((Results!$A$2:$A$5001=Schedule!CE$45)*(Results!$B$2:$B$5001=Schedule!$A64)*(Results!$D$2:$D$5001))</f>
        <v>0</v>
      </c>
      <c r="CF64" s="6">
        <f>SUMPRODUCT((Results!$A$2:$A$5001=Schedule!CF$45)*(Results!$B$2:$B$5001=Schedule!$A64)*(Results!$D$2:$D$5001))</f>
        <v>0</v>
      </c>
      <c r="CG64" s="6">
        <f>SUMPRODUCT((Results!$A$2:$A$5001=Schedule!CG$45)*(Results!$B$2:$B$5001=Schedule!$A64)*(Results!$D$2:$D$5001))</f>
        <v>0</v>
      </c>
      <c r="CH64" s="6">
        <f>SUMPRODUCT((Results!$A$2:$A$5001=Schedule!CH$45)*(Results!$B$2:$B$5001=Schedule!$A64)*(Results!$D$2:$D$5001))</f>
        <v>0</v>
      </c>
      <c r="CI64" s="6">
        <f>SUMPRODUCT((Results!$A$2:$A$5001=Schedule!CI$45)*(Results!$B$2:$B$5001=Schedule!$A64)*(Results!$D$2:$D$5001))</f>
        <v>0</v>
      </c>
      <c r="CJ64" s="6">
        <f>SUMPRODUCT((Results!$A$2:$A$5001=Schedule!CJ$45)*(Results!$B$2:$B$5001=Schedule!$A64)*(Results!$D$2:$D$5001))</f>
        <v>0</v>
      </c>
      <c r="CK64" s="6">
        <f>SUMPRODUCT((Results!$A$2:$A$5001=Schedule!CK$45)*(Results!$B$2:$B$5001=Schedule!$A64)*(Results!$D$2:$D$5001))</f>
        <v>0</v>
      </c>
      <c r="CL64" s="6">
        <f>SUMPRODUCT((Results!$A$2:$A$5001=Schedule!CL$45)*(Results!$B$2:$B$5001=Schedule!$A64)*(Results!$D$2:$D$5001))</f>
        <v>0</v>
      </c>
      <c r="CM64" s="6">
        <f>SUMPRODUCT((Results!$A$2:$A$5001=Schedule!CM$45)*(Results!$B$2:$B$5001=Schedule!$A64)*(Results!$D$2:$D$5001))</f>
        <v>0</v>
      </c>
      <c r="CN64" s="6">
        <f>SUMPRODUCT((Results!$A$2:$A$5001=Schedule!CN$45)*(Results!$B$2:$B$5001=Schedule!$A64)*(Results!$D$2:$D$5001))</f>
        <v>0</v>
      </c>
      <c r="CO64" s="6">
        <f>SUMPRODUCT((Results!$A$2:$A$5001=Schedule!CO$45)*(Results!$B$2:$B$5001=Schedule!$A64)*(Results!$D$2:$D$5001))</f>
        <v>0</v>
      </c>
      <c r="CP64" s="6">
        <f>SUMPRODUCT((Results!$A$2:$A$5001=Schedule!CP$45)*(Results!$B$2:$B$5001=Schedule!$A64)*(Results!$D$2:$D$5001))</f>
        <v>0</v>
      </c>
      <c r="CQ64" s="6">
        <f>SUMPRODUCT((Results!$A$2:$A$5001=Schedule!CQ$45)*(Results!$B$2:$B$5001=Schedule!$A64)*(Results!$D$2:$D$5001))</f>
        <v>0</v>
      </c>
      <c r="CR64" s="6">
        <f>SUMPRODUCT((Results!$A$2:$A$5001=Schedule!CR$45)*(Results!$B$2:$B$5001=Schedule!$A64)*(Results!$D$2:$D$5001))</f>
        <v>0</v>
      </c>
      <c r="CS64" s="6">
        <f>SUMPRODUCT((Results!$A$2:$A$5001=Schedule!CS$45)*(Results!$B$2:$B$5001=Schedule!$A64)*(Results!$D$2:$D$5001))</f>
        <v>0</v>
      </c>
      <c r="CT64" s="6">
        <f>SUMPRODUCT((Results!$A$2:$A$5001=Schedule!CT$45)*(Results!$B$2:$B$5001=Schedule!$A64)*(Results!$D$2:$D$5001))</f>
        <v>0</v>
      </c>
      <c r="CU64" s="6">
        <f>SUMPRODUCT((Results!$A$2:$A$5001=Schedule!CU$45)*(Results!$B$2:$B$5001=Schedule!$A64)*(Results!$D$2:$D$5001))</f>
        <v>0</v>
      </c>
      <c r="CV64" s="6">
        <f>SUMPRODUCT((Results!$A$2:$A$5001=Schedule!CV$45)*(Results!$B$2:$B$5001=Schedule!$A64)*(Results!$D$2:$D$5001))</f>
        <v>0</v>
      </c>
      <c r="CW64" s="6">
        <f>SUMPRODUCT((Results!$A$2:$A$5001=Schedule!CW$45)*(Results!$B$2:$B$5001=Schedule!$A64)*(Results!$D$2:$D$5001))</f>
        <v>0</v>
      </c>
      <c r="CX64" s="6">
        <f>SUMPRODUCT((Results!$A$2:$A$5001=Schedule!CX$45)*(Results!$B$2:$B$5001=Schedule!$A64)*(Results!$D$2:$D$5001))</f>
        <v>0</v>
      </c>
      <c r="CY64" s="6">
        <f>SUMPRODUCT((Results!$A$2:$A$5001=Schedule!CY$45)*(Results!$B$2:$B$5001=Schedule!$A64)*(Results!$D$2:$D$5001))</f>
        <v>0</v>
      </c>
      <c r="CZ64" s="6">
        <f>SUMPRODUCT((Results!$A$2:$A$5001=Schedule!CZ$45)*(Results!$B$2:$B$5001=Schedule!$A64)*(Results!$D$2:$D$5001))</f>
        <v>0</v>
      </c>
      <c r="DA64" s="6">
        <f>SUMPRODUCT((Results!$A$2:$A$5001=Schedule!DA$45)*(Results!$B$2:$B$5001=Schedule!$A64)*(Results!$D$2:$D$5001))</f>
        <v>0</v>
      </c>
      <c r="DB64" s="6">
        <f>SUMPRODUCT((Results!$A$2:$A$5001=Schedule!DB$45)*(Results!$B$2:$B$5001=Schedule!$A64)*(Results!$D$2:$D$5001))</f>
        <v>0</v>
      </c>
      <c r="DC64" s="6">
        <f>SUMPRODUCT((Results!$A$2:$A$5001=Schedule!DC$45)*(Results!$B$2:$B$5001=Schedule!$A64)*(Results!$D$2:$D$5001))</f>
        <v>0</v>
      </c>
      <c r="DD64" s="6">
        <f>SUMPRODUCT((Results!$A$2:$A$5001=Schedule!DD$45)*(Results!$B$2:$B$5001=Schedule!$A64)*(Results!$D$2:$D$5001))</f>
        <v>0</v>
      </c>
      <c r="DE64" s="6">
        <f>SUMPRODUCT((Results!$A$2:$A$5001=Schedule!DE$45)*(Results!$B$2:$B$5001=Schedule!$A64)*(Results!$D$2:$D$5001))</f>
        <v>0</v>
      </c>
      <c r="DF64" s="6">
        <f>SUMPRODUCT((Results!$A$2:$A$5001=Schedule!DF$45)*(Results!$B$2:$B$5001=Schedule!$A64)*(Results!$D$2:$D$5001))</f>
        <v>0</v>
      </c>
      <c r="DG64" s="6">
        <f>SUMPRODUCT((Results!$A$2:$A$5001=Schedule!DG$45)*(Results!$B$2:$B$5001=Schedule!$A64)*(Results!$D$2:$D$5001))</f>
        <v>0</v>
      </c>
      <c r="DH64" s="6">
        <f>SUMPRODUCT((Results!$A$2:$A$5001=Schedule!DH$45)*(Results!$B$2:$B$5001=Schedule!$A64)*(Results!$D$2:$D$5001))</f>
        <v>0</v>
      </c>
      <c r="DI64" s="6">
        <f>SUMPRODUCT((Results!$A$2:$A$5001=Schedule!DI$45)*(Results!$B$2:$B$5001=Schedule!$A64)*(Results!$D$2:$D$5001))</f>
        <v>0</v>
      </c>
      <c r="DJ64" s="6">
        <f>SUMPRODUCT((Results!$A$2:$A$5001=Schedule!DJ$45)*(Results!$B$2:$B$5001=Schedule!$A64)*(Results!$D$2:$D$5001))</f>
        <v>0</v>
      </c>
      <c r="DK64" s="6">
        <f>SUMPRODUCT((Results!$A$2:$A$5001=Schedule!DK$45)*(Results!$B$2:$B$5001=Schedule!$A64)*(Results!$D$2:$D$5001))</f>
        <v>0</v>
      </c>
      <c r="DL64" s="6">
        <f>SUMPRODUCT((Results!$A$2:$A$5001=Schedule!DL$45)*(Results!$B$2:$B$5001=Schedule!$A64)*(Results!$D$2:$D$5001))</f>
        <v>0</v>
      </c>
      <c r="DM64" s="6">
        <f>SUMPRODUCT((Results!$A$2:$A$5001=Schedule!DM$45)*(Results!$B$2:$B$5001=Schedule!$A64)*(Results!$D$2:$D$5001))</f>
        <v>0</v>
      </c>
      <c r="DN64" s="6">
        <f>SUMPRODUCT((Results!$A$2:$A$5001=Schedule!DN$45)*(Results!$B$2:$B$5001=Schedule!$A64)*(Results!$D$2:$D$5001))</f>
        <v>0</v>
      </c>
      <c r="DO64" s="6">
        <f>SUMPRODUCT((Results!$A$2:$A$5001=Schedule!DO$45)*(Results!$B$2:$B$5001=Schedule!$A64)*(Results!$D$2:$D$5001))</f>
        <v>0</v>
      </c>
      <c r="DP64" s="6">
        <f>SUMPRODUCT((Results!$A$2:$A$5001=Schedule!DP$45)*(Results!$B$2:$B$5001=Schedule!$A64)*(Results!$D$2:$D$5001))</f>
        <v>0</v>
      </c>
      <c r="DQ64" s="6">
        <f>SUMPRODUCT((Results!$A$2:$A$5001=Schedule!DQ$45)*(Results!$B$2:$B$5001=Schedule!$A64)*(Results!$D$2:$D$5001))</f>
        <v>0</v>
      </c>
      <c r="DR64" s="6">
        <f>SUMPRODUCT((Results!$A$2:$A$5001=Schedule!DR$45)*(Results!$B$2:$B$5001=Schedule!$A64)*(Results!$D$2:$D$5001))</f>
        <v>0</v>
      </c>
      <c r="DS64" s="6">
        <f>SUMPRODUCT((Results!$A$2:$A$5001=Schedule!DS$45)*(Results!$B$2:$B$5001=Schedule!$A64)*(Results!$D$2:$D$5001))</f>
        <v>0</v>
      </c>
      <c r="DT64" s="6">
        <f>SUMPRODUCT((Results!$A$2:$A$5001=Schedule!DT$45)*(Results!$B$2:$B$5001=Schedule!$A64)*(Results!$D$2:$D$5001))</f>
        <v>0</v>
      </c>
      <c r="DU64" s="6">
        <f>SUMPRODUCT((Results!$A$2:$A$5001=Schedule!DU$45)*(Results!$B$2:$B$5001=Schedule!$A64)*(Results!$D$2:$D$5001))</f>
        <v>0</v>
      </c>
      <c r="DV64" s="6">
        <f>SUMPRODUCT((Results!$A$2:$A$5001=Schedule!DV$45)*(Results!$B$2:$B$5001=Schedule!$A64)*(Results!$D$2:$D$5001))</f>
        <v>0</v>
      </c>
      <c r="DW64" s="6">
        <f>SUMPRODUCT((Results!$A$2:$A$5001=Schedule!DW$45)*(Results!$B$2:$B$5001=Schedule!$A64)*(Results!$D$2:$D$5001))</f>
        <v>0</v>
      </c>
      <c r="DX64" s="6">
        <f>SUMPRODUCT((Results!$A$2:$A$5001=Schedule!DX$45)*(Results!$B$2:$B$5001=Schedule!$A64)*(Results!$D$2:$D$5001))</f>
        <v>0</v>
      </c>
      <c r="DY64" s="6">
        <f>SUMPRODUCT((Results!$A$2:$A$5001=Schedule!DY$45)*(Results!$B$2:$B$5001=Schedule!$A64)*(Results!$D$2:$D$5001))</f>
        <v>0</v>
      </c>
      <c r="DZ64" s="6">
        <f>SUMPRODUCT((Results!$A$2:$A$5001=Schedule!DZ$45)*(Results!$B$2:$B$5001=Schedule!$A64)*(Results!$D$2:$D$5001))</f>
        <v>0</v>
      </c>
      <c r="EA64" s="6">
        <f>SUMPRODUCT((Results!$A$2:$A$5001=Schedule!EA$45)*(Results!$B$2:$B$5001=Schedule!$A64)*(Results!$D$2:$D$5001))</f>
        <v>0</v>
      </c>
      <c r="EB64" s="6">
        <f>SUMPRODUCT((Results!$A$2:$A$5001=Schedule!EB$45)*(Results!$B$2:$B$5001=Schedule!$A64)*(Results!$D$2:$D$5001))</f>
        <v>0</v>
      </c>
      <c r="EC64" s="6">
        <f>SUMPRODUCT((Results!$A$2:$A$5001=Schedule!EC$45)*(Results!$B$2:$B$5001=Schedule!$A64)*(Results!$D$2:$D$5001))</f>
        <v>0</v>
      </c>
      <c r="ED64" s="6">
        <f>SUMPRODUCT((Results!$A$2:$A$5001=Schedule!ED$45)*(Results!$B$2:$B$5001=Schedule!$A64)*(Results!$D$2:$D$5001))</f>
        <v>0</v>
      </c>
      <c r="EE64" s="6">
        <f>SUMPRODUCT((Results!$A$2:$A$5001=Schedule!EE$45)*(Results!$B$2:$B$5001=Schedule!$A64)*(Results!$D$2:$D$5001))</f>
        <v>0</v>
      </c>
      <c r="EF64" s="6">
        <f>SUMPRODUCT((Results!$A$2:$A$5001=Schedule!EF$45)*(Results!$B$2:$B$5001=Schedule!$A64)*(Results!$D$2:$D$5001))</f>
        <v>0</v>
      </c>
      <c r="EG64" s="6">
        <f>SUMPRODUCT((Results!$A$2:$A$5001=Schedule!EG$45)*(Results!$B$2:$B$5001=Schedule!$A64)*(Results!$D$2:$D$5001))</f>
        <v>0</v>
      </c>
      <c r="EH64" s="6">
        <f>SUMPRODUCT((Results!$A$2:$A$5001=Schedule!EH$45)*(Results!$B$2:$B$5001=Schedule!$A64)*(Results!$D$2:$D$5001))</f>
        <v>0</v>
      </c>
      <c r="EI64" s="6">
        <f>SUMPRODUCT((Results!$A$2:$A$5001=Schedule!EI$45)*(Results!$B$2:$B$5001=Schedule!$A64)*(Results!$D$2:$D$5001))</f>
        <v>0</v>
      </c>
      <c r="EJ64" s="6">
        <f>SUMPRODUCT((Results!$A$2:$A$5001=Schedule!EJ$45)*(Results!$B$2:$B$5001=Schedule!$A64)*(Results!$D$2:$D$5001))</f>
        <v>0</v>
      </c>
      <c r="EK64" s="6">
        <f>SUMPRODUCT((Results!$A$2:$A$5001=Schedule!EK$45)*(Results!$B$2:$B$5001=Schedule!$A64)*(Results!$D$2:$D$5001))</f>
        <v>0</v>
      </c>
      <c r="EL64" s="6">
        <f>SUMPRODUCT((Results!$A$2:$A$5001=Schedule!EL$45)*(Results!$B$2:$B$5001=Schedule!$A64)*(Results!$D$2:$D$5001))</f>
        <v>0</v>
      </c>
      <c r="EM64" s="6">
        <f>SUMPRODUCT((Results!$A$2:$A$5001=Schedule!EM$45)*(Results!$B$2:$B$5001=Schedule!$A64)*(Results!$D$2:$D$5001))</f>
        <v>0</v>
      </c>
      <c r="EN64" s="6">
        <f>SUMPRODUCT((Results!$A$2:$A$5001=Schedule!EN$45)*(Results!$B$2:$B$5001=Schedule!$A64)*(Results!$D$2:$D$5001))</f>
        <v>0</v>
      </c>
      <c r="EO64" s="6">
        <f>SUMPRODUCT((Results!$A$2:$A$5001=Schedule!EO$45)*(Results!$B$2:$B$5001=Schedule!$A64)*(Results!$D$2:$D$5001))</f>
        <v>0</v>
      </c>
      <c r="EP64" s="6">
        <f>SUMPRODUCT((Results!$A$2:$A$5001=Schedule!EP$45)*(Results!$B$2:$B$5001=Schedule!$A64)*(Results!$D$2:$D$5001))</f>
        <v>0</v>
      </c>
      <c r="EQ64" s="6">
        <f>SUMPRODUCT((Results!$A$2:$A$5001=Schedule!EQ$45)*(Results!$B$2:$B$5001=Schedule!$A64)*(Results!$D$2:$D$5001))</f>
        <v>0</v>
      </c>
      <c r="ER64" s="6">
        <f>SUMPRODUCT((Results!$A$2:$A$5001=Schedule!ER$45)*(Results!$B$2:$B$5001=Schedule!$A64)*(Results!$D$2:$D$5001))</f>
        <v>0</v>
      </c>
      <c r="ES64" s="6">
        <f>SUMPRODUCT((Results!$A$2:$A$5001=Schedule!ES$45)*(Results!$B$2:$B$5001=Schedule!$A64)*(Results!$D$2:$D$5001))</f>
        <v>0</v>
      </c>
      <c r="ET64" s="6">
        <f>SUMPRODUCT((Results!$A$2:$A$5001=Schedule!ET$45)*(Results!$B$2:$B$5001=Schedule!$A64)*(Results!$D$2:$D$5001))</f>
        <v>0</v>
      </c>
      <c r="EU64" s="6">
        <f>SUMPRODUCT((Results!$A$2:$A$5001=Schedule!EU$45)*(Results!$B$2:$B$5001=Schedule!$A64)*(Results!$D$2:$D$5001))</f>
        <v>0</v>
      </c>
      <c r="EV64" s="6">
        <f>SUMPRODUCT((Results!$A$2:$A$5001=Schedule!EV$45)*(Results!$B$2:$B$5001=Schedule!$A64)*(Results!$D$2:$D$5001))</f>
        <v>0</v>
      </c>
      <c r="EW64" s="6">
        <f>SUMPRODUCT((Results!$A$2:$A$5001=Schedule!EW$45)*(Results!$B$2:$B$5001=Schedule!$A64)*(Results!$D$2:$D$5001))</f>
        <v>0</v>
      </c>
      <c r="EX64" s="6">
        <f>SUMPRODUCT((Results!$A$2:$A$5001=Schedule!EX$45)*(Results!$B$2:$B$5001=Schedule!$A64)*(Results!$D$2:$D$5001))</f>
        <v>0</v>
      </c>
      <c r="EY64" s="6">
        <f>SUMPRODUCT((Results!$A$2:$A$5001=Schedule!EY$45)*(Results!$B$2:$B$5001=Schedule!$A64)*(Results!$D$2:$D$5001))</f>
        <v>0</v>
      </c>
      <c r="EZ64" s="6">
        <f>SUMPRODUCT((Results!$A$2:$A$5001=Schedule!EZ$45)*(Results!$B$2:$B$5001=Schedule!$A64)*(Results!$D$2:$D$5001))</f>
        <v>0</v>
      </c>
      <c r="FA64" s="6">
        <f>SUMPRODUCT((Results!$A$2:$A$5001=Schedule!FA$45)*(Results!$B$2:$B$5001=Schedule!$A64)*(Results!$D$2:$D$5001))</f>
        <v>0</v>
      </c>
      <c r="FB64" s="6">
        <f>SUMPRODUCT((Results!$A$2:$A$5001=Schedule!FB$45)*(Results!$B$2:$B$5001=Schedule!$A64)*(Results!$D$2:$D$5001))</f>
        <v>0</v>
      </c>
      <c r="FC64" s="6">
        <f>SUMPRODUCT((Results!$A$2:$A$5001=Schedule!FC$45)*(Results!$B$2:$B$5001=Schedule!$A64)*(Results!$D$2:$D$5001))</f>
        <v>0</v>
      </c>
      <c r="FD64" s="6">
        <f>SUMPRODUCT((Results!$A$2:$A$5001=Schedule!FD$45)*(Results!$B$2:$B$5001=Schedule!$A64)*(Results!$D$2:$D$5001))</f>
        <v>0</v>
      </c>
      <c r="FE64" s="6">
        <f>SUMPRODUCT((Results!$A$2:$A$5001=Schedule!FE$45)*(Results!$B$2:$B$5001=Schedule!$A64)*(Results!$D$2:$D$5001))</f>
        <v>0</v>
      </c>
      <c r="FF64" s="6">
        <f>SUMPRODUCT((Results!$A$2:$A$5001=Schedule!FF$45)*(Results!$B$2:$B$5001=Schedule!$A64)*(Results!$D$2:$D$5001))</f>
        <v>0</v>
      </c>
      <c r="FG64" s="6">
        <f>SUMPRODUCT((Results!$A$2:$A$5001=Schedule!FG$45)*(Results!$B$2:$B$5001=Schedule!$A64)*(Results!$D$2:$D$5001))</f>
        <v>0</v>
      </c>
      <c r="FH64" s="6">
        <f>SUMPRODUCT((Results!$A$2:$A$5001=Schedule!FH$45)*(Results!$B$2:$B$5001=Schedule!$A64)*(Results!$D$2:$D$5001))</f>
        <v>0</v>
      </c>
      <c r="FI64" s="6">
        <f>SUMPRODUCT((Results!$A$2:$A$5001=Schedule!FI$45)*(Results!$B$2:$B$5001=Schedule!$A64)*(Results!$D$2:$D$5001))</f>
        <v>0</v>
      </c>
      <c r="FJ64" s="6">
        <f>SUMPRODUCT((Results!$A$2:$A$5001=Schedule!FJ$45)*(Results!$B$2:$B$5001=Schedule!$A64)*(Results!$D$2:$D$5001))</f>
        <v>0</v>
      </c>
      <c r="FK64" s="6">
        <f>SUMPRODUCT((Results!$A$2:$A$5001=Schedule!FK$45)*(Results!$B$2:$B$5001=Schedule!$A64)*(Results!$D$2:$D$5001))</f>
        <v>0</v>
      </c>
      <c r="FL64" s="6">
        <f>SUMPRODUCT((Results!$A$2:$A$5001=Schedule!FL$45)*(Results!$B$2:$B$5001=Schedule!$A64)*(Results!$D$2:$D$5001))</f>
        <v>0</v>
      </c>
      <c r="FM64" s="6">
        <f>SUMPRODUCT((Results!$A$2:$A$5001=Schedule!FM$45)*(Results!$B$2:$B$5001=Schedule!$A64)*(Results!$D$2:$D$5001))</f>
        <v>0</v>
      </c>
      <c r="FN64" s="6">
        <f>SUMPRODUCT((Results!$A$2:$A$5001=Schedule!FN$45)*(Results!$B$2:$B$5001=Schedule!$A64)*(Results!$D$2:$D$5001))</f>
        <v>0</v>
      </c>
      <c r="FO64" s="6">
        <f>SUMPRODUCT((Results!$A$2:$A$5001=Schedule!FO$45)*(Results!$B$2:$B$5001=Schedule!$A64)*(Results!$D$2:$D$5001))</f>
        <v>0</v>
      </c>
      <c r="FP64" s="6">
        <f>SUMPRODUCT((Results!$A$2:$A$5001=Schedule!FP$45)*(Results!$B$2:$B$5001=Schedule!$A64)*(Results!$D$2:$D$5001))</f>
        <v>0</v>
      </c>
      <c r="FQ64" s="6">
        <f>SUMPRODUCT((Results!$A$2:$A$5001=Schedule!FQ$45)*(Results!$B$2:$B$5001=Schedule!$A64)*(Results!$D$2:$D$5001))</f>
        <v>0</v>
      </c>
      <c r="FR64" s="6">
        <f>SUMPRODUCT((Results!$A$2:$A$5001=Schedule!FR$45)*(Results!$B$2:$B$5001=Schedule!$A64)*(Results!$D$2:$D$5001))</f>
        <v>0</v>
      </c>
      <c r="FS64" s="6">
        <f>SUMPRODUCT((Results!$A$2:$A$5001=Schedule!FS$45)*(Results!$B$2:$B$5001=Schedule!$A64)*(Results!$D$2:$D$5001))</f>
        <v>0</v>
      </c>
      <c r="FT64" s="6">
        <f>SUMPRODUCT((Results!$A$2:$A$5001=Schedule!FT$45)*(Results!$B$2:$B$5001=Schedule!$A64)*(Results!$D$2:$D$5001))</f>
        <v>0</v>
      </c>
      <c r="FU64" s="6">
        <f>SUMPRODUCT((Results!$A$2:$A$5001=Schedule!FU$45)*(Results!$B$2:$B$5001=Schedule!$A64)*(Results!$D$2:$D$5001))</f>
        <v>0</v>
      </c>
      <c r="FV64" s="6">
        <f>SUMPRODUCT((Results!$A$2:$A$5001=Schedule!FV$45)*(Results!$B$2:$B$5001=Schedule!$A64)*(Results!$D$2:$D$5001))</f>
        <v>0</v>
      </c>
      <c r="FW64" s="6">
        <f>SUMPRODUCT((Results!$A$2:$A$5001=Schedule!FW$45)*(Results!$B$2:$B$5001=Schedule!$A64)*(Results!$D$2:$D$5001))</f>
        <v>0</v>
      </c>
      <c r="FX64" s="6">
        <f>SUMPRODUCT((Results!$A$2:$A$5001=Schedule!FX$45)*(Results!$B$2:$B$5001=Schedule!$A64)*(Results!$D$2:$D$5001))</f>
        <v>0</v>
      </c>
      <c r="FY64" s="6">
        <f>SUMPRODUCT((Results!$A$2:$A$5001=Schedule!FY$45)*(Results!$B$2:$B$5001=Schedule!$A64)*(Results!$D$2:$D$5001))</f>
        <v>0</v>
      </c>
      <c r="FZ64" s="6">
        <f>SUMPRODUCT((Results!$A$2:$A$5001=Schedule!FZ$45)*(Results!$B$2:$B$5001=Schedule!$A64)*(Results!$D$2:$D$5001))</f>
        <v>0</v>
      </c>
      <c r="GA64" s="6">
        <f>SUMPRODUCT((Results!$A$2:$A$5001=Schedule!GA$45)*(Results!$B$2:$B$5001=Schedule!$A64)*(Results!$D$2:$D$5001))</f>
        <v>0</v>
      </c>
      <c r="GB64" s="6">
        <f>SUMPRODUCT((Results!$A$2:$A$5001=Schedule!GB$45)*(Results!$B$2:$B$5001=Schedule!$A64)*(Results!$D$2:$D$5001))</f>
        <v>0</v>
      </c>
      <c r="GC64" s="6">
        <f>SUMPRODUCT((Results!$A$2:$A$5001=Schedule!GC$45)*(Results!$B$2:$B$5001=Schedule!$A64)*(Results!$D$2:$D$5001))</f>
        <v>0</v>
      </c>
      <c r="GD64" s="6">
        <f>SUMPRODUCT((Results!$A$2:$A$5001=Schedule!GD$45)*(Results!$B$2:$B$5001=Schedule!$A64)*(Results!$D$2:$D$5001))</f>
        <v>0</v>
      </c>
      <c r="GE64" s="6">
        <f>SUMPRODUCT((Results!$A$2:$A$5001=Schedule!GE$45)*(Results!$B$2:$B$5001=Schedule!$A64)*(Results!$D$2:$D$5001))</f>
        <v>0</v>
      </c>
      <c r="GF64" s="6">
        <f>SUMPRODUCT((Results!$A$2:$A$5001=Schedule!GF$45)*(Results!$B$2:$B$5001=Schedule!$A64)*(Results!$D$2:$D$5001))</f>
        <v>0</v>
      </c>
      <c r="GG64" s="6">
        <f>SUMPRODUCT((Results!$A$2:$A$5001=Schedule!GG$45)*(Results!$B$2:$B$5001=Schedule!$A64)*(Results!$D$2:$D$5001))</f>
        <v>0</v>
      </c>
      <c r="GH64" s="6">
        <f>SUMPRODUCT((Results!$A$2:$A$5001=Schedule!GH$45)*(Results!$B$2:$B$5001=Schedule!$A64)*(Results!$D$2:$D$5001))</f>
        <v>0</v>
      </c>
      <c r="GI64" s="6">
        <f>SUMPRODUCT((Results!$A$2:$A$5001=Schedule!GI$45)*(Results!$B$2:$B$5001=Schedule!$A64)*(Results!$D$2:$D$5001))</f>
        <v>0</v>
      </c>
      <c r="GJ64" s="6">
        <f>SUMPRODUCT((Results!$A$2:$A$5001=Schedule!GJ$45)*(Results!$B$2:$B$5001=Schedule!$A64)*(Results!$D$2:$D$5001))</f>
        <v>0</v>
      </c>
      <c r="GK64" s="6">
        <f>SUMPRODUCT((Results!$A$2:$A$5001=Schedule!GK$45)*(Results!$B$2:$B$5001=Schedule!$A64)*(Results!$D$2:$D$5001))</f>
        <v>0</v>
      </c>
      <c r="GL64" s="6">
        <f>SUMPRODUCT((Results!$A$2:$A$5001=Schedule!GL$45)*(Results!$B$2:$B$5001=Schedule!$A64)*(Results!$D$2:$D$5001))</f>
        <v>0</v>
      </c>
      <c r="GM64" s="6">
        <f>SUMPRODUCT((Results!$A$2:$A$5001=Schedule!GM$45)*(Results!$B$2:$B$5001=Schedule!$A64)*(Results!$D$2:$D$5001))</f>
        <v>0</v>
      </c>
      <c r="GN64" s="6">
        <f>SUMPRODUCT((Results!$A$2:$A$5001=Schedule!GN$45)*(Results!$B$2:$B$5001=Schedule!$A64)*(Results!$D$2:$D$5001))</f>
        <v>0</v>
      </c>
      <c r="GO64" s="6">
        <f>SUMPRODUCT((Results!$A$2:$A$5001=Schedule!GO$45)*(Results!$B$2:$B$5001=Schedule!$A64)*(Results!$D$2:$D$5001))</f>
        <v>0</v>
      </c>
      <c r="GP64" s="6">
        <f>SUMPRODUCT((Results!$A$2:$A$5001=Schedule!GP$45)*(Results!$B$2:$B$5001=Schedule!$A64)*(Results!$D$2:$D$5001))</f>
        <v>0</v>
      </c>
      <c r="GQ64" s="6">
        <f>SUMPRODUCT((Results!$A$2:$A$5001=Schedule!GQ$45)*(Results!$B$2:$B$5001=Schedule!$A64)*(Results!$D$2:$D$5001))</f>
        <v>0</v>
      </c>
      <c r="GR64" s="6">
        <f>SUMPRODUCT((Results!$A$2:$A$5001=Schedule!GR$45)*(Results!$B$2:$B$5001=Schedule!$A64)*(Results!$D$2:$D$5001))</f>
        <v>0</v>
      </c>
      <c r="GS64" s="6">
        <f>SUMPRODUCT((Results!$A$2:$A$5001=Schedule!GS$45)*(Results!$B$2:$B$5001=Schedule!$A64)*(Results!$D$2:$D$5001))</f>
        <v>0</v>
      </c>
      <c r="GT64" s="6">
        <f>SUMPRODUCT((Results!$A$2:$A$5001=Schedule!GT$45)*(Results!$B$2:$B$5001=Schedule!$A64)*(Results!$D$2:$D$5001))</f>
        <v>0</v>
      </c>
      <c r="GU64" s="6">
        <f>SUMPRODUCT((Results!$A$2:$A$5001=Schedule!GU$45)*(Results!$B$2:$B$5001=Schedule!$A64)*(Results!$D$2:$D$5001))</f>
        <v>0</v>
      </c>
    </row>
    <row r="65" spans="1:204" ht="13.5" customHeight="1" x14ac:dyDescent="0.2">
      <c r="A65" s="40">
        <v>20</v>
      </c>
      <c r="B65" s="6">
        <f t="shared" si="17"/>
        <v>14.627299999999998</v>
      </c>
      <c r="C65" s="6">
        <f>SUMPRODUCT((Results!$A$2:$A$5001=Schedule!C$45)*(Results!$B$2:$B$5001=Schedule!$A65)*(Results!$D$2:$D$5001))</f>
        <v>5.6599999999999998E-2</v>
      </c>
      <c r="D65" s="6">
        <f>SUMPRODUCT((Results!$A$2:$A$5001=Schedule!D$45)*(Results!$B$2:$B$5001=Schedule!$A65)*(Results!$D$2:$D$5001))</f>
        <v>0</v>
      </c>
      <c r="E65" s="6">
        <f>SUMPRODUCT((Results!$A$2:$A$5001=Schedule!E$45)*(Results!$B$2:$B$5001=Schedule!$A65)*(Results!$D$2:$D$5001))</f>
        <v>0</v>
      </c>
      <c r="F65" s="6">
        <f>SUMPRODUCT((Results!$A$2:$A$5001=Schedule!F$45)*(Results!$B$2:$B$5001=Schedule!$A65)*(Results!$D$2:$D$5001))</f>
        <v>12.192299999999999</v>
      </c>
      <c r="G65" s="6">
        <f>SUMPRODUCT((Results!$A$2:$A$5001=Schedule!G$45)*(Results!$B$2:$B$5001=Schedule!$A65)*(Results!$D$2:$D$5001))</f>
        <v>2.3784000000000001</v>
      </c>
      <c r="H65" s="6">
        <f>SUMPRODUCT((Results!$A$2:$A$5001=Schedule!H$45)*(Results!$B$2:$B$5001=Schedule!$A65)*(Results!$D$2:$D$5001))</f>
        <v>0</v>
      </c>
      <c r="I65" s="6">
        <f>SUMPRODUCT((Results!$A$2:$A$5001=Schedule!I$45)*(Results!$B$2:$B$5001=Schedule!$A65)*(Results!$D$2:$D$5001))</f>
        <v>0</v>
      </c>
      <c r="J65" s="6">
        <f>SUMPRODUCT((Results!$A$2:$A$5001=Schedule!J$45)*(Results!$B$2:$B$5001=Schedule!$A65)*(Results!$D$2:$D$5001))</f>
        <v>0</v>
      </c>
      <c r="K65" s="6">
        <f>SUMPRODUCT((Results!$A$2:$A$5001=Schedule!K$45)*(Results!$B$2:$B$5001=Schedule!$A65)*(Results!$D$2:$D$5001))</f>
        <v>0</v>
      </c>
      <c r="L65" s="6">
        <f>SUMPRODUCT((Results!$A$2:$A$5001=Schedule!L$45)*(Results!$B$2:$B$5001=Schedule!$A65)*(Results!$D$2:$D$5001))</f>
        <v>0</v>
      </c>
      <c r="M65" s="6">
        <f>SUMPRODUCT((Results!$A$2:$A$5001=Schedule!M$45)*(Results!$B$2:$B$5001=Schedule!$A65)*(Results!$D$2:$D$5001))</f>
        <v>0</v>
      </c>
      <c r="N65" s="6">
        <f>SUMPRODUCT((Results!$A$2:$A$5001=Schedule!N$45)*(Results!$B$2:$B$5001=Schedule!$A65)*(Results!$D$2:$D$5001))</f>
        <v>0</v>
      </c>
      <c r="O65" s="6">
        <f>SUMPRODUCT((Results!$A$2:$A$5001=Schedule!O$45)*(Results!$B$2:$B$5001=Schedule!$A65)*(Results!$D$2:$D$5001))</f>
        <v>0</v>
      </c>
      <c r="P65" s="6">
        <f>SUMPRODUCT((Results!$A$2:$A$5001=Schedule!P$45)*(Results!$B$2:$B$5001=Schedule!$A65)*(Results!$D$2:$D$5001))</f>
        <v>0</v>
      </c>
      <c r="Q65" s="6">
        <f>SUMPRODUCT((Results!$A$2:$A$5001=Schedule!Q$45)*(Results!$B$2:$B$5001=Schedule!$A65)*(Results!$D$2:$D$5001))</f>
        <v>0</v>
      </c>
      <c r="R65" s="6">
        <f>SUMPRODUCT((Results!$A$2:$A$5001=Schedule!R$45)*(Results!$B$2:$B$5001=Schedule!$A65)*(Results!$D$2:$D$5001))</f>
        <v>0</v>
      </c>
      <c r="S65" s="6">
        <f>SUMPRODUCT((Results!$A$2:$A$5001=Schedule!S$45)*(Results!$B$2:$B$5001=Schedule!$A65)*(Results!$D$2:$D$5001))</f>
        <v>0</v>
      </c>
      <c r="T65" s="6">
        <f>SUMPRODUCT((Results!$A$2:$A$5001=Schedule!T$45)*(Results!$B$2:$B$5001=Schedule!$A65)*(Results!$D$2:$D$5001))</f>
        <v>0</v>
      </c>
      <c r="U65" s="6">
        <f>SUMPRODUCT((Results!$A$2:$A$5001=Schedule!U$45)*(Results!$B$2:$B$5001=Schedule!$A65)*(Results!$D$2:$D$5001))</f>
        <v>0</v>
      </c>
      <c r="V65" s="6">
        <f>SUMPRODUCT((Results!$A$2:$A$5001=Schedule!V$45)*(Results!$B$2:$B$5001=Schedule!$A65)*(Results!$D$2:$D$5001))</f>
        <v>0</v>
      </c>
      <c r="W65" s="6">
        <f>SUMPRODUCT((Results!$A$2:$A$5001=Schedule!W$45)*(Results!$B$2:$B$5001=Schedule!$A65)*(Results!$D$2:$D$5001))</f>
        <v>0</v>
      </c>
      <c r="X65" s="6">
        <f>SUMPRODUCT((Results!$A$2:$A$5001=Schedule!X$45)*(Results!$B$2:$B$5001=Schedule!$A65)*(Results!$D$2:$D$5001))</f>
        <v>0</v>
      </c>
      <c r="Y65" s="6">
        <f>SUMPRODUCT((Results!$A$2:$A$5001=Schedule!Y$45)*(Results!$B$2:$B$5001=Schedule!$A65)*(Results!$D$2:$D$5001))</f>
        <v>0</v>
      </c>
      <c r="Z65" s="6">
        <f>SUMPRODUCT((Results!$A$2:$A$5001=Schedule!Z$45)*(Results!$B$2:$B$5001=Schedule!$A65)*(Results!$D$2:$D$5001))</f>
        <v>0</v>
      </c>
      <c r="AA65" s="6">
        <f>SUMPRODUCT((Results!$A$2:$A$5001=Schedule!AA$45)*(Results!$B$2:$B$5001=Schedule!$A65)*(Results!$D$2:$D$5001))</f>
        <v>0</v>
      </c>
      <c r="AB65" s="6">
        <f>SUMPRODUCT((Results!$A$2:$A$5001=Schedule!AB$45)*(Results!$B$2:$B$5001=Schedule!$A65)*(Results!$D$2:$D$5001))</f>
        <v>0</v>
      </c>
      <c r="AC65" s="6">
        <f>SUMPRODUCT((Results!$A$2:$A$5001=Schedule!AC$45)*(Results!$B$2:$B$5001=Schedule!$A65)*(Results!$D$2:$D$5001))</f>
        <v>0</v>
      </c>
      <c r="AD65" s="6">
        <f>SUMPRODUCT((Results!$A$2:$A$5001=Schedule!AD$45)*(Results!$B$2:$B$5001=Schedule!$A65)*(Results!$D$2:$D$5001))</f>
        <v>0</v>
      </c>
      <c r="AE65" s="6">
        <f>SUMPRODUCT((Results!$A$2:$A$5001=Schedule!AE$45)*(Results!$B$2:$B$5001=Schedule!$A65)*(Results!$D$2:$D$5001))</f>
        <v>0</v>
      </c>
      <c r="AF65" s="6">
        <f>SUMPRODUCT((Results!$A$2:$A$5001=Schedule!AF$45)*(Results!$B$2:$B$5001=Schedule!$A65)*(Results!$D$2:$D$5001))</f>
        <v>0</v>
      </c>
      <c r="AG65" s="6">
        <f>SUMPRODUCT((Results!$A$2:$A$5001=Schedule!AG$45)*(Results!$B$2:$B$5001=Schedule!$A65)*(Results!$D$2:$D$5001))</f>
        <v>0</v>
      </c>
      <c r="AH65" s="6">
        <f>SUMPRODUCT((Results!$A$2:$A$5001=Schedule!AH$45)*(Results!$B$2:$B$5001=Schedule!$A65)*(Results!$D$2:$D$5001))</f>
        <v>0</v>
      </c>
      <c r="AI65" s="6">
        <f>SUMPRODUCT((Results!$A$2:$A$5001=Schedule!AI$45)*(Results!$B$2:$B$5001=Schedule!$A65)*(Results!$D$2:$D$5001))</f>
        <v>0</v>
      </c>
      <c r="AJ65" s="6">
        <f>SUMPRODUCT((Results!$A$2:$A$5001=Schedule!AJ$45)*(Results!$B$2:$B$5001=Schedule!$A65)*(Results!$D$2:$D$5001))</f>
        <v>0</v>
      </c>
      <c r="AK65" s="6">
        <f>SUMPRODUCT((Results!$A$2:$A$5001=Schedule!AK$45)*(Results!$B$2:$B$5001=Schedule!$A65)*(Results!$D$2:$D$5001))</f>
        <v>0</v>
      </c>
      <c r="AL65" s="6">
        <f>SUMPRODUCT((Results!$A$2:$A$5001=Schedule!AL$45)*(Results!$B$2:$B$5001=Schedule!$A65)*(Results!$D$2:$D$5001))</f>
        <v>0</v>
      </c>
      <c r="AM65" s="6">
        <f>SUMPRODUCT((Results!$A$2:$A$5001=Schedule!AM$45)*(Results!$B$2:$B$5001=Schedule!$A65)*(Results!$D$2:$D$5001))</f>
        <v>0</v>
      </c>
      <c r="AN65" s="6">
        <f>SUMPRODUCT((Results!$A$2:$A$5001=Schedule!AN$45)*(Results!$B$2:$B$5001=Schedule!$A65)*(Results!$D$2:$D$5001))</f>
        <v>0</v>
      </c>
      <c r="AO65" s="6">
        <f>SUMPRODUCT((Results!$A$2:$A$5001=Schedule!AO$45)*(Results!$B$2:$B$5001=Schedule!$A65)*(Results!$D$2:$D$5001))</f>
        <v>0</v>
      </c>
      <c r="AP65" s="6">
        <f>SUMPRODUCT((Results!$A$2:$A$5001=Schedule!AP$45)*(Results!$B$2:$B$5001=Schedule!$A65)*(Results!$D$2:$D$5001))</f>
        <v>0</v>
      </c>
      <c r="AQ65" s="6">
        <f>SUMPRODUCT((Results!$A$2:$A$5001=Schedule!AQ$45)*(Results!$B$2:$B$5001=Schedule!$A65)*(Results!$D$2:$D$5001))</f>
        <v>0</v>
      </c>
      <c r="AR65" s="6">
        <f>SUMPRODUCT((Results!$A$2:$A$5001=Schedule!AR$45)*(Results!$B$2:$B$5001=Schedule!$A65)*(Results!$D$2:$D$5001))</f>
        <v>0</v>
      </c>
      <c r="AS65" s="6">
        <f>SUMPRODUCT((Results!$A$2:$A$5001=Schedule!AS$45)*(Results!$B$2:$B$5001=Schedule!$A65)*(Results!$D$2:$D$5001))</f>
        <v>0</v>
      </c>
      <c r="AT65" s="6">
        <f>SUMPRODUCT((Results!$A$2:$A$5001=Schedule!AT$45)*(Results!$B$2:$B$5001=Schedule!$A65)*(Results!$D$2:$D$5001))</f>
        <v>0</v>
      </c>
      <c r="AU65" s="6">
        <f>SUMPRODUCT((Results!$A$2:$A$5001=Schedule!AU$45)*(Results!$B$2:$B$5001=Schedule!$A65)*(Results!$D$2:$D$5001))</f>
        <v>0</v>
      </c>
      <c r="AV65" s="6">
        <f>SUMPRODUCT((Results!$A$2:$A$5001=Schedule!AV$45)*(Results!$B$2:$B$5001=Schedule!$A65)*(Results!$D$2:$D$5001))</f>
        <v>0</v>
      </c>
      <c r="AW65" s="6">
        <f>SUMPRODUCT((Results!$A$2:$A$5001=Schedule!AW$45)*(Results!$B$2:$B$5001=Schedule!$A65)*(Results!$D$2:$D$5001))</f>
        <v>0</v>
      </c>
      <c r="AX65" s="6">
        <f>SUMPRODUCT((Results!$A$2:$A$5001=Schedule!AX$45)*(Results!$B$2:$B$5001=Schedule!$A65)*(Results!$D$2:$D$5001))</f>
        <v>0</v>
      </c>
      <c r="AY65" s="6">
        <f>SUMPRODUCT((Results!$A$2:$A$5001=Schedule!AY$45)*(Results!$B$2:$B$5001=Schedule!$A65)*(Results!$D$2:$D$5001))</f>
        <v>0</v>
      </c>
      <c r="AZ65" s="6">
        <f>SUMPRODUCT((Results!$A$2:$A$5001=Schedule!AZ$45)*(Results!$B$2:$B$5001=Schedule!$A65)*(Results!$D$2:$D$5001))</f>
        <v>0</v>
      </c>
      <c r="BA65" s="6">
        <f>SUMPRODUCT((Results!$A$2:$A$5001=Schedule!BA$45)*(Results!$B$2:$B$5001=Schedule!$A65)*(Results!$D$2:$D$5001))</f>
        <v>0</v>
      </c>
      <c r="BB65" s="6">
        <f>SUMPRODUCT((Results!$A$2:$A$5001=Schedule!BB$45)*(Results!$B$2:$B$5001=Schedule!$A65)*(Results!$D$2:$D$5001))</f>
        <v>0</v>
      </c>
      <c r="BC65" s="6">
        <f>SUMPRODUCT((Results!$A$2:$A$5001=Schedule!BC$45)*(Results!$B$2:$B$5001=Schedule!$A65)*(Results!$D$2:$D$5001))</f>
        <v>0</v>
      </c>
      <c r="BD65" s="6">
        <f>SUMPRODUCT((Results!$A$2:$A$5001=Schedule!BD$45)*(Results!$B$2:$B$5001=Schedule!$A65)*(Results!$D$2:$D$5001))</f>
        <v>0</v>
      </c>
      <c r="BE65" s="6">
        <f>SUMPRODUCT((Results!$A$2:$A$5001=Schedule!BE$45)*(Results!$B$2:$B$5001=Schedule!$A65)*(Results!$D$2:$D$5001))</f>
        <v>0</v>
      </c>
      <c r="BF65" s="6">
        <f>SUMPRODUCT((Results!$A$2:$A$5001=Schedule!BF$45)*(Results!$B$2:$B$5001=Schedule!$A65)*(Results!$D$2:$D$5001))</f>
        <v>0</v>
      </c>
      <c r="BG65" s="6">
        <f>SUMPRODUCT((Results!$A$2:$A$5001=Schedule!BG$45)*(Results!$B$2:$B$5001=Schedule!$A65)*(Results!$D$2:$D$5001))</f>
        <v>0</v>
      </c>
      <c r="BH65" s="6">
        <f>SUMPRODUCT((Results!$A$2:$A$5001=Schedule!BH$45)*(Results!$B$2:$B$5001=Schedule!$A65)*(Results!$D$2:$D$5001))</f>
        <v>0</v>
      </c>
      <c r="BI65" s="6">
        <f>SUMPRODUCT((Results!$A$2:$A$5001=Schedule!BI$45)*(Results!$B$2:$B$5001=Schedule!$A65)*(Results!$D$2:$D$5001))</f>
        <v>0</v>
      </c>
      <c r="BJ65" s="6">
        <f>SUMPRODUCT((Results!$A$2:$A$5001=Schedule!BJ$45)*(Results!$B$2:$B$5001=Schedule!$A65)*(Results!$D$2:$D$5001))</f>
        <v>0</v>
      </c>
      <c r="BK65" s="6">
        <f>SUMPRODUCT((Results!$A$2:$A$5001=Schedule!BK$45)*(Results!$B$2:$B$5001=Schedule!$A65)*(Results!$D$2:$D$5001))</f>
        <v>0</v>
      </c>
      <c r="BL65" s="6">
        <f>SUMPRODUCT((Results!$A$2:$A$5001=Schedule!BL$45)*(Results!$B$2:$B$5001=Schedule!$A65)*(Results!$D$2:$D$5001))</f>
        <v>0</v>
      </c>
      <c r="BM65" s="6">
        <f>SUMPRODUCT((Results!$A$2:$A$5001=Schedule!BM$45)*(Results!$B$2:$B$5001=Schedule!$A65)*(Results!$D$2:$D$5001))</f>
        <v>0</v>
      </c>
      <c r="BN65" s="6">
        <f>SUMPRODUCT((Results!$A$2:$A$5001=Schedule!BN$45)*(Results!$B$2:$B$5001=Schedule!$A65)*(Results!$D$2:$D$5001))</f>
        <v>0</v>
      </c>
      <c r="BO65" s="6">
        <f>SUMPRODUCT((Results!$A$2:$A$5001=Schedule!BO$45)*(Results!$B$2:$B$5001=Schedule!$A65)*(Results!$D$2:$D$5001))</f>
        <v>0</v>
      </c>
      <c r="BP65" s="6">
        <f>SUMPRODUCT((Results!$A$2:$A$5001=Schedule!BP$45)*(Results!$B$2:$B$5001=Schedule!$A65)*(Results!$D$2:$D$5001))</f>
        <v>0</v>
      </c>
      <c r="BQ65" s="6">
        <f>SUMPRODUCT((Results!$A$2:$A$5001=Schedule!BQ$45)*(Results!$B$2:$B$5001=Schedule!$A65)*(Results!$D$2:$D$5001))</f>
        <v>0</v>
      </c>
      <c r="BR65" s="6">
        <f>SUMPRODUCT((Results!$A$2:$A$5001=Schedule!BR$45)*(Results!$B$2:$B$5001=Schedule!$A65)*(Results!$D$2:$D$5001))</f>
        <v>0</v>
      </c>
      <c r="BS65" s="6">
        <f>SUMPRODUCT((Results!$A$2:$A$5001=Schedule!BS$45)*(Results!$B$2:$B$5001=Schedule!$A65)*(Results!$D$2:$D$5001))</f>
        <v>0</v>
      </c>
      <c r="BT65" s="6">
        <f>SUMPRODUCT((Results!$A$2:$A$5001=Schedule!BT$45)*(Results!$B$2:$B$5001=Schedule!$A65)*(Results!$D$2:$D$5001))</f>
        <v>0</v>
      </c>
      <c r="BU65" s="6">
        <f>SUMPRODUCT((Results!$A$2:$A$5001=Schedule!BU$45)*(Results!$B$2:$B$5001=Schedule!$A65)*(Results!$D$2:$D$5001))</f>
        <v>0</v>
      </c>
      <c r="BV65" s="6">
        <f>SUMPRODUCT((Results!$A$2:$A$5001=Schedule!BV$45)*(Results!$B$2:$B$5001=Schedule!$A65)*(Results!$D$2:$D$5001))</f>
        <v>0</v>
      </c>
      <c r="BW65" s="6">
        <f>SUMPRODUCT((Results!$A$2:$A$5001=Schedule!BW$45)*(Results!$B$2:$B$5001=Schedule!$A65)*(Results!$D$2:$D$5001))</f>
        <v>0</v>
      </c>
      <c r="BX65" s="6">
        <f>SUMPRODUCT((Results!$A$2:$A$5001=Schedule!BX$45)*(Results!$B$2:$B$5001=Schedule!$A65)*(Results!$D$2:$D$5001))</f>
        <v>0</v>
      </c>
      <c r="BY65" s="6">
        <f>SUMPRODUCT((Results!$A$2:$A$5001=Schedule!BY$45)*(Results!$B$2:$B$5001=Schedule!$A65)*(Results!$D$2:$D$5001))</f>
        <v>0</v>
      </c>
      <c r="BZ65" s="6">
        <f>SUMPRODUCT((Results!$A$2:$A$5001=Schedule!BZ$45)*(Results!$B$2:$B$5001=Schedule!$A65)*(Results!$D$2:$D$5001))</f>
        <v>0</v>
      </c>
      <c r="CA65" s="6">
        <f>SUMPRODUCT((Results!$A$2:$A$5001=Schedule!CA$45)*(Results!$B$2:$B$5001=Schedule!$A65)*(Results!$D$2:$D$5001))</f>
        <v>0</v>
      </c>
      <c r="CB65" s="6">
        <f>SUMPRODUCT((Results!$A$2:$A$5001=Schedule!CB$45)*(Results!$B$2:$B$5001=Schedule!$A65)*(Results!$D$2:$D$5001))</f>
        <v>0</v>
      </c>
      <c r="CC65" s="6">
        <f>SUMPRODUCT((Results!$A$2:$A$5001=Schedule!CC$45)*(Results!$B$2:$B$5001=Schedule!$A65)*(Results!$D$2:$D$5001))</f>
        <v>0</v>
      </c>
      <c r="CD65" s="6">
        <f>SUMPRODUCT((Results!$A$2:$A$5001=Schedule!CD$45)*(Results!$B$2:$B$5001=Schedule!$A65)*(Results!$D$2:$D$5001))</f>
        <v>0</v>
      </c>
      <c r="CE65" s="6">
        <f>SUMPRODUCT((Results!$A$2:$A$5001=Schedule!CE$45)*(Results!$B$2:$B$5001=Schedule!$A65)*(Results!$D$2:$D$5001))</f>
        <v>0</v>
      </c>
      <c r="CF65" s="6">
        <f>SUMPRODUCT((Results!$A$2:$A$5001=Schedule!CF$45)*(Results!$B$2:$B$5001=Schedule!$A65)*(Results!$D$2:$D$5001))</f>
        <v>0</v>
      </c>
      <c r="CG65" s="6">
        <f>SUMPRODUCT((Results!$A$2:$A$5001=Schedule!CG$45)*(Results!$B$2:$B$5001=Schedule!$A65)*(Results!$D$2:$D$5001))</f>
        <v>0</v>
      </c>
      <c r="CH65" s="6">
        <f>SUMPRODUCT((Results!$A$2:$A$5001=Schedule!CH$45)*(Results!$B$2:$B$5001=Schedule!$A65)*(Results!$D$2:$D$5001))</f>
        <v>0</v>
      </c>
      <c r="CI65" s="6">
        <f>SUMPRODUCT((Results!$A$2:$A$5001=Schedule!CI$45)*(Results!$B$2:$B$5001=Schedule!$A65)*(Results!$D$2:$D$5001))</f>
        <v>0</v>
      </c>
      <c r="CJ65" s="6">
        <f>SUMPRODUCT((Results!$A$2:$A$5001=Schedule!CJ$45)*(Results!$B$2:$B$5001=Schedule!$A65)*(Results!$D$2:$D$5001))</f>
        <v>0</v>
      </c>
      <c r="CK65" s="6">
        <f>SUMPRODUCT((Results!$A$2:$A$5001=Schedule!CK$45)*(Results!$B$2:$B$5001=Schedule!$A65)*(Results!$D$2:$D$5001))</f>
        <v>0</v>
      </c>
      <c r="CL65" s="6">
        <f>SUMPRODUCT((Results!$A$2:$A$5001=Schedule!CL$45)*(Results!$B$2:$B$5001=Schedule!$A65)*(Results!$D$2:$D$5001))</f>
        <v>0</v>
      </c>
      <c r="CM65" s="6">
        <f>SUMPRODUCT((Results!$A$2:$A$5001=Schedule!CM$45)*(Results!$B$2:$B$5001=Schedule!$A65)*(Results!$D$2:$D$5001))</f>
        <v>0</v>
      </c>
      <c r="CN65" s="6">
        <f>SUMPRODUCT((Results!$A$2:$A$5001=Schedule!CN$45)*(Results!$B$2:$B$5001=Schedule!$A65)*(Results!$D$2:$D$5001))</f>
        <v>0</v>
      </c>
      <c r="CO65" s="6">
        <f>SUMPRODUCT((Results!$A$2:$A$5001=Schedule!CO$45)*(Results!$B$2:$B$5001=Schedule!$A65)*(Results!$D$2:$D$5001))</f>
        <v>0</v>
      </c>
      <c r="CP65" s="6">
        <f>SUMPRODUCT((Results!$A$2:$A$5001=Schedule!CP$45)*(Results!$B$2:$B$5001=Schedule!$A65)*(Results!$D$2:$D$5001))</f>
        <v>0</v>
      </c>
      <c r="CQ65" s="6">
        <f>SUMPRODUCT((Results!$A$2:$A$5001=Schedule!CQ$45)*(Results!$B$2:$B$5001=Schedule!$A65)*(Results!$D$2:$D$5001))</f>
        <v>0</v>
      </c>
      <c r="CR65" s="6">
        <f>SUMPRODUCT((Results!$A$2:$A$5001=Schedule!CR$45)*(Results!$B$2:$B$5001=Schedule!$A65)*(Results!$D$2:$D$5001))</f>
        <v>0</v>
      </c>
      <c r="CS65" s="6">
        <f>SUMPRODUCT((Results!$A$2:$A$5001=Schedule!CS$45)*(Results!$B$2:$B$5001=Schedule!$A65)*(Results!$D$2:$D$5001))</f>
        <v>0</v>
      </c>
      <c r="CT65" s="6">
        <f>SUMPRODUCT((Results!$A$2:$A$5001=Schedule!CT$45)*(Results!$B$2:$B$5001=Schedule!$A65)*(Results!$D$2:$D$5001))</f>
        <v>0</v>
      </c>
      <c r="CU65" s="6">
        <f>SUMPRODUCT((Results!$A$2:$A$5001=Schedule!CU$45)*(Results!$B$2:$B$5001=Schedule!$A65)*(Results!$D$2:$D$5001))</f>
        <v>0</v>
      </c>
      <c r="CV65" s="6">
        <f>SUMPRODUCT((Results!$A$2:$A$5001=Schedule!CV$45)*(Results!$B$2:$B$5001=Schedule!$A65)*(Results!$D$2:$D$5001))</f>
        <v>0</v>
      </c>
      <c r="CW65" s="6">
        <f>SUMPRODUCT((Results!$A$2:$A$5001=Schedule!CW$45)*(Results!$B$2:$B$5001=Schedule!$A65)*(Results!$D$2:$D$5001))</f>
        <v>0</v>
      </c>
      <c r="CX65" s="6">
        <f>SUMPRODUCT((Results!$A$2:$A$5001=Schedule!CX$45)*(Results!$B$2:$B$5001=Schedule!$A65)*(Results!$D$2:$D$5001))</f>
        <v>0</v>
      </c>
      <c r="CY65" s="6">
        <f>SUMPRODUCT((Results!$A$2:$A$5001=Schedule!CY$45)*(Results!$B$2:$B$5001=Schedule!$A65)*(Results!$D$2:$D$5001))</f>
        <v>0</v>
      </c>
      <c r="CZ65" s="6">
        <f>SUMPRODUCT((Results!$A$2:$A$5001=Schedule!CZ$45)*(Results!$B$2:$B$5001=Schedule!$A65)*(Results!$D$2:$D$5001))</f>
        <v>0</v>
      </c>
      <c r="DA65" s="6">
        <f>SUMPRODUCT((Results!$A$2:$A$5001=Schedule!DA$45)*(Results!$B$2:$B$5001=Schedule!$A65)*(Results!$D$2:$D$5001))</f>
        <v>0</v>
      </c>
      <c r="DB65" s="6">
        <f>SUMPRODUCT((Results!$A$2:$A$5001=Schedule!DB$45)*(Results!$B$2:$B$5001=Schedule!$A65)*(Results!$D$2:$D$5001))</f>
        <v>0</v>
      </c>
      <c r="DC65" s="6">
        <f>SUMPRODUCT((Results!$A$2:$A$5001=Schedule!DC$45)*(Results!$B$2:$B$5001=Schedule!$A65)*(Results!$D$2:$D$5001))</f>
        <v>0</v>
      </c>
      <c r="DD65" s="6">
        <f>SUMPRODUCT((Results!$A$2:$A$5001=Schedule!DD$45)*(Results!$B$2:$B$5001=Schedule!$A65)*(Results!$D$2:$D$5001))</f>
        <v>0</v>
      </c>
      <c r="DE65" s="6">
        <f>SUMPRODUCT((Results!$A$2:$A$5001=Schedule!DE$45)*(Results!$B$2:$B$5001=Schedule!$A65)*(Results!$D$2:$D$5001))</f>
        <v>0</v>
      </c>
      <c r="DF65" s="6">
        <f>SUMPRODUCT((Results!$A$2:$A$5001=Schedule!DF$45)*(Results!$B$2:$B$5001=Schedule!$A65)*(Results!$D$2:$D$5001))</f>
        <v>0</v>
      </c>
      <c r="DG65" s="6">
        <f>SUMPRODUCT((Results!$A$2:$A$5001=Schedule!DG$45)*(Results!$B$2:$B$5001=Schedule!$A65)*(Results!$D$2:$D$5001))</f>
        <v>0</v>
      </c>
      <c r="DH65" s="6">
        <f>SUMPRODUCT((Results!$A$2:$A$5001=Schedule!DH$45)*(Results!$B$2:$B$5001=Schedule!$A65)*(Results!$D$2:$D$5001))</f>
        <v>0</v>
      </c>
      <c r="DI65" s="6">
        <f>SUMPRODUCT((Results!$A$2:$A$5001=Schedule!DI$45)*(Results!$B$2:$B$5001=Schedule!$A65)*(Results!$D$2:$D$5001))</f>
        <v>0</v>
      </c>
      <c r="DJ65" s="6">
        <f>SUMPRODUCT((Results!$A$2:$A$5001=Schedule!DJ$45)*(Results!$B$2:$B$5001=Schedule!$A65)*(Results!$D$2:$D$5001))</f>
        <v>0</v>
      </c>
      <c r="DK65" s="6">
        <f>SUMPRODUCT((Results!$A$2:$A$5001=Schedule!DK$45)*(Results!$B$2:$B$5001=Schedule!$A65)*(Results!$D$2:$D$5001))</f>
        <v>0</v>
      </c>
      <c r="DL65" s="6">
        <f>SUMPRODUCT((Results!$A$2:$A$5001=Schedule!DL$45)*(Results!$B$2:$B$5001=Schedule!$A65)*(Results!$D$2:$D$5001))</f>
        <v>0</v>
      </c>
      <c r="DM65" s="6">
        <f>SUMPRODUCT((Results!$A$2:$A$5001=Schedule!DM$45)*(Results!$B$2:$B$5001=Schedule!$A65)*(Results!$D$2:$D$5001))</f>
        <v>0</v>
      </c>
      <c r="DN65" s="6">
        <f>SUMPRODUCT((Results!$A$2:$A$5001=Schedule!DN$45)*(Results!$B$2:$B$5001=Schedule!$A65)*(Results!$D$2:$D$5001))</f>
        <v>0</v>
      </c>
      <c r="DO65" s="6">
        <f>SUMPRODUCT((Results!$A$2:$A$5001=Schedule!DO$45)*(Results!$B$2:$B$5001=Schedule!$A65)*(Results!$D$2:$D$5001))</f>
        <v>0</v>
      </c>
      <c r="DP65" s="6">
        <f>SUMPRODUCT((Results!$A$2:$A$5001=Schedule!DP$45)*(Results!$B$2:$B$5001=Schedule!$A65)*(Results!$D$2:$D$5001))</f>
        <v>0</v>
      </c>
      <c r="DQ65" s="6">
        <f>SUMPRODUCT((Results!$A$2:$A$5001=Schedule!DQ$45)*(Results!$B$2:$B$5001=Schedule!$A65)*(Results!$D$2:$D$5001))</f>
        <v>0</v>
      </c>
      <c r="DR65" s="6">
        <f>SUMPRODUCT((Results!$A$2:$A$5001=Schedule!DR$45)*(Results!$B$2:$B$5001=Schedule!$A65)*(Results!$D$2:$D$5001))</f>
        <v>0</v>
      </c>
      <c r="DS65" s="6">
        <f>SUMPRODUCT((Results!$A$2:$A$5001=Schedule!DS$45)*(Results!$B$2:$B$5001=Schedule!$A65)*(Results!$D$2:$D$5001))</f>
        <v>0</v>
      </c>
      <c r="DT65" s="6">
        <f>SUMPRODUCT((Results!$A$2:$A$5001=Schedule!DT$45)*(Results!$B$2:$B$5001=Schedule!$A65)*(Results!$D$2:$D$5001))</f>
        <v>0</v>
      </c>
      <c r="DU65" s="6">
        <f>SUMPRODUCT((Results!$A$2:$A$5001=Schedule!DU$45)*(Results!$B$2:$B$5001=Schedule!$A65)*(Results!$D$2:$D$5001))</f>
        <v>0</v>
      </c>
      <c r="DV65" s="6">
        <f>SUMPRODUCT((Results!$A$2:$A$5001=Schedule!DV$45)*(Results!$B$2:$B$5001=Schedule!$A65)*(Results!$D$2:$D$5001))</f>
        <v>0</v>
      </c>
      <c r="DW65" s="6">
        <f>SUMPRODUCT((Results!$A$2:$A$5001=Schedule!DW$45)*(Results!$B$2:$B$5001=Schedule!$A65)*(Results!$D$2:$D$5001))</f>
        <v>0</v>
      </c>
      <c r="DX65" s="6">
        <f>SUMPRODUCT((Results!$A$2:$A$5001=Schedule!DX$45)*(Results!$B$2:$B$5001=Schedule!$A65)*(Results!$D$2:$D$5001))</f>
        <v>0</v>
      </c>
      <c r="DY65" s="6">
        <f>SUMPRODUCT((Results!$A$2:$A$5001=Schedule!DY$45)*(Results!$B$2:$B$5001=Schedule!$A65)*(Results!$D$2:$D$5001))</f>
        <v>0</v>
      </c>
      <c r="DZ65" s="6">
        <f>SUMPRODUCT((Results!$A$2:$A$5001=Schedule!DZ$45)*(Results!$B$2:$B$5001=Schedule!$A65)*(Results!$D$2:$D$5001))</f>
        <v>0</v>
      </c>
      <c r="EA65" s="6">
        <f>SUMPRODUCT((Results!$A$2:$A$5001=Schedule!EA$45)*(Results!$B$2:$B$5001=Schedule!$A65)*(Results!$D$2:$D$5001))</f>
        <v>0</v>
      </c>
      <c r="EB65" s="6">
        <f>SUMPRODUCT((Results!$A$2:$A$5001=Schedule!EB$45)*(Results!$B$2:$B$5001=Schedule!$A65)*(Results!$D$2:$D$5001))</f>
        <v>0</v>
      </c>
      <c r="EC65" s="6">
        <f>SUMPRODUCT((Results!$A$2:$A$5001=Schedule!EC$45)*(Results!$B$2:$B$5001=Schedule!$A65)*(Results!$D$2:$D$5001))</f>
        <v>0</v>
      </c>
      <c r="ED65" s="6">
        <f>SUMPRODUCT((Results!$A$2:$A$5001=Schedule!ED$45)*(Results!$B$2:$B$5001=Schedule!$A65)*(Results!$D$2:$D$5001))</f>
        <v>0</v>
      </c>
      <c r="EE65" s="6">
        <f>SUMPRODUCT((Results!$A$2:$A$5001=Schedule!EE$45)*(Results!$B$2:$B$5001=Schedule!$A65)*(Results!$D$2:$D$5001))</f>
        <v>0</v>
      </c>
      <c r="EF65" s="6">
        <f>SUMPRODUCT((Results!$A$2:$A$5001=Schedule!EF$45)*(Results!$B$2:$B$5001=Schedule!$A65)*(Results!$D$2:$D$5001))</f>
        <v>0</v>
      </c>
      <c r="EG65" s="6">
        <f>SUMPRODUCT((Results!$A$2:$A$5001=Schedule!EG$45)*(Results!$B$2:$B$5001=Schedule!$A65)*(Results!$D$2:$D$5001))</f>
        <v>0</v>
      </c>
      <c r="EH65" s="6">
        <f>SUMPRODUCT((Results!$A$2:$A$5001=Schedule!EH$45)*(Results!$B$2:$B$5001=Schedule!$A65)*(Results!$D$2:$D$5001))</f>
        <v>0</v>
      </c>
      <c r="EI65" s="6">
        <f>SUMPRODUCT((Results!$A$2:$A$5001=Schedule!EI$45)*(Results!$B$2:$B$5001=Schedule!$A65)*(Results!$D$2:$D$5001))</f>
        <v>0</v>
      </c>
      <c r="EJ65" s="6">
        <f>SUMPRODUCT((Results!$A$2:$A$5001=Schedule!EJ$45)*(Results!$B$2:$B$5001=Schedule!$A65)*(Results!$D$2:$D$5001))</f>
        <v>0</v>
      </c>
      <c r="EK65" s="6">
        <f>SUMPRODUCT((Results!$A$2:$A$5001=Schedule!EK$45)*(Results!$B$2:$B$5001=Schedule!$A65)*(Results!$D$2:$D$5001))</f>
        <v>0</v>
      </c>
      <c r="EL65" s="6">
        <f>SUMPRODUCT((Results!$A$2:$A$5001=Schedule!EL$45)*(Results!$B$2:$B$5001=Schedule!$A65)*(Results!$D$2:$D$5001))</f>
        <v>0</v>
      </c>
      <c r="EM65" s="6">
        <f>SUMPRODUCT((Results!$A$2:$A$5001=Schedule!EM$45)*(Results!$B$2:$B$5001=Schedule!$A65)*(Results!$D$2:$D$5001))</f>
        <v>0</v>
      </c>
      <c r="EN65" s="6">
        <f>SUMPRODUCT((Results!$A$2:$A$5001=Schedule!EN$45)*(Results!$B$2:$B$5001=Schedule!$A65)*(Results!$D$2:$D$5001))</f>
        <v>0</v>
      </c>
      <c r="EO65" s="6">
        <f>SUMPRODUCT((Results!$A$2:$A$5001=Schedule!EO$45)*(Results!$B$2:$B$5001=Schedule!$A65)*(Results!$D$2:$D$5001))</f>
        <v>0</v>
      </c>
      <c r="EP65" s="6">
        <f>SUMPRODUCT((Results!$A$2:$A$5001=Schedule!EP$45)*(Results!$B$2:$B$5001=Schedule!$A65)*(Results!$D$2:$D$5001))</f>
        <v>0</v>
      </c>
      <c r="EQ65" s="6">
        <f>SUMPRODUCT((Results!$A$2:$A$5001=Schedule!EQ$45)*(Results!$B$2:$B$5001=Schedule!$A65)*(Results!$D$2:$D$5001))</f>
        <v>0</v>
      </c>
      <c r="ER65" s="6">
        <f>SUMPRODUCT((Results!$A$2:$A$5001=Schedule!ER$45)*(Results!$B$2:$B$5001=Schedule!$A65)*(Results!$D$2:$D$5001))</f>
        <v>0</v>
      </c>
      <c r="ES65" s="6">
        <f>SUMPRODUCT((Results!$A$2:$A$5001=Schedule!ES$45)*(Results!$B$2:$B$5001=Schedule!$A65)*(Results!$D$2:$D$5001))</f>
        <v>0</v>
      </c>
      <c r="ET65" s="6">
        <f>SUMPRODUCT((Results!$A$2:$A$5001=Schedule!ET$45)*(Results!$B$2:$B$5001=Schedule!$A65)*(Results!$D$2:$D$5001))</f>
        <v>0</v>
      </c>
      <c r="EU65" s="6">
        <f>SUMPRODUCT((Results!$A$2:$A$5001=Schedule!EU$45)*(Results!$B$2:$B$5001=Schedule!$A65)*(Results!$D$2:$D$5001))</f>
        <v>0</v>
      </c>
      <c r="EV65" s="6">
        <f>SUMPRODUCT((Results!$A$2:$A$5001=Schedule!EV$45)*(Results!$B$2:$B$5001=Schedule!$A65)*(Results!$D$2:$D$5001))</f>
        <v>0</v>
      </c>
      <c r="EW65" s="6">
        <f>SUMPRODUCT((Results!$A$2:$A$5001=Schedule!EW$45)*(Results!$B$2:$B$5001=Schedule!$A65)*(Results!$D$2:$D$5001))</f>
        <v>0</v>
      </c>
      <c r="EX65" s="6">
        <f>SUMPRODUCT((Results!$A$2:$A$5001=Schedule!EX$45)*(Results!$B$2:$B$5001=Schedule!$A65)*(Results!$D$2:$D$5001))</f>
        <v>0</v>
      </c>
      <c r="EY65" s="6">
        <f>SUMPRODUCT((Results!$A$2:$A$5001=Schedule!EY$45)*(Results!$B$2:$B$5001=Schedule!$A65)*(Results!$D$2:$D$5001))</f>
        <v>0</v>
      </c>
      <c r="EZ65" s="6">
        <f>SUMPRODUCT((Results!$A$2:$A$5001=Schedule!EZ$45)*(Results!$B$2:$B$5001=Schedule!$A65)*(Results!$D$2:$D$5001))</f>
        <v>0</v>
      </c>
      <c r="FA65" s="6">
        <f>SUMPRODUCT((Results!$A$2:$A$5001=Schedule!FA$45)*(Results!$B$2:$B$5001=Schedule!$A65)*(Results!$D$2:$D$5001))</f>
        <v>0</v>
      </c>
      <c r="FB65" s="6">
        <f>SUMPRODUCT((Results!$A$2:$A$5001=Schedule!FB$45)*(Results!$B$2:$B$5001=Schedule!$A65)*(Results!$D$2:$D$5001))</f>
        <v>0</v>
      </c>
      <c r="FC65" s="6">
        <f>SUMPRODUCT((Results!$A$2:$A$5001=Schedule!FC$45)*(Results!$B$2:$B$5001=Schedule!$A65)*(Results!$D$2:$D$5001))</f>
        <v>0</v>
      </c>
      <c r="FD65" s="6">
        <f>SUMPRODUCT((Results!$A$2:$A$5001=Schedule!FD$45)*(Results!$B$2:$B$5001=Schedule!$A65)*(Results!$D$2:$D$5001))</f>
        <v>0</v>
      </c>
      <c r="FE65" s="6">
        <f>SUMPRODUCT((Results!$A$2:$A$5001=Schedule!FE$45)*(Results!$B$2:$B$5001=Schedule!$A65)*(Results!$D$2:$D$5001))</f>
        <v>0</v>
      </c>
      <c r="FF65" s="6">
        <f>SUMPRODUCT((Results!$A$2:$A$5001=Schedule!FF$45)*(Results!$B$2:$B$5001=Schedule!$A65)*(Results!$D$2:$D$5001))</f>
        <v>0</v>
      </c>
      <c r="FG65" s="6">
        <f>SUMPRODUCT((Results!$A$2:$A$5001=Schedule!FG$45)*(Results!$B$2:$B$5001=Schedule!$A65)*(Results!$D$2:$D$5001))</f>
        <v>0</v>
      </c>
      <c r="FH65" s="6">
        <f>SUMPRODUCT((Results!$A$2:$A$5001=Schedule!FH$45)*(Results!$B$2:$B$5001=Schedule!$A65)*(Results!$D$2:$D$5001))</f>
        <v>0</v>
      </c>
      <c r="FI65" s="6">
        <f>SUMPRODUCT((Results!$A$2:$A$5001=Schedule!FI$45)*(Results!$B$2:$B$5001=Schedule!$A65)*(Results!$D$2:$D$5001))</f>
        <v>0</v>
      </c>
      <c r="FJ65" s="6">
        <f>SUMPRODUCT((Results!$A$2:$A$5001=Schedule!FJ$45)*(Results!$B$2:$B$5001=Schedule!$A65)*(Results!$D$2:$D$5001))</f>
        <v>0</v>
      </c>
      <c r="FK65" s="6">
        <f>SUMPRODUCT((Results!$A$2:$A$5001=Schedule!FK$45)*(Results!$B$2:$B$5001=Schedule!$A65)*(Results!$D$2:$D$5001))</f>
        <v>0</v>
      </c>
      <c r="FL65" s="6">
        <f>SUMPRODUCT((Results!$A$2:$A$5001=Schedule!FL$45)*(Results!$B$2:$B$5001=Schedule!$A65)*(Results!$D$2:$D$5001))</f>
        <v>0</v>
      </c>
      <c r="FM65" s="6">
        <f>SUMPRODUCT((Results!$A$2:$A$5001=Schedule!FM$45)*(Results!$B$2:$B$5001=Schedule!$A65)*(Results!$D$2:$D$5001))</f>
        <v>0</v>
      </c>
      <c r="FN65" s="6">
        <f>SUMPRODUCT((Results!$A$2:$A$5001=Schedule!FN$45)*(Results!$B$2:$B$5001=Schedule!$A65)*(Results!$D$2:$D$5001))</f>
        <v>0</v>
      </c>
      <c r="FO65" s="6">
        <f>SUMPRODUCT((Results!$A$2:$A$5001=Schedule!FO$45)*(Results!$B$2:$B$5001=Schedule!$A65)*(Results!$D$2:$D$5001))</f>
        <v>0</v>
      </c>
      <c r="FP65" s="6">
        <f>SUMPRODUCT((Results!$A$2:$A$5001=Schedule!FP$45)*(Results!$B$2:$B$5001=Schedule!$A65)*(Results!$D$2:$D$5001))</f>
        <v>0</v>
      </c>
      <c r="FQ65" s="6">
        <f>SUMPRODUCT((Results!$A$2:$A$5001=Schedule!FQ$45)*(Results!$B$2:$B$5001=Schedule!$A65)*(Results!$D$2:$D$5001))</f>
        <v>0</v>
      </c>
      <c r="FR65" s="6">
        <f>SUMPRODUCT((Results!$A$2:$A$5001=Schedule!FR$45)*(Results!$B$2:$B$5001=Schedule!$A65)*(Results!$D$2:$D$5001))</f>
        <v>0</v>
      </c>
      <c r="FS65" s="6">
        <f>SUMPRODUCT((Results!$A$2:$A$5001=Schedule!FS$45)*(Results!$B$2:$B$5001=Schedule!$A65)*(Results!$D$2:$D$5001))</f>
        <v>0</v>
      </c>
      <c r="FT65" s="6">
        <f>SUMPRODUCT((Results!$A$2:$A$5001=Schedule!FT$45)*(Results!$B$2:$B$5001=Schedule!$A65)*(Results!$D$2:$D$5001))</f>
        <v>0</v>
      </c>
      <c r="FU65" s="6">
        <f>SUMPRODUCT((Results!$A$2:$A$5001=Schedule!FU$45)*(Results!$B$2:$B$5001=Schedule!$A65)*(Results!$D$2:$D$5001))</f>
        <v>0</v>
      </c>
      <c r="FV65" s="6">
        <f>SUMPRODUCT((Results!$A$2:$A$5001=Schedule!FV$45)*(Results!$B$2:$B$5001=Schedule!$A65)*(Results!$D$2:$D$5001))</f>
        <v>0</v>
      </c>
      <c r="FW65" s="6">
        <f>SUMPRODUCT((Results!$A$2:$A$5001=Schedule!FW$45)*(Results!$B$2:$B$5001=Schedule!$A65)*(Results!$D$2:$D$5001))</f>
        <v>0</v>
      </c>
      <c r="FX65" s="6">
        <f>SUMPRODUCT((Results!$A$2:$A$5001=Schedule!FX$45)*(Results!$B$2:$B$5001=Schedule!$A65)*(Results!$D$2:$D$5001))</f>
        <v>0</v>
      </c>
      <c r="FY65" s="6">
        <f>SUMPRODUCT((Results!$A$2:$A$5001=Schedule!FY$45)*(Results!$B$2:$B$5001=Schedule!$A65)*(Results!$D$2:$D$5001))</f>
        <v>0</v>
      </c>
      <c r="FZ65" s="6">
        <f>SUMPRODUCT((Results!$A$2:$A$5001=Schedule!FZ$45)*(Results!$B$2:$B$5001=Schedule!$A65)*(Results!$D$2:$D$5001))</f>
        <v>0</v>
      </c>
      <c r="GA65" s="6">
        <f>SUMPRODUCT((Results!$A$2:$A$5001=Schedule!GA$45)*(Results!$B$2:$B$5001=Schedule!$A65)*(Results!$D$2:$D$5001))</f>
        <v>0</v>
      </c>
      <c r="GB65" s="6">
        <f>SUMPRODUCT((Results!$A$2:$A$5001=Schedule!GB$45)*(Results!$B$2:$B$5001=Schedule!$A65)*(Results!$D$2:$D$5001))</f>
        <v>0</v>
      </c>
      <c r="GC65" s="6">
        <f>SUMPRODUCT((Results!$A$2:$A$5001=Schedule!GC$45)*(Results!$B$2:$B$5001=Schedule!$A65)*(Results!$D$2:$D$5001))</f>
        <v>0</v>
      </c>
      <c r="GD65" s="6">
        <f>SUMPRODUCT((Results!$A$2:$A$5001=Schedule!GD$45)*(Results!$B$2:$B$5001=Schedule!$A65)*(Results!$D$2:$D$5001))</f>
        <v>0</v>
      </c>
      <c r="GE65" s="6">
        <f>SUMPRODUCT((Results!$A$2:$A$5001=Schedule!GE$45)*(Results!$B$2:$B$5001=Schedule!$A65)*(Results!$D$2:$D$5001))</f>
        <v>0</v>
      </c>
      <c r="GF65" s="6">
        <f>SUMPRODUCT((Results!$A$2:$A$5001=Schedule!GF$45)*(Results!$B$2:$B$5001=Schedule!$A65)*(Results!$D$2:$D$5001))</f>
        <v>0</v>
      </c>
      <c r="GG65" s="6">
        <f>SUMPRODUCT((Results!$A$2:$A$5001=Schedule!GG$45)*(Results!$B$2:$B$5001=Schedule!$A65)*(Results!$D$2:$D$5001))</f>
        <v>0</v>
      </c>
      <c r="GH65" s="6">
        <f>SUMPRODUCT((Results!$A$2:$A$5001=Schedule!GH$45)*(Results!$B$2:$B$5001=Schedule!$A65)*(Results!$D$2:$D$5001))</f>
        <v>0</v>
      </c>
      <c r="GI65" s="6">
        <f>SUMPRODUCT((Results!$A$2:$A$5001=Schedule!GI$45)*(Results!$B$2:$B$5001=Schedule!$A65)*(Results!$D$2:$D$5001))</f>
        <v>0</v>
      </c>
      <c r="GJ65" s="6">
        <f>SUMPRODUCT((Results!$A$2:$A$5001=Schedule!GJ$45)*(Results!$B$2:$B$5001=Schedule!$A65)*(Results!$D$2:$D$5001))</f>
        <v>0</v>
      </c>
      <c r="GK65" s="6">
        <f>SUMPRODUCT((Results!$A$2:$A$5001=Schedule!GK$45)*(Results!$B$2:$B$5001=Schedule!$A65)*(Results!$D$2:$D$5001))</f>
        <v>0</v>
      </c>
      <c r="GL65" s="6">
        <f>SUMPRODUCT((Results!$A$2:$A$5001=Schedule!GL$45)*(Results!$B$2:$B$5001=Schedule!$A65)*(Results!$D$2:$D$5001))</f>
        <v>0</v>
      </c>
      <c r="GM65" s="6">
        <f>SUMPRODUCT((Results!$A$2:$A$5001=Schedule!GM$45)*(Results!$B$2:$B$5001=Schedule!$A65)*(Results!$D$2:$D$5001))</f>
        <v>0</v>
      </c>
      <c r="GN65" s="6">
        <f>SUMPRODUCT((Results!$A$2:$A$5001=Schedule!GN$45)*(Results!$B$2:$B$5001=Schedule!$A65)*(Results!$D$2:$D$5001))</f>
        <v>0</v>
      </c>
      <c r="GO65" s="6">
        <f>SUMPRODUCT((Results!$A$2:$A$5001=Schedule!GO$45)*(Results!$B$2:$B$5001=Schedule!$A65)*(Results!$D$2:$D$5001))</f>
        <v>0</v>
      </c>
      <c r="GP65" s="6">
        <f>SUMPRODUCT((Results!$A$2:$A$5001=Schedule!GP$45)*(Results!$B$2:$B$5001=Schedule!$A65)*(Results!$D$2:$D$5001))</f>
        <v>0</v>
      </c>
      <c r="GQ65" s="6">
        <f>SUMPRODUCT((Results!$A$2:$A$5001=Schedule!GQ$45)*(Results!$B$2:$B$5001=Schedule!$A65)*(Results!$D$2:$D$5001))</f>
        <v>0</v>
      </c>
      <c r="GR65" s="6">
        <f>SUMPRODUCT((Results!$A$2:$A$5001=Schedule!GR$45)*(Results!$B$2:$B$5001=Schedule!$A65)*(Results!$D$2:$D$5001))</f>
        <v>0</v>
      </c>
      <c r="GS65" s="6">
        <f>SUMPRODUCT((Results!$A$2:$A$5001=Schedule!GS$45)*(Results!$B$2:$B$5001=Schedule!$A65)*(Results!$D$2:$D$5001))</f>
        <v>0</v>
      </c>
      <c r="GT65" s="6">
        <f>SUMPRODUCT((Results!$A$2:$A$5001=Schedule!GT$45)*(Results!$B$2:$B$5001=Schedule!$A65)*(Results!$D$2:$D$5001))</f>
        <v>0</v>
      </c>
      <c r="GU65" s="6">
        <f>SUMPRODUCT((Results!$A$2:$A$5001=Schedule!GU$45)*(Results!$B$2:$B$5001=Schedule!$A65)*(Results!$D$2:$D$5001))</f>
        <v>0</v>
      </c>
    </row>
    <row r="66" spans="1:204" ht="13.5" customHeight="1" x14ac:dyDescent="0.2">
      <c r="A66" s="40" t="s">
        <v>17</v>
      </c>
      <c r="B66" s="6">
        <f t="shared" si="17"/>
        <v>463.69459999999998</v>
      </c>
      <c r="C66" s="6">
        <f t="shared" ref="C66:AS66" si="18">SUM(C46:C65)</f>
        <v>40.447999999999993</v>
      </c>
      <c r="D66" s="6">
        <f t="shared" si="18"/>
        <v>124.9666</v>
      </c>
      <c r="E66" s="6">
        <f t="shared" si="18"/>
        <v>123.7157</v>
      </c>
      <c r="F66" s="6">
        <f t="shared" si="18"/>
        <v>88.526300000000006</v>
      </c>
      <c r="G66" s="6">
        <f t="shared" si="18"/>
        <v>71.454399999999978</v>
      </c>
      <c r="H66" s="6">
        <f t="shared" si="18"/>
        <v>14.583600000000001</v>
      </c>
      <c r="I66" s="6">
        <f t="shared" si="18"/>
        <v>0</v>
      </c>
      <c r="J66" s="6">
        <f t="shared" si="18"/>
        <v>0</v>
      </c>
      <c r="K66" s="6">
        <f t="shared" si="18"/>
        <v>0</v>
      </c>
      <c r="L66" s="34">
        <f t="shared" si="18"/>
        <v>0</v>
      </c>
      <c r="M66" s="6">
        <f t="shared" si="18"/>
        <v>0</v>
      </c>
      <c r="N66" s="6">
        <f t="shared" si="18"/>
        <v>0</v>
      </c>
      <c r="O66" s="6">
        <f t="shared" si="18"/>
        <v>0</v>
      </c>
      <c r="P66" s="6">
        <f t="shared" si="18"/>
        <v>0</v>
      </c>
      <c r="Q66" s="6">
        <f t="shared" si="18"/>
        <v>0</v>
      </c>
      <c r="R66" s="6">
        <f t="shared" si="18"/>
        <v>0</v>
      </c>
      <c r="S66" s="6">
        <f t="shared" si="18"/>
        <v>0</v>
      </c>
      <c r="T66" s="6">
        <f t="shared" si="18"/>
        <v>0</v>
      </c>
      <c r="U66" s="6">
        <f t="shared" si="18"/>
        <v>0</v>
      </c>
      <c r="V66" s="6">
        <f t="shared" si="18"/>
        <v>0</v>
      </c>
      <c r="W66" s="6">
        <f t="shared" si="18"/>
        <v>0</v>
      </c>
      <c r="X66" s="6">
        <f t="shared" si="18"/>
        <v>0</v>
      </c>
      <c r="Y66" s="6">
        <f t="shared" si="18"/>
        <v>0</v>
      </c>
      <c r="Z66" s="6">
        <f t="shared" si="18"/>
        <v>0</v>
      </c>
      <c r="AA66" s="6">
        <f t="shared" si="18"/>
        <v>0</v>
      </c>
      <c r="AB66" s="6">
        <f t="shared" si="18"/>
        <v>0</v>
      </c>
      <c r="AC66" s="6">
        <f t="shared" si="18"/>
        <v>0</v>
      </c>
      <c r="AD66" s="6">
        <f t="shared" si="18"/>
        <v>0</v>
      </c>
      <c r="AE66" s="6">
        <f t="shared" si="18"/>
        <v>0</v>
      </c>
      <c r="AF66" s="6">
        <f t="shared" si="18"/>
        <v>0</v>
      </c>
      <c r="AG66" s="6">
        <f t="shared" si="18"/>
        <v>0</v>
      </c>
      <c r="AH66" s="6">
        <f t="shared" si="18"/>
        <v>0</v>
      </c>
      <c r="AI66" s="6">
        <f t="shared" si="18"/>
        <v>0</v>
      </c>
      <c r="AJ66" s="6">
        <f t="shared" si="18"/>
        <v>0</v>
      </c>
      <c r="AK66" s="6">
        <f t="shared" si="18"/>
        <v>0</v>
      </c>
      <c r="AL66" s="6">
        <f t="shared" si="18"/>
        <v>0</v>
      </c>
      <c r="AM66" s="6">
        <f t="shared" si="18"/>
        <v>0</v>
      </c>
      <c r="AN66" s="6">
        <f t="shared" si="18"/>
        <v>0</v>
      </c>
      <c r="AO66" s="6">
        <f t="shared" si="18"/>
        <v>0</v>
      </c>
      <c r="AP66" s="6">
        <f t="shared" si="18"/>
        <v>0</v>
      </c>
      <c r="AQ66" s="6">
        <f t="shared" si="18"/>
        <v>0</v>
      </c>
      <c r="AR66" s="6">
        <f t="shared" si="18"/>
        <v>0</v>
      </c>
      <c r="AS66" s="6">
        <f t="shared" si="18"/>
        <v>0</v>
      </c>
      <c r="AT66" s="6">
        <f t="shared" ref="AT66:AV66" si="19">SUM(AT46:AT65)</f>
        <v>0</v>
      </c>
      <c r="AU66" s="6">
        <f t="shared" ref="AU66:AW66" si="20">SUM(AU46:AU65)</f>
        <v>0</v>
      </c>
      <c r="AV66" s="6">
        <f t="shared" si="19"/>
        <v>0</v>
      </c>
      <c r="AW66" s="6">
        <f t="shared" si="20"/>
        <v>0</v>
      </c>
      <c r="AX66" s="6">
        <f t="shared" ref="AX66" si="21">SUM(AX46:AX65)</f>
        <v>0</v>
      </c>
      <c r="AY66" s="6">
        <f t="shared" ref="AY66:BA66" si="22">SUM(AY46:AY65)</f>
        <v>0</v>
      </c>
      <c r="AZ66" s="6">
        <f t="shared" ref="AZ66" si="23">SUM(AZ46:AZ65)</f>
        <v>0</v>
      </c>
      <c r="BA66" s="6">
        <f t="shared" si="22"/>
        <v>0</v>
      </c>
      <c r="BB66" s="6">
        <f t="shared" ref="BB66" si="24">SUM(BB46:BB65)</f>
        <v>0</v>
      </c>
      <c r="BC66" s="6">
        <f t="shared" ref="BC66" si="25">SUM(BC46:BC65)</f>
        <v>0</v>
      </c>
      <c r="BD66" s="6">
        <f t="shared" ref="BD66" si="26">SUM(BD46:BD65)</f>
        <v>0</v>
      </c>
      <c r="BE66" s="6">
        <f t="shared" ref="BE66:DO66" si="27">SUM(BE46:BE65)</f>
        <v>0</v>
      </c>
      <c r="BF66" s="6">
        <f t="shared" ref="BF66:DP66" si="28">SUM(BF46:BF65)</f>
        <v>0</v>
      </c>
      <c r="BG66" s="6">
        <f t="shared" si="27"/>
        <v>0</v>
      </c>
      <c r="BH66" s="6">
        <f t="shared" si="28"/>
        <v>0</v>
      </c>
      <c r="BI66" s="6">
        <f t="shared" si="27"/>
        <v>0</v>
      </c>
      <c r="BJ66" s="6">
        <f t="shared" si="28"/>
        <v>0</v>
      </c>
      <c r="BK66" s="6">
        <f t="shared" si="27"/>
        <v>0</v>
      </c>
      <c r="BL66" s="6">
        <f t="shared" si="28"/>
        <v>0</v>
      </c>
      <c r="BM66" s="6">
        <f t="shared" si="27"/>
        <v>0</v>
      </c>
      <c r="BN66" s="6">
        <f t="shared" si="28"/>
        <v>0</v>
      </c>
      <c r="BO66" s="6">
        <f t="shared" si="27"/>
        <v>0</v>
      </c>
      <c r="BP66" s="6">
        <f t="shared" si="28"/>
        <v>0</v>
      </c>
      <c r="BQ66" s="6">
        <f t="shared" si="27"/>
        <v>0</v>
      </c>
      <c r="BR66" s="6">
        <f t="shared" si="28"/>
        <v>0</v>
      </c>
      <c r="BS66" s="6">
        <f t="shared" si="27"/>
        <v>0</v>
      </c>
      <c r="BT66" s="6">
        <f t="shared" si="28"/>
        <v>0</v>
      </c>
      <c r="BU66" s="6">
        <f t="shared" si="27"/>
        <v>0</v>
      </c>
      <c r="BV66" s="6">
        <f t="shared" si="28"/>
        <v>0</v>
      </c>
      <c r="BW66" s="6">
        <f t="shared" si="27"/>
        <v>0</v>
      </c>
      <c r="BX66" s="6">
        <f t="shared" si="28"/>
        <v>0</v>
      </c>
      <c r="BY66" s="6">
        <f t="shared" si="27"/>
        <v>0</v>
      </c>
      <c r="BZ66" s="6">
        <f t="shared" si="28"/>
        <v>0</v>
      </c>
      <c r="CA66" s="6">
        <f t="shared" si="27"/>
        <v>0</v>
      </c>
      <c r="CB66" s="6">
        <f t="shared" si="28"/>
        <v>0</v>
      </c>
      <c r="CC66" s="6">
        <f t="shared" si="27"/>
        <v>0</v>
      </c>
      <c r="CD66" s="6">
        <f t="shared" si="28"/>
        <v>0</v>
      </c>
      <c r="CE66" s="6">
        <f t="shared" si="27"/>
        <v>0</v>
      </c>
      <c r="CF66" s="6">
        <f t="shared" si="28"/>
        <v>0</v>
      </c>
      <c r="CG66" s="6">
        <f t="shared" si="27"/>
        <v>0</v>
      </c>
      <c r="CH66" s="6">
        <f t="shared" si="28"/>
        <v>0</v>
      </c>
      <c r="CI66" s="6">
        <f t="shared" si="27"/>
        <v>0</v>
      </c>
      <c r="CJ66" s="6">
        <f t="shared" si="28"/>
        <v>0</v>
      </c>
      <c r="CK66" s="6">
        <f t="shared" si="27"/>
        <v>0</v>
      </c>
      <c r="CL66" s="6">
        <f t="shared" si="28"/>
        <v>0</v>
      </c>
      <c r="CM66" s="6">
        <f t="shared" si="27"/>
        <v>0</v>
      </c>
      <c r="CN66" s="6">
        <f t="shared" si="28"/>
        <v>0</v>
      </c>
      <c r="CO66" s="6">
        <f t="shared" si="27"/>
        <v>0</v>
      </c>
      <c r="CP66" s="6">
        <f t="shared" si="28"/>
        <v>0</v>
      </c>
      <c r="CQ66" s="6">
        <f t="shared" si="27"/>
        <v>0</v>
      </c>
      <c r="CR66" s="6">
        <f t="shared" si="28"/>
        <v>0</v>
      </c>
      <c r="CS66" s="6">
        <f t="shared" si="27"/>
        <v>0</v>
      </c>
      <c r="CT66" s="6">
        <f t="shared" si="28"/>
        <v>0</v>
      </c>
      <c r="CU66" s="6">
        <f t="shared" si="27"/>
        <v>0</v>
      </c>
      <c r="CV66" s="6">
        <f t="shared" si="28"/>
        <v>0</v>
      </c>
      <c r="CW66" s="6">
        <f t="shared" si="27"/>
        <v>0</v>
      </c>
      <c r="CX66" s="6">
        <f t="shared" si="28"/>
        <v>0</v>
      </c>
      <c r="CY66" s="6">
        <f t="shared" si="27"/>
        <v>0</v>
      </c>
      <c r="CZ66" s="6">
        <f t="shared" si="28"/>
        <v>0</v>
      </c>
      <c r="DA66" s="6">
        <f t="shared" si="27"/>
        <v>0</v>
      </c>
      <c r="DB66" s="6">
        <f t="shared" si="28"/>
        <v>0</v>
      </c>
      <c r="DC66" s="6">
        <f t="shared" si="27"/>
        <v>0</v>
      </c>
      <c r="DD66" s="6">
        <f t="shared" si="28"/>
        <v>0</v>
      </c>
      <c r="DE66" s="6">
        <f t="shared" si="27"/>
        <v>0</v>
      </c>
      <c r="DF66" s="6">
        <f t="shared" si="28"/>
        <v>0</v>
      </c>
      <c r="DG66" s="6">
        <f t="shared" si="27"/>
        <v>0</v>
      </c>
      <c r="DH66" s="6">
        <f t="shared" si="28"/>
        <v>0</v>
      </c>
      <c r="DI66" s="6">
        <f t="shared" si="27"/>
        <v>0</v>
      </c>
      <c r="DJ66" s="6">
        <f t="shared" si="28"/>
        <v>0</v>
      </c>
      <c r="DK66" s="6">
        <f t="shared" si="27"/>
        <v>0</v>
      </c>
      <c r="DL66" s="6">
        <f t="shared" si="28"/>
        <v>0</v>
      </c>
      <c r="DM66" s="6">
        <f t="shared" si="27"/>
        <v>0</v>
      </c>
      <c r="DN66" s="6">
        <f t="shared" si="28"/>
        <v>0</v>
      </c>
      <c r="DO66" s="6">
        <f t="shared" si="27"/>
        <v>0</v>
      </c>
      <c r="DP66" s="6">
        <f t="shared" si="28"/>
        <v>0</v>
      </c>
      <c r="DQ66" s="6">
        <f t="shared" ref="DQ66:GA66" si="29">SUM(DQ46:DQ65)</f>
        <v>0</v>
      </c>
      <c r="DR66" s="6">
        <f t="shared" ref="DR66:GB66" si="30">SUM(DR46:DR65)</f>
        <v>0</v>
      </c>
      <c r="DS66" s="6">
        <f t="shared" si="29"/>
        <v>0</v>
      </c>
      <c r="DT66" s="6">
        <f t="shared" si="30"/>
        <v>0</v>
      </c>
      <c r="DU66" s="6">
        <f t="shared" si="29"/>
        <v>0</v>
      </c>
      <c r="DV66" s="6">
        <f t="shared" si="30"/>
        <v>0</v>
      </c>
      <c r="DW66" s="6">
        <f t="shared" si="29"/>
        <v>0</v>
      </c>
      <c r="DX66" s="6">
        <f t="shared" si="30"/>
        <v>0</v>
      </c>
      <c r="DY66" s="6">
        <f t="shared" si="29"/>
        <v>0</v>
      </c>
      <c r="DZ66" s="6">
        <f t="shared" si="30"/>
        <v>0</v>
      </c>
      <c r="EA66" s="6">
        <f t="shared" si="29"/>
        <v>0</v>
      </c>
      <c r="EB66" s="6">
        <f t="shared" si="30"/>
        <v>0</v>
      </c>
      <c r="EC66" s="6">
        <f t="shared" si="29"/>
        <v>0</v>
      </c>
      <c r="ED66" s="6">
        <f t="shared" si="30"/>
        <v>0</v>
      </c>
      <c r="EE66" s="6">
        <f t="shared" si="29"/>
        <v>0</v>
      </c>
      <c r="EF66" s="6">
        <f t="shared" si="30"/>
        <v>0</v>
      </c>
      <c r="EG66" s="6">
        <f t="shared" si="29"/>
        <v>0</v>
      </c>
      <c r="EH66" s="6">
        <f t="shared" si="30"/>
        <v>0</v>
      </c>
      <c r="EI66" s="6">
        <f t="shared" si="29"/>
        <v>0</v>
      </c>
      <c r="EJ66" s="6">
        <f t="shared" si="30"/>
        <v>0</v>
      </c>
      <c r="EK66" s="6">
        <f t="shared" si="29"/>
        <v>0</v>
      </c>
      <c r="EL66" s="6">
        <f t="shared" si="30"/>
        <v>0</v>
      </c>
      <c r="EM66" s="6">
        <f t="shared" si="29"/>
        <v>0</v>
      </c>
      <c r="EN66" s="6">
        <f t="shared" si="30"/>
        <v>0</v>
      </c>
      <c r="EO66" s="6">
        <f t="shared" si="29"/>
        <v>0</v>
      </c>
      <c r="EP66" s="6">
        <f t="shared" si="30"/>
        <v>0</v>
      </c>
      <c r="EQ66" s="6">
        <f t="shared" si="29"/>
        <v>0</v>
      </c>
      <c r="ER66" s="6">
        <f t="shared" si="30"/>
        <v>0</v>
      </c>
      <c r="ES66" s="6">
        <f t="shared" si="29"/>
        <v>0</v>
      </c>
      <c r="ET66" s="6">
        <f t="shared" si="30"/>
        <v>0</v>
      </c>
      <c r="EU66" s="6">
        <f t="shared" si="29"/>
        <v>0</v>
      </c>
      <c r="EV66" s="6">
        <f t="shared" si="30"/>
        <v>0</v>
      </c>
      <c r="EW66" s="6">
        <f t="shared" si="29"/>
        <v>0</v>
      </c>
      <c r="EX66" s="6">
        <f t="shared" si="30"/>
        <v>0</v>
      </c>
      <c r="EY66" s="6">
        <f t="shared" si="29"/>
        <v>0</v>
      </c>
      <c r="EZ66" s="6">
        <f t="shared" si="30"/>
        <v>0</v>
      </c>
      <c r="FA66" s="6">
        <f t="shared" si="29"/>
        <v>0</v>
      </c>
      <c r="FB66" s="6">
        <f t="shared" si="30"/>
        <v>0</v>
      </c>
      <c r="FC66" s="6">
        <f t="shared" si="29"/>
        <v>0</v>
      </c>
      <c r="FD66" s="6">
        <f t="shared" si="30"/>
        <v>0</v>
      </c>
      <c r="FE66" s="6">
        <f t="shared" si="29"/>
        <v>0</v>
      </c>
      <c r="FF66" s="6">
        <f t="shared" si="30"/>
        <v>0</v>
      </c>
      <c r="FG66" s="6">
        <f t="shared" si="29"/>
        <v>0</v>
      </c>
      <c r="FH66" s="6">
        <f t="shared" si="30"/>
        <v>0</v>
      </c>
      <c r="FI66" s="6">
        <f t="shared" si="29"/>
        <v>0</v>
      </c>
      <c r="FJ66" s="6">
        <f t="shared" si="30"/>
        <v>0</v>
      </c>
      <c r="FK66" s="6">
        <f t="shared" si="29"/>
        <v>0</v>
      </c>
      <c r="FL66" s="6">
        <f t="shared" si="30"/>
        <v>0</v>
      </c>
      <c r="FM66" s="6">
        <f t="shared" si="29"/>
        <v>0</v>
      </c>
      <c r="FN66" s="6">
        <f t="shared" si="30"/>
        <v>0</v>
      </c>
      <c r="FO66" s="6">
        <f t="shared" si="29"/>
        <v>0</v>
      </c>
      <c r="FP66" s="6">
        <f t="shared" si="30"/>
        <v>0</v>
      </c>
      <c r="FQ66" s="6">
        <f t="shared" si="29"/>
        <v>0</v>
      </c>
      <c r="FR66" s="6">
        <f t="shared" si="30"/>
        <v>0</v>
      </c>
      <c r="FS66" s="6">
        <f t="shared" si="29"/>
        <v>0</v>
      </c>
      <c r="FT66" s="6">
        <f t="shared" si="30"/>
        <v>0</v>
      </c>
      <c r="FU66" s="6">
        <f t="shared" si="29"/>
        <v>0</v>
      </c>
      <c r="FV66" s="6">
        <f t="shared" si="30"/>
        <v>0</v>
      </c>
      <c r="FW66" s="6">
        <f t="shared" si="29"/>
        <v>0</v>
      </c>
      <c r="FX66" s="6">
        <f t="shared" si="30"/>
        <v>0</v>
      </c>
      <c r="FY66" s="6">
        <f t="shared" si="29"/>
        <v>0</v>
      </c>
      <c r="FZ66" s="6">
        <f t="shared" si="30"/>
        <v>0</v>
      </c>
      <c r="GA66" s="6">
        <f t="shared" si="29"/>
        <v>0</v>
      </c>
      <c r="GB66" s="6">
        <f t="shared" si="30"/>
        <v>0</v>
      </c>
      <c r="GC66" s="6">
        <f t="shared" ref="GC66:GS66" si="31">SUM(GC46:GC65)</f>
        <v>0</v>
      </c>
      <c r="GD66" s="6">
        <f t="shared" ref="GD66:GT66" si="32">SUM(GD46:GD65)</f>
        <v>0</v>
      </c>
      <c r="GE66" s="6">
        <f t="shared" si="31"/>
        <v>0</v>
      </c>
      <c r="GF66" s="6">
        <f t="shared" si="32"/>
        <v>0</v>
      </c>
      <c r="GG66" s="6">
        <f t="shared" si="31"/>
        <v>0</v>
      </c>
      <c r="GH66" s="6">
        <f t="shared" si="32"/>
        <v>0</v>
      </c>
      <c r="GI66" s="6">
        <f t="shared" si="31"/>
        <v>0</v>
      </c>
      <c r="GJ66" s="6">
        <f t="shared" si="32"/>
        <v>0</v>
      </c>
      <c r="GK66" s="6">
        <f t="shared" si="31"/>
        <v>0</v>
      </c>
      <c r="GL66" s="6">
        <f t="shared" si="32"/>
        <v>0</v>
      </c>
      <c r="GM66" s="6">
        <f t="shared" si="31"/>
        <v>0</v>
      </c>
      <c r="GN66" s="6">
        <f t="shared" si="32"/>
        <v>0</v>
      </c>
      <c r="GO66" s="6">
        <f t="shared" si="31"/>
        <v>0</v>
      </c>
      <c r="GP66" s="6">
        <f t="shared" si="32"/>
        <v>0</v>
      </c>
      <c r="GQ66" s="6">
        <f t="shared" si="31"/>
        <v>0</v>
      </c>
      <c r="GR66" s="6">
        <f t="shared" si="32"/>
        <v>0</v>
      </c>
      <c r="GS66" s="6">
        <f t="shared" si="31"/>
        <v>0</v>
      </c>
      <c r="GT66" s="6">
        <f t="shared" si="32"/>
        <v>0</v>
      </c>
      <c r="GU66" s="6">
        <f t="shared" ref="GU66" si="33">SUM(GU46:GU65)</f>
        <v>0</v>
      </c>
    </row>
    <row r="67" spans="1:204" ht="13.5" customHeight="1" x14ac:dyDescent="0.2">
      <c r="A67" s="40"/>
      <c r="B67" s="6"/>
      <c r="C67" s="6">
        <f>C26-C66</f>
        <v>3.1270000000000095</v>
      </c>
      <c r="D67" s="6">
        <f t="shared" ref="D67:K67" si="34">D26-D66</f>
        <v>0.183400000000006</v>
      </c>
      <c r="E67" s="6">
        <f t="shared" si="34"/>
        <v>1.4343000000000075</v>
      </c>
      <c r="F67" s="6">
        <f t="shared" si="34"/>
        <v>36.623699999999999</v>
      </c>
      <c r="G67" s="6">
        <f t="shared" si="34"/>
        <v>53.695600000000027</v>
      </c>
      <c r="H67" s="6">
        <f t="shared" si="34"/>
        <v>110.5664</v>
      </c>
      <c r="I67" s="6">
        <f t="shared" si="34"/>
        <v>125.15</v>
      </c>
      <c r="J67" s="6">
        <f t="shared" si="34"/>
        <v>125.15</v>
      </c>
      <c r="K67" s="6">
        <f t="shared" si="34"/>
        <v>125.15</v>
      </c>
      <c r="L67" s="34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</row>
    <row r="68" spans="1:204" ht="13.5" customHeight="1" x14ac:dyDescent="0.2">
      <c r="A68" s="40"/>
      <c r="B68" s="6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80"/>
      <c r="CF68" s="80"/>
      <c r="CG68" s="80"/>
      <c r="CH68" s="80"/>
      <c r="CI68" s="80"/>
      <c r="CJ68" s="80"/>
      <c r="CK68" s="80"/>
      <c r="CL68" s="80"/>
      <c r="CM68" s="80"/>
      <c r="CN68" s="80"/>
      <c r="CO68" s="80"/>
      <c r="CP68" s="80"/>
      <c r="CQ68" s="80"/>
      <c r="CR68" s="80"/>
      <c r="CS68" s="80"/>
      <c r="CT68" s="80"/>
      <c r="CU68" s="80"/>
      <c r="CV68" s="80"/>
      <c r="CW68" s="80"/>
      <c r="CX68" s="80"/>
      <c r="CY68" s="80"/>
      <c r="CZ68" s="80"/>
      <c r="DA68" s="80"/>
      <c r="DB68" s="80"/>
      <c r="DC68" s="80"/>
      <c r="DD68" s="80"/>
      <c r="DE68" s="80"/>
      <c r="DF68" s="80"/>
      <c r="DG68" s="80"/>
      <c r="DH68" s="80"/>
      <c r="DI68" s="80"/>
      <c r="DJ68" s="80"/>
      <c r="DK68" s="80"/>
      <c r="DL68" s="80"/>
      <c r="DM68" s="80"/>
      <c r="DN68" s="80"/>
      <c r="DO68" s="80"/>
      <c r="DP68" s="80"/>
      <c r="DQ68" s="80"/>
      <c r="DR68" s="80"/>
      <c r="DS68" s="80"/>
      <c r="DT68" s="80"/>
      <c r="DU68" s="80"/>
      <c r="DV68" s="80"/>
      <c r="DW68" s="80"/>
      <c r="DX68" s="80"/>
      <c r="DY68" s="80"/>
      <c r="DZ68" s="80"/>
      <c r="EA68" s="80"/>
      <c r="EB68" s="80"/>
      <c r="EC68" s="80"/>
      <c r="ED68" s="80"/>
      <c r="EE68" s="80"/>
      <c r="EF68" s="80"/>
      <c r="EG68" s="80"/>
      <c r="EH68" s="80"/>
      <c r="EI68" s="80"/>
      <c r="EJ68" s="80"/>
      <c r="EK68" s="80"/>
      <c r="EL68" s="80"/>
      <c r="EM68" s="80"/>
      <c r="EN68" s="80"/>
      <c r="EO68" s="80"/>
      <c r="EP68" s="80"/>
      <c r="EQ68" s="80"/>
      <c r="ER68" s="80"/>
      <c r="ES68" s="80"/>
      <c r="ET68" s="80"/>
      <c r="EU68" s="80"/>
      <c r="EV68" s="80"/>
      <c r="EW68" s="80"/>
      <c r="EX68" s="80"/>
      <c r="EY68" s="80"/>
      <c r="EZ68" s="80"/>
      <c r="FA68" s="80"/>
      <c r="FB68" s="80"/>
      <c r="FC68" s="80"/>
      <c r="FD68" s="80"/>
      <c r="FE68" s="80"/>
      <c r="FF68" s="80"/>
      <c r="FG68" s="80"/>
      <c r="FH68" s="80"/>
      <c r="FI68" s="80"/>
      <c r="FJ68" s="80"/>
      <c r="FK68" s="80"/>
      <c r="FL68" s="80"/>
      <c r="FM68" s="80"/>
      <c r="FN68" s="80"/>
      <c r="FO68" s="80"/>
      <c r="FP68" s="80"/>
      <c r="FQ68" s="80"/>
      <c r="FR68" s="80"/>
      <c r="FS68" s="80"/>
      <c r="FT68" s="80"/>
      <c r="FU68" s="80"/>
      <c r="FV68" s="80"/>
      <c r="FW68" s="80"/>
      <c r="FX68" s="80"/>
      <c r="FY68" s="80"/>
      <c r="FZ68" s="80"/>
      <c r="GA68" s="80"/>
      <c r="GB68" s="80"/>
      <c r="GC68" s="80"/>
      <c r="GD68" s="80"/>
      <c r="GE68" s="80"/>
      <c r="GF68" s="80"/>
      <c r="GG68" s="80"/>
      <c r="GH68" s="80"/>
      <c r="GI68" s="80"/>
      <c r="GJ68" s="80"/>
      <c r="GK68" s="80"/>
      <c r="GL68" s="80"/>
      <c r="GM68" s="80"/>
      <c r="GN68" s="80"/>
      <c r="GO68" s="80"/>
      <c r="GP68" s="80"/>
      <c r="GQ68" s="80"/>
      <c r="GR68" s="80"/>
      <c r="GS68" s="80"/>
      <c r="GT68" s="80"/>
      <c r="GU68" s="80"/>
    </row>
    <row r="69" spans="1:204" s="24" customFormat="1" ht="13.5" customHeight="1" x14ac:dyDescent="0.2">
      <c r="A69" s="39" t="s">
        <v>4</v>
      </c>
      <c r="C69" s="14">
        <f>C$25</f>
        <v>1</v>
      </c>
      <c r="D69" s="14">
        <f t="shared" ref="D69:GT69" si="35">D$25</f>
        <v>2</v>
      </c>
      <c r="E69" s="14">
        <f t="shared" si="35"/>
        <v>3</v>
      </c>
      <c r="F69" s="14">
        <f t="shared" si="35"/>
        <v>4</v>
      </c>
      <c r="G69" s="14">
        <f t="shared" si="35"/>
        <v>5</v>
      </c>
      <c r="H69" s="14">
        <f t="shared" si="35"/>
        <v>6</v>
      </c>
      <c r="I69" s="14">
        <f t="shared" si="35"/>
        <v>7</v>
      </c>
      <c r="J69" s="14">
        <f t="shared" si="35"/>
        <v>8</v>
      </c>
      <c r="K69" s="14">
        <f t="shared" si="35"/>
        <v>9</v>
      </c>
      <c r="L69" s="14">
        <f t="shared" si="35"/>
        <v>10</v>
      </c>
      <c r="M69" s="14">
        <f t="shared" si="35"/>
        <v>11</v>
      </c>
      <c r="N69" s="14">
        <f t="shared" si="35"/>
        <v>12</v>
      </c>
      <c r="O69" s="14">
        <f t="shared" si="35"/>
        <v>13</v>
      </c>
      <c r="P69" s="14">
        <f t="shared" si="35"/>
        <v>14</v>
      </c>
      <c r="Q69" s="14">
        <f t="shared" si="35"/>
        <v>15</v>
      </c>
      <c r="R69" s="14">
        <f t="shared" si="35"/>
        <v>16</v>
      </c>
      <c r="S69" s="14">
        <f t="shared" si="35"/>
        <v>17</v>
      </c>
      <c r="T69" s="14">
        <f t="shared" si="35"/>
        <v>18</v>
      </c>
      <c r="U69" s="14">
        <f t="shared" si="35"/>
        <v>19</v>
      </c>
      <c r="V69" s="14">
        <f t="shared" si="35"/>
        <v>20</v>
      </c>
      <c r="W69" s="14">
        <f t="shared" si="35"/>
        <v>21</v>
      </c>
      <c r="X69" s="14">
        <f t="shared" si="35"/>
        <v>22</v>
      </c>
      <c r="Y69" s="14">
        <f t="shared" si="35"/>
        <v>23</v>
      </c>
      <c r="Z69" s="14">
        <f t="shared" si="35"/>
        <v>24</v>
      </c>
      <c r="AA69" s="14">
        <f t="shared" si="35"/>
        <v>25</v>
      </c>
      <c r="AB69" s="14">
        <f t="shared" si="35"/>
        <v>26</v>
      </c>
      <c r="AC69" s="14">
        <f t="shared" si="35"/>
        <v>27</v>
      </c>
      <c r="AD69" s="14">
        <f t="shared" si="35"/>
        <v>28</v>
      </c>
      <c r="AE69" s="14">
        <f t="shared" si="35"/>
        <v>29</v>
      </c>
      <c r="AF69" s="14">
        <f t="shared" si="35"/>
        <v>30</v>
      </c>
      <c r="AG69" s="14">
        <f t="shared" si="35"/>
        <v>31</v>
      </c>
      <c r="AH69" s="14">
        <f t="shared" si="35"/>
        <v>32</v>
      </c>
      <c r="AI69" s="14">
        <f t="shared" si="35"/>
        <v>33</v>
      </c>
      <c r="AJ69" s="14">
        <f t="shared" si="35"/>
        <v>34</v>
      </c>
      <c r="AK69" s="14">
        <f t="shared" si="35"/>
        <v>35</v>
      </c>
      <c r="AL69" s="14">
        <f t="shared" si="35"/>
        <v>36</v>
      </c>
      <c r="AM69" s="14">
        <f t="shared" si="35"/>
        <v>37</v>
      </c>
      <c r="AN69" s="14">
        <f t="shared" si="35"/>
        <v>38</v>
      </c>
      <c r="AO69" s="14">
        <f t="shared" si="35"/>
        <v>39</v>
      </c>
      <c r="AP69" s="14">
        <f t="shared" si="35"/>
        <v>40</v>
      </c>
      <c r="AQ69" s="14">
        <f t="shared" si="35"/>
        <v>41</v>
      </c>
      <c r="AR69" s="14">
        <f t="shared" si="35"/>
        <v>42</v>
      </c>
      <c r="AS69" s="14">
        <f t="shared" si="35"/>
        <v>43</v>
      </c>
      <c r="AT69" s="14">
        <f t="shared" si="35"/>
        <v>44</v>
      </c>
      <c r="AU69" s="14">
        <f t="shared" si="35"/>
        <v>45</v>
      </c>
      <c r="AV69" s="14">
        <f t="shared" si="35"/>
        <v>46</v>
      </c>
      <c r="AW69" s="14">
        <f t="shared" si="35"/>
        <v>47</v>
      </c>
      <c r="AX69" s="14">
        <f t="shared" si="35"/>
        <v>48</v>
      </c>
      <c r="AY69" s="14">
        <f t="shared" si="35"/>
        <v>49</v>
      </c>
      <c r="AZ69" s="14">
        <f t="shared" si="35"/>
        <v>50</v>
      </c>
      <c r="BA69" s="14">
        <f t="shared" si="35"/>
        <v>51</v>
      </c>
      <c r="BB69" s="14">
        <f t="shared" si="35"/>
        <v>52</v>
      </c>
      <c r="BC69" s="14">
        <f t="shared" si="35"/>
        <v>53</v>
      </c>
      <c r="BD69" s="14">
        <f t="shared" si="35"/>
        <v>54</v>
      </c>
      <c r="BE69" s="14">
        <f t="shared" si="35"/>
        <v>55</v>
      </c>
      <c r="BF69" s="14">
        <f t="shared" si="35"/>
        <v>56</v>
      </c>
      <c r="BG69" s="14">
        <f t="shared" si="35"/>
        <v>57</v>
      </c>
      <c r="BH69" s="14">
        <f t="shared" si="35"/>
        <v>58</v>
      </c>
      <c r="BI69" s="14">
        <f t="shared" si="35"/>
        <v>59</v>
      </c>
      <c r="BJ69" s="14">
        <f t="shared" si="35"/>
        <v>60</v>
      </c>
      <c r="BK69" s="14">
        <f t="shared" si="35"/>
        <v>61</v>
      </c>
      <c r="BL69" s="14">
        <f t="shared" si="35"/>
        <v>62</v>
      </c>
      <c r="BM69" s="14">
        <f t="shared" si="35"/>
        <v>63</v>
      </c>
      <c r="BN69" s="14">
        <f t="shared" si="35"/>
        <v>64</v>
      </c>
      <c r="BO69" s="14">
        <f t="shared" si="35"/>
        <v>65</v>
      </c>
      <c r="BP69" s="14">
        <f t="shared" si="35"/>
        <v>66</v>
      </c>
      <c r="BQ69" s="14">
        <f t="shared" si="35"/>
        <v>67</v>
      </c>
      <c r="BR69" s="14">
        <f t="shared" si="35"/>
        <v>68</v>
      </c>
      <c r="BS69" s="14">
        <f t="shared" si="35"/>
        <v>69</v>
      </c>
      <c r="BT69" s="14">
        <f t="shared" si="35"/>
        <v>70</v>
      </c>
      <c r="BU69" s="14">
        <f t="shared" si="35"/>
        <v>71</v>
      </c>
      <c r="BV69" s="14">
        <f t="shared" si="35"/>
        <v>72</v>
      </c>
      <c r="BW69" s="14">
        <f t="shared" si="35"/>
        <v>73</v>
      </c>
      <c r="BX69" s="14">
        <f t="shared" si="35"/>
        <v>74</v>
      </c>
      <c r="BY69" s="14">
        <f t="shared" si="35"/>
        <v>75</v>
      </c>
      <c r="BZ69" s="14">
        <f t="shared" si="35"/>
        <v>76</v>
      </c>
      <c r="CA69" s="14">
        <f t="shared" si="35"/>
        <v>77</v>
      </c>
      <c r="CB69" s="14">
        <f t="shared" si="35"/>
        <v>78</v>
      </c>
      <c r="CC69" s="14">
        <f t="shared" si="35"/>
        <v>79</v>
      </c>
      <c r="CD69" s="14">
        <f t="shared" si="35"/>
        <v>80</v>
      </c>
      <c r="CE69" s="14">
        <f t="shared" si="35"/>
        <v>81</v>
      </c>
      <c r="CF69" s="14">
        <f t="shared" si="35"/>
        <v>82</v>
      </c>
      <c r="CG69" s="14">
        <f t="shared" si="35"/>
        <v>83</v>
      </c>
      <c r="CH69" s="14">
        <f t="shared" si="35"/>
        <v>84</v>
      </c>
      <c r="CI69" s="14">
        <f t="shared" si="35"/>
        <v>85</v>
      </c>
      <c r="CJ69" s="14">
        <f t="shared" si="35"/>
        <v>86</v>
      </c>
      <c r="CK69" s="14">
        <f t="shared" si="35"/>
        <v>87</v>
      </c>
      <c r="CL69" s="14">
        <f t="shared" si="35"/>
        <v>88</v>
      </c>
      <c r="CM69" s="14">
        <f t="shared" si="35"/>
        <v>89</v>
      </c>
      <c r="CN69" s="14">
        <f t="shared" si="35"/>
        <v>90</v>
      </c>
      <c r="CO69" s="14">
        <f t="shared" si="35"/>
        <v>91</v>
      </c>
      <c r="CP69" s="14">
        <f t="shared" si="35"/>
        <v>92</v>
      </c>
      <c r="CQ69" s="14">
        <f t="shared" si="35"/>
        <v>93</v>
      </c>
      <c r="CR69" s="14">
        <f t="shared" si="35"/>
        <v>94</v>
      </c>
      <c r="CS69" s="14">
        <f t="shared" si="35"/>
        <v>95</v>
      </c>
      <c r="CT69" s="14">
        <f t="shared" si="35"/>
        <v>96</v>
      </c>
      <c r="CU69" s="14">
        <f t="shared" si="35"/>
        <v>97</v>
      </c>
      <c r="CV69" s="14">
        <f t="shared" si="35"/>
        <v>98</v>
      </c>
      <c r="CW69" s="14">
        <f t="shared" si="35"/>
        <v>99</v>
      </c>
      <c r="CX69" s="14">
        <f t="shared" si="35"/>
        <v>100</v>
      </c>
      <c r="CY69" s="14">
        <f t="shared" si="35"/>
        <v>101</v>
      </c>
      <c r="CZ69" s="14">
        <f t="shared" si="35"/>
        <v>102</v>
      </c>
      <c r="DA69" s="14">
        <f t="shared" si="35"/>
        <v>103</v>
      </c>
      <c r="DB69" s="14">
        <f t="shared" si="35"/>
        <v>104</v>
      </c>
      <c r="DC69" s="14">
        <f t="shared" si="35"/>
        <v>105</v>
      </c>
      <c r="DD69" s="14">
        <f t="shared" si="35"/>
        <v>106</v>
      </c>
      <c r="DE69" s="14">
        <f t="shared" si="35"/>
        <v>107</v>
      </c>
      <c r="DF69" s="14">
        <f t="shared" si="35"/>
        <v>108</v>
      </c>
      <c r="DG69" s="14">
        <f t="shared" si="35"/>
        <v>109</v>
      </c>
      <c r="DH69" s="14">
        <f t="shared" si="35"/>
        <v>110</v>
      </c>
      <c r="DI69" s="14">
        <f t="shared" si="35"/>
        <v>111</v>
      </c>
      <c r="DJ69" s="14">
        <f t="shared" si="35"/>
        <v>112</v>
      </c>
      <c r="DK69" s="14">
        <f t="shared" si="35"/>
        <v>113</v>
      </c>
      <c r="DL69" s="14">
        <f t="shared" si="35"/>
        <v>114</v>
      </c>
      <c r="DM69" s="14">
        <f t="shared" si="35"/>
        <v>115</v>
      </c>
      <c r="DN69" s="14">
        <f t="shared" si="35"/>
        <v>116</v>
      </c>
      <c r="DO69" s="14">
        <f t="shared" si="35"/>
        <v>117</v>
      </c>
      <c r="DP69" s="14">
        <f t="shared" si="35"/>
        <v>118</v>
      </c>
      <c r="DQ69" s="14">
        <f t="shared" si="35"/>
        <v>119</v>
      </c>
      <c r="DR69" s="14">
        <f t="shared" si="35"/>
        <v>120</v>
      </c>
      <c r="DS69" s="14">
        <f t="shared" si="35"/>
        <v>121</v>
      </c>
      <c r="DT69" s="14">
        <f t="shared" si="35"/>
        <v>122</v>
      </c>
      <c r="DU69" s="14">
        <f t="shared" si="35"/>
        <v>123</v>
      </c>
      <c r="DV69" s="14">
        <f t="shared" si="35"/>
        <v>124</v>
      </c>
      <c r="DW69" s="14">
        <f t="shared" si="35"/>
        <v>125</v>
      </c>
      <c r="DX69" s="14">
        <f t="shared" si="35"/>
        <v>126</v>
      </c>
      <c r="DY69" s="14">
        <f t="shared" si="35"/>
        <v>127</v>
      </c>
      <c r="DZ69" s="14">
        <f t="shared" si="35"/>
        <v>128</v>
      </c>
      <c r="EA69" s="14">
        <f t="shared" si="35"/>
        <v>129</v>
      </c>
      <c r="EB69" s="14">
        <f t="shared" si="35"/>
        <v>130</v>
      </c>
      <c r="EC69" s="14">
        <f t="shared" si="35"/>
        <v>131</v>
      </c>
      <c r="ED69" s="14">
        <f t="shared" si="35"/>
        <v>132</v>
      </c>
      <c r="EE69" s="14">
        <f t="shared" si="35"/>
        <v>133</v>
      </c>
      <c r="EF69" s="14">
        <f t="shared" si="35"/>
        <v>134</v>
      </c>
      <c r="EG69" s="14">
        <f t="shared" si="35"/>
        <v>135</v>
      </c>
      <c r="EH69" s="14">
        <f t="shared" si="35"/>
        <v>136</v>
      </c>
      <c r="EI69" s="14">
        <f t="shared" si="35"/>
        <v>137</v>
      </c>
      <c r="EJ69" s="14">
        <f t="shared" si="35"/>
        <v>138</v>
      </c>
      <c r="EK69" s="14">
        <f t="shared" si="35"/>
        <v>139</v>
      </c>
      <c r="EL69" s="14">
        <f t="shared" si="35"/>
        <v>140</v>
      </c>
      <c r="EM69" s="14">
        <f t="shared" si="35"/>
        <v>141</v>
      </c>
      <c r="EN69" s="14">
        <f t="shared" si="35"/>
        <v>142</v>
      </c>
      <c r="EO69" s="14">
        <f t="shared" si="35"/>
        <v>143</v>
      </c>
      <c r="EP69" s="14">
        <f t="shared" si="35"/>
        <v>144</v>
      </c>
      <c r="EQ69" s="14">
        <f t="shared" si="35"/>
        <v>145</v>
      </c>
      <c r="ER69" s="14">
        <f t="shared" si="35"/>
        <v>146</v>
      </c>
      <c r="ES69" s="14">
        <f t="shared" si="35"/>
        <v>147</v>
      </c>
      <c r="ET69" s="14">
        <f t="shared" si="35"/>
        <v>148</v>
      </c>
      <c r="EU69" s="14">
        <f t="shared" si="35"/>
        <v>149</v>
      </c>
      <c r="EV69" s="14">
        <f t="shared" si="35"/>
        <v>150</v>
      </c>
      <c r="EW69" s="14">
        <f t="shared" si="35"/>
        <v>151</v>
      </c>
      <c r="EX69" s="14">
        <f t="shared" si="35"/>
        <v>152</v>
      </c>
      <c r="EY69" s="14">
        <f t="shared" si="35"/>
        <v>153</v>
      </c>
      <c r="EZ69" s="14">
        <f t="shared" si="35"/>
        <v>154</v>
      </c>
      <c r="FA69" s="14">
        <f t="shared" si="35"/>
        <v>155</v>
      </c>
      <c r="FB69" s="14">
        <f t="shared" si="35"/>
        <v>156</v>
      </c>
      <c r="FC69" s="14">
        <f t="shared" si="35"/>
        <v>157</v>
      </c>
      <c r="FD69" s="14">
        <f t="shared" si="35"/>
        <v>158</v>
      </c>
      <c r="FE69" s="14">
        <f t="shared" si="35"/>
        <v>159</v>
      </c>
      <c r="FF69" s="14">
        <f t="shared" si="35"/>
        <v>160</v>
      </c>
      <c r="FG69" s="14">
        <f t="shared" si="35"/>
        <v>161</v>
      </c>
      <c r="FH69" s="14">
        <f t="shared" si="35"/>
        <v>162</v>
      </c>
      <c r="FI69" s="14">
        <f t="shared" si="35"/>
        <v>163</v>
      </c>
      <c r="FJ69" s="14">
        <f t="shared" si="35"/>
        <v>164</v>
      </c>
      <c r="FK69" s="14">
        <f t="shared" si="35"/>
        <v>165</v>
      </c>
      <c r="FL69" s="14">
        <f t="shared" si="35"/>
        <v>166</v>
      </c>
      <c r="FM69" s="14">
        <f t="shared" si="35"/>
        <v>167</v>
      </c>
      <c r="FN69" s="14">
        <f t="shared" si="35"/>
        <v>168</v>
      </c>
      <c r="FO69" s="14">
        <f t="shared" si="35"/>
        <v>169</v>
      </c>
      <c r="FP69" s="14">
        <f t="shared" si="35"/>
        <v>170</v>
      </c>
      <c r="FQ69" s="14">
        <f t="shared" si="35"/>
        <v>171</v>
      </c>
      <c r="FR69" s="14">
        <f t="shared" si="35"/>
        <v>172</v>
      </c>
      <c r="FS69" s="14">
        <f t="shared" si="35"/>
        <v>173</v>
      </c>
      <c r="FT69" s="14">
        <f t="shared" si="35"/>
        <v>174</v>
      </c>
      <c r="FU69" s="14">
        <f t="shared" si="35"/>
        <v>175</v>
      </c>
      <c r="FV69" s="14">
        <f t="shared" si="35"/>
        <v>176</v>
      </c>
      <c r="FW69" s="14">
        <f t="shared" si="35"/>
        <v>177</v>
      </c>
      <c r="FX69" s="14">
        <f t="shared" si="35"/>
        <v>178</v>
      </c>
      <c r="FY69" s="14">
        <f t="shared" si="35"/>
        <v>179</v>
      </c>
      <c r="FZ69" s="14">
        <f t="shared" si="35"/>
        <v>180</v>
      </c>
      <c r="GA69" s="14">
        <f t="shared" si="35"/>
        <v>181</v>
      </c>
      <c r="GB69" s="14">
        <f t="shared" si="35"/>
        <v>182</v>
      </c>
      <c r="GC69" s="14">
        <f t="shared" si="35"/>
        <v>183</v>
      </c>
      <c r="GD69" s="14">
        <f t="shared" si="35"/>
        <v>184</v>
      </c>
      <c r="GE69" s="14">
        <f t="shared" si="35"/>
        <v>185</v>
      </c>
      <c r="GF69" s="14">
        <f t="shared" si="35"/>
        <v>186</v>
      </c>
      <c r="GG69" s="14">
        <f t="shared" si="35"/>
        <v>187</v>
      </c>
      <c r="GH69" s="14">
        <f t="shared" si="35"/>
        <v>188</v>
      </c>
      <c r="GI69" s="14">
        <f t="shared" si="35"/>
        <v>189</v>
      </c>
      <c r="GJ69" s="14">
        <f t="shared" si="35"/>
        <v>190</v>
      </c>
      <c r="GK69" s="14">
        <f t="shared" si="35"/>
        <v>191</v>
      </c>
      <c r="GL69" s="14">
        <f t="shared" si="35"/>
        <v>192</v>
      </c>
      <c r="GM69" s="14">
        <f t="shared" si="35"/>
        <v>193</v>
      </c>
      <c r="GN69" s="14">
        <f t="shared" si="35"/>
        <v>194</v>
      </c>
      <c r="GO69" s="14">
        <f t="shared" si="35"/>
        <v>195</v>
      </c>
      <c r="GP69" s="14">
        <f t="shared" si="35"/>
        <v>196</v>
      </c>
      <c r="GQ69" s="14">
        <f t="shared" si="35"/>
        <v>197</v>
      </c>
      <c r="GR69" s="14">
        <f t="shared" si="35"/>
        <v>198</v>
      </c>
      <c r="GS69" s="14">
        <f t="shared" si="35"/>
        <v>199</v>
      </c>
      <c r="GT69" s="14">
        <f t="shared" si="35"/>
        <v>200</v>
      </c>
      <c r="GU69" s="14">
        <f>GT69+1</f>
        <v>201</v>
      </c>
    </row>
    <row r="70" spans="1:204" ht="13.5" customHeight="1" x14ac:dyDescent="0.2">
      <c r="A70" s="40" t="s">
        <v>17</v>
      </c>
      <c r="B70" s="6">
        <f>SUM(C70:GU70)</f>
        <v>463.69460000000004</v>
      </c>
      <c r="C70" s="6">
        <f>SUMPRODUCT((Results!$A$2:$A$5001=Schedule!C$45)*(Results!$D$2:$D$5001))</f>
        <v>40.448000000000008</v>
      </c>
      <c r="D70" s="6">
        <f>SUMPRODUCT((Results!$A$2:$A$5001=Schedule!D$45)*(Results!$D$2:$D$5001))</f>
        <v>124.9666</v>
      </c>
      <c r="E70" s="6">
        <f>SUMPRODUCT((Results!$A$2:$A$5001=Schedule!E$45)*(Results!$D$2:$D$5001))</f>
        <v>123.7157</v>
      </c>
      <c r="F70" s="6">
        <f>SUMPRODUCT((Results!$A$2:$A$5001=Schedule!F$45)*(Results!$D$2:$D$5001))</f>
        <v>88.526299999999992</v>
      </c>
      <c r="G70" s="6">
        <f>SUMPRODUCT((Results!$A$2:$A$5001=Schedule!G$45)*(Results!$D$2:$D$5001))</f>
        <v>71.454400000000007</v>
      </c>
      <c r="H70" s="6">
        <f>SUMPRODUCT((Results!$A$2:$A$5001=Schedule!H$45)*(Results!$D$2:$D$5001))</f>
        <v>14.583599999999999</v>
      </c>
      <c r="I70" s="6">
        <f>SUMPRODUCT((Results!$A$2:$A$5001=Schedule!I$45)*(Results!$D$2:$D$5001))</f>
        <v>0</v>
      </c>
      <c r="J70" s="6">
        <f>SUMPRODUCT((Results!$A$2:$A$5001=Schedule!J$45)*(Results!$D$2:$D$5001))</f>
        <v>0</v>
      </c>
      <c r="K70" s="6">
        <f>SUMPRODUCT((Results!$A$2:$A$5001=Schedule!K$45)*(Results!$D$2:$D$5001))</f>
        <v>0</v>
      </c>
      <c r="L70" s="6">
        <f>SUMPRODUCT((Results!$A$2:$A$5001=Schedule!L$45)*(Results!$D$2:$D$5001))</f>
        <v>0</v>
      </c>
      <c r="M70" s="6">
        <f>SUMPRODUCT((Results!$A$2:$A$5001=Schedule!M$45)*(Results!$D$2:$D$5001))</f>
        <v>0</v>
      </c>
      <c r="N70" s="6">
        <f>SUMPRODUCT((Results!$A$2:$A$5001=Schedule!N$45)*(Results!$D$2:$D$5001))</f>
        <v>0</v>
      </c>
      <c r="O70" s="6">
        <f>SUMPRODUCT((Results!$A$2:$A$5001=Schedule!O$45)*(Results!$D$2:$D$5001))</f>
        <v>0</v>
      </c>
      <c r="P70" s="6">
        <f>SUMPRODUCT((Results!$A$2:$A$5001=Schedule!P$45)*(Results!$D$2:$D$5001))</f>
        <v>0</v>
      </c>
      <c r="Q70" s="6">
        <f>SUMPRODUCT((Results!$A$2:$A$5001=Schedule!Q$45)*(Results!$D$2:$D$5001))</f>
        <v>0</v>
      </c>
      <c r="R70" s="6">
        <f>SUMPRODUCT((Results!$A$2:$A$5001=Schedule!R$45)*(Results!$D$2:$D$5001))</f>
        <v>0</v>
      </c>
      <c r="S70" s="6">
        <f>SUMPRODUCT((Results!$A$2:$A$5001=Schedule!S$45)*(Results!$D$2:$D$5001))</f>
        <v>0</v>
      </c>
      <c r="T70" s="6">
        <f>SUMPRODUCT((Results!$A$2:$A$5001=Schedule!T$45)*(Results!$D$2:$D$5001))</f>
        <v>0</v>
      </c>
      <c r="U70" s="6">
        <f>SUMPRODUCT((Results!$A$2:$A$5001=Schedule!U$45)*(Results!$D$2:$D$5001))</f>
        <v>0</v>
      </c>
      <c r="V70" s="6">
        <f>SUMPRODUCT((Results!$A$2:$A$5001=Schedule!V$45)*(Results!$D$2:$D$5001))</f>
        <v>0</v>
      </c>
      <c r="W70" s="6">
        <f>SUMPRODUCT((Results!$A$2:$A$5001=Schedule!W$45)*(Results!$D$2:$D$5001))</f>
        <v>0</v>
      </c>
      <c r="X70" s="6">
        <f>SUMPRODUCT((Results!$A$2:$A$5001=Schedule!X$45)*(Results!$D$2:$D$5001))</f>
        <v>0</v>
      </c>
      <c r="Y70" s="6">
        <f>SUMPRODUCT((Results!$A$2:$A$5001=Schedule!Y$45)*(Results!$D$2:$D$5001))</f>
        <v>0</v>
      </c>
      <c r="Z70" s="6">
        <f>SUMPRODUCT((Results!$A$2:$A$5001=Schedule!Z$45)*(Results!$D$2:$D$5001))</f>
        <v>0</v>
      </c>
      <c r="AA70" s="6">
        <f>SUMPRODUCT((Results!$A$2:$A$5001=Schedule!AA$45)*(Results!$D$2:$D$5001))</f>
        <v>0</v>
      </c>
      <c r="AB70" s="6">
        <f>SUMPRODUCT((Results!$A$2:$A$5001=Schedule!AB$45)*(Results!$D$2:$D$5001))</f>
        <v>0</v>
      </c>
      <c r="AC70" s="6">
        <f>SUMPRODUCT((Results!$A$2:$A$5001=Schedule!AC$45)*(Results!$D$2:$D$5001))</f>
        <v>0</v>
      </c>
      <c r="AD70" s="6">
        <f>SUMPRODUCT((Results!$A$2:$A$5001=Schedule!AD$45)*(Results!$D$2:$D$5001))</f>
        <v>0</v>
      </c>
      <c r="AE70" s="6">
        <f>SUMPRODUCT((Results!$A$2:$A$5001=Schedule!AE$45)*(Results!$D$2:$D$5001))</f>
        <v>0</v>
      </c>
      <c r="AF70" s="6">
        <f>SUMPRODUCT((Results!$A$2:$A$5001=Schedule!AF$45)*(Results!$D$2:$D$5001))</f>
        <v>0</v>
      </c>
      <c r="AG70" s="6">
        <f>SUMPRODUCT((Results!$A$2:$A$5001=Schedule!AG$45)*(Results!$D$2:$D$5001))</f>
        <v>0</v>
      </c>
      <c r="AH70" s="6">
        <f>SUMPRODUCT((Results!$A$2:$A$5001=Schedule!AH$45)*(Results!$D$2:$D$5001))</f>
        <v>0</v>
      </c>
      <c r="AI70" s="6">
        <f>SUMPRODUCT((Results!$A$2:$A$5001=Schedule!AI$45)*(Results!$D$2:$D$5001))</f>
        <v>0</v>
      </c>
      <c r="AJ70" s="6">
        <f>SUMPRODUCT((Results!$A$2:$A$5001=Schedule!AJ$45)*(Results!$D$2:$D$5001))</f>
        <v>0</v>
      </c>
      <c r="AK70" s="6">
        <f>SUMPRODUCT((Results!$A$2:$A$5001=Schedule!AK$45)*(Results!$D$2:$D$5001))</f>
        <v>0</v>
      </c>
      <c r="AL70" s="6">
        <f>SUMPRODUCT((Results!$A$2:$A$5001=Schedule!AL$45)*(Results!$D$2:$D$5001))</f>
        <v>0</v>
      </c>
      <c r="AM70" s="6">
        <f>SUMPRODUCT((Results!$A$2:$A$5001=Schedule!AM$45)*(Results!$D$2:$D$5001))</f>
        <v>0</v>
      </c>
      <c r="AN70" s="6">
        <f>SUMPRODUCT((Results!$A$2:$A$5001=Schedule!AN$45)*(Results!$D$2:$D$5001))</f>
        <v>0</v>
      </c>
      <c r="AO70" s="6">
        <f>SUMPRODUCT((Results!$A$2:$A$5001=Schedule!AO$45)*(Results!$D$2:$D$5001))</f>
        <v>0</v>
      </c>
      <c r="AP70" s="6">
        <f>SUMPRODUCT((Results!$A$2:$A$5001=Schedule!AP$45)*(Results!$D$2:$D$5001))</f>
        <v>0</v>
      </c>
      <c r="AQ70" s="6">
        <f>SUMPRODUCT((Results!$A$2:$A$5001=Schedule!AQ$45)*(Results!$D$2:$D$5001))</f>
        <v>0</v>
      </c>
      <c r="AR70" s="6">
        <f>SUMPRODUCT((Results!$A$2:$A$5001=Schedule!AR$45)*(Results!$D$2:$D$5001))</f>
        <v>0</v>
      </c>
      <c r="AS70" s="6">
        <f>SUMPRODUCT((Results!$A$2:$A$5001=Schedule!AS$45)*(Results!$D$2:$D$5001))</f>
        <v>0</v>
      </c>
      <c r="AT70" s="6">
        <f>SUMPRODUCT((Results!$A$2:$A$5001=Schedule!AT$45)*(Results!$D$2:$D$5001))</f>
        <v>0</v>
      </c>
      <c r="AU70" s="6">
        <f>SUMPRODUCT((Results!$A$2:$A$5001=Schedule!AU$45)*(Results!$D$2:$D$5001))</f>
        <v>0</v>
      </c>
      <c r="AV70" s="6">
        <f>SUMPRODUCT((Results!$A$2:$A$5001=Schedule!AV$45)*(Results!$D$2:$D$5001))</f>
        <v>0</v>
      </c>
      <c r="AW70" s="6">
        <f>SUMPRODUCT((Results!$A$2:$A$5001=Schedule!AW$45)*(Results!$D$2:$D$5001))</f>
        <v>0</v>
      </c>
      <c r="AX70" s="6">
        <f>SUMPRODUCT((Results!$A$2:$A$5001=Schedule!AX$45)*(Results!$D$2:$D$5001))</f>
        <v>0</v>
      </c>
      <c r="AY70" s="6">
        <f>SUMPRODUCT((Results!$A$2:$A$5001=Schedule!AY$45)*(Results!$D$2:$D$5001))</f>
        <v>0</v>
      </c>
      <c r="AZ70" s="6">
        <f>SUMPRODUCT((Results!$A$2:$A$5001=Schedule!AZ$45)*(Results!$D$2:$D$5001))</f>
        <v>0</v>
      </c>
      <c r="BA70" s="6">
        <f>SUMPRODUCT((Results!$A$2:$A$5001=Schedule!BA$45)*(Results!$D$2:$D$5001))</f>
        <v>0</v>
      </c>
      <c r="BB70" s="6">
        <f>SUMPRODUCT((Results!$A$2:$A$5001=Schedule!BB$45)*(Results!$D$2:$D$5001))</f>
        <v>0</v>
      </c>
      <c r="BC70" s="6">
        <f>SUMPRODUCT((Results!$A$2:$A$5001=Schedule!BC$45)*(Results!$D$2:$D$5001))</f>
        <v>0</v>
      </c>
      <c r="BD70" s="6">
        <f>SUMPRODUCT((Results!$A$2:$A$5001=Schedule!BD$45)*(Results!$D$2:$D$5001))</f>
        <v>0</v>
      </c>
      <c r="BE70" s="6">
        <f>SUMPRODUCT((Results!$A$2:$A$5001=Schedule!BE$45)*(Results!$D$2:$D$5001))</f>
        <v>0</v>
      </c>
      <c r="BF70" s="6">
        <f>SUMPRODUCT((Results!$A$2:$A$5001=Schedule!BF$45)*(Results!$D$2:$D$5001))</f>
        <v>0</v>
      </c>
      <c r="BG70" s="6">
        <f>SUMPRODUCT((Results!$A$2:$A$5001=Schedule!BG$45)*(Results!$D$2:$D$5001))</f>
        <v>0</v>
      </c>
      <c r="BH70" s="6">
        <f>SUMPRODUCT((Results!$A$2:$A$5001=Schedule!BH$45)*(Results!$D$2:$D$5001))</f>
        <v>0</v>
      </c>
      <c r="BI70" s="6">
        <f>SUMPRODUCT((Results!$A$2:$A$5001=Schedule!BI$45)*(Results!$D$2:$D$5001))</f>
        <v>0</v>
      </c>
      <c r="BJ70" s="6">
        <f>SUMPRODUCT((Results!$A$2:$A$5001=Schedule!BJ$45)*(Results!$D$2:$D$5001))</f>
        <v>0</v>
      </c>
      <c r="BK70" s="6">
        <f>SUMPRODUCT((Results!$A$2:$A$5001=Schedule!BK$45)*(Results!$D$2:$D$5001))</f>
        <v>0</v>
      </c>
      <c r="BL70" s="6">
        <f>SUMPRODUCT((Results!$A$2:$A$5001=Schedule!BL$45)*(Results!$D$2:$D$5001))</f>
        <v>0</v>
      </c>
      <c r="BM70" s="6">
        <f>SUMPRODUCT((Results!$A$2:$A$5001=Schedule!BM$45)*(Results!$D$2:$D$5001))</f>
        <v>0</v>
      </c>
      <c r="BN70" s="6">
        <f>SUMPRODUCT((Results!$A$2:$A$5001=Schedule!BN$45)*(Results!$D$2:$D$5001))</f>
        <v>0</v>
      </c>
      <c r="BO70" s="6">
        <f>SUMPRODUCT((Results!$A$2:$A$5001=Schedule!BO$45)*(Results!$D$2:$D$5001))</f>
        <v>0</v>
      </c>
      <c r="BP70" s="6">
        <f>SUMPRODUCT((Results!$A$2:$A$5001=Schedule!BP$45)*(Results!$D$2:$D$5001))</f>
        <v>0</v>
      </c>
      <c r="BQ70" s="6">
        <f>SUMPRODUCT((Results!$A$2:$A$5001=Schedule!BQ$45)*(Results!$D$2:$D$5001))</f>
        <v>0</v>
      </c>
      <c r="BR70" s="6">
        <f>SUMPRODUCT((Results!$A$2:$A$5001=Schedule!BR$45)*(Results!$D$2:$D$5001))</f>
        <v>0</v>
      </c>
      <c r="BS70" s="6">
        <f>SUMPRODUCT((Results!$A$2:$A$5001=Schedule!BS$45)*(Results!$D$2:$D$5001))</f>
        <v>0</v>
      </c>
      <c r="BT70" s="6">
        <f>SUMPRODUCT((Results!$A$2:$A$5001=Schedule!BT$45)*(Results!$D$2:$D$5001))</f>
        <v>0</v>
      </c>
      <c r="BU70" s="6">
        <f>SUMPRODUCT((Results!$A$2:$A$5001=Schedule!BU$45)*(Results!$D$2:$D$5001))</f>
        <v>0</v>
      </c>
      <c r="BV70" s="6">
        <f>SUMPRODUCT((Results!$A$2:$A$5001=Schedule!BV$45)*(Results!$D$2:$D$5001))</f>
        <v>0</v>
      </c>
      <c r="BW70" s="6">
        <f>SUMPRODUCT((Results!$A$2:$A$5001=Schedule!BW$45)*(Results!$D$2:$D$5001))</f>
        <v>0</v>
      </c>
      <c r="BX70" s="6">
        <f>SUMPRODUCT((Results!$A$2:$A$5001=Schedule!BX$45)*(Results!$D$2:$D$5001))</f>
        <v>0</v>
      </c>
      <c r="BY70" s="6">
        <f>SUMPRODUCT((Results!$A$2:$A$5001=Schedule!BY$45)*(Results!$D$2:$D$5001))</f>
        <v>0</v>
      </c>
      <c r="BZ70" s="6">
        <f>SUMPRODUCT((Results!$A$2:$A$5001=Schedule!BZ$45)*(Results!$D$2:$D$5001))</f>
        <v>0</v>
      </c>
      <c r="CA70" s="6">
        <f>SUMPRODUCT((Results!$A$2:$A$5001=Schedule!CA$45)*(Results!$D$2:$D$5001))</f>
        <v>0</v>
      </c>
      <c r="CB70" s="6">
        <f>SUMPRODUCT((Results!$A$2:$A$5001=Schedule!CB$45)*(Results!$D$2:$D$5001))</f>
        <v>0</v>
      </c>
      <c r="CC70" s="6">
        <f>SUMPRODUCT((Results!$A$2:$A$5001=Schedule!CC$45)*(Results!$D$2:$D$5001))</f>
        <v>0</v>
      </c>
      <c r="CD70" s="6">
        <f>SUMPRODUCT((Results!$A$2:$A$5001=Schedule!CD$45)*(Results!$D$2:$D$5001))</f>
        <v>0</v>
      </c>
      <c r="CE70" s="6">
        <f>SUMPRODUCT((Results!$A$2:$A$5001=Schedule!CE$45)*(Results!$D$2:$D$5001))</f>
        <v>0</v>
      </c>
      <c r="CF70" s="6">
        <f>SUMPRODUCT((Results!$A$2:$A$5001=Schedule!CF$45)*(Results!$D$2:$D$5001))</f>
        <v>0</v>
      </c>
      <c r="CG70" s="6">
        <f>SUMPRODUCT((Results!$A$2:$A$5001=Schedule!CG$45)*(Results!$D$2:$D$5001))</f>
        <v>0</v>
      </c>
      <c r="CH70" s="6">
        <f>SUMPRODUCT((Results!$A$2:$A$5001=Schedule!CH$45)*(Results!$D$2:$D$5001))</f>
        <v>0</v>
      </c>
      <c r="CI70" s="6">
        <f>SUMPRODUCT((Results!$A$2:$A$5001=Schedule!CI$45)*(Results!$D$2:$D$5001))</f>
        <v>0</v>
      </c>
      <c r="CJ70" s="6">
        <f>SUMPRODUCT((Results!$A$2:$A$5001=Schedule!CJ$45)*(Results!$D$2:$D$5001))</f>
        <v>0</v>
      </c>
      <c r="CK70" s="6">
        <f>SUMPRODUCT((Results!$A$2:$A$5001=Schedule!CK$45)*(Results!$D$2:$D$5001))</f>
        <v>0</v>
      </c>
      <c r="CL70" s="6">
        <f>SUMPRODUCT((Results!$A$2:$A$5001=Schedule!CL$45)*(Results!$D$2:$D$5001))</f>
        <v>0</v>
      </c>
      <c r="CM70" s="6">
        <f>SUMPRODUCT((Results!$A$2:$A$5001=Schedule!CM$45)*(Results!$D$2:$D$5001))</f>
        <v>0</v>
      </c>
      <c r="CN70" s="6">
        <f>SUMPRODUCT((Results!$A$2:$A$5001=Schedule!CN$45)*(Results!$D$2:$D$5001))</f>
        <v>0</v>
      </c>
      <c r="CO70" s="6">
        <f>SUMPRODUCT((Results!$A$2:$A$5001=Schedule!CO$45)*(Results!$D$2:$D$5001))</f>
        <v>0</v>
      </c>
      <c r="CP70" s="6">
        <f>SUMPRODUCT((Results!$A$2:$A$5001=Schedule!CP$45)*(Results!$D$2:$D$5001))</f>
        <v>0</v>
      </c>
      <c r="CQ70" s="6">
        <f>SUMPRODUCT((Results!$A$2:$A$5001=Schedule!CQ$45)*(Results!$D$2:$D$5001))</f>
        <v>0</v>
      </c>
      <c r="CR70" s="6">
        <f>SUMPRODUCT((Results!$A$2:$A$5001=Schedule!CR$45)*(Results!$D$2:$D$5001))</f>
        <v>0</v>
      </c>
      <c r="CS70" s="6">
        <f>SUMPRODUCT((Results!$A$2:$A$5001=Schedule!CS$45)*(Results!$D$2:$D$5001))</f>
        <v>0</v>
      </c>
      <c r="CT70" s="6">
        <f>SUMPRODUCT((Results!$A$2:$A$5001=Schedule!CT$45)*(Results!$D$2:$D$5001))</f>
        <v>0</v>
      </c>
      <c r="CU70" s="6">
        <f>SUMPRODUCT((Results!$A$2:$A$5001=Schedule!CU$45)*(Results!$D$2:$D$5001))</f>
        <v>0</v>
      </c>
      <c r="CV70" s="6">
        <f>SUMPRODUCT((Results!$A$2:$A$5001=Schedule!CV$45)*(Results!$D$2:$D$5001))</f>
        <v>0</v>
      </c>
      <c r="CW70" s="6">
        <f>SUMPRODUCT((Results!$A$2:$A$5001=Schedule!CW$45)*(Results!$D$2:$D$5001))</f>
        <v>0</v>
      </c>
      <c r="CX70" s="6">
        <f>SUMPRODUCT((Results!$A$2:$A$5001=Schedule!CX$45)*(Results!$D$2:$D$5001))</f>
        <v>0</v>
      </c>
      <c r="CY70" s="6">
        <f>SUMPRODUCT((Results!$A$2:$A$5001=Schedule!CY$45)*(Results!$D$2:$D$5001))</f>
        <v>0</v>
      </c>
      <c r="CZ70" s="6">
        <f>SUMPRODUCT((Results!$A$2:$A$5001=Schedule!CZ$45)*(Results!$D$2:$D$5001))</f>
        <v>0</v>
      </c>
      <c r="DA70" s="6">
        <f>SUMPRODUCT((Results!$A$2:$A$5001=Schedule!DA$45)*(Results!$D$2:$D$5001))</f>
        <v>0</v>
      </c>
      <c r="DB70" s="6">
        <f>SUMPRODUCT((Results!$A$2:$A$5001=Schedule!DB$45)*(Results!$D$2:$D$5001))</f>
        <v>0</v>
      </c>
      <c r="DC70" s="6">
        <f>SUMPRODUCT((Results!$A$2:$A$5001=Schedule!DC$45)*(Results!$D$2:$D$5001))</f>
        <v>0</v>
      </c>
      <c r="DD70" s="6">
        <f>SUMPRODUCT((Results!$A$2:$A$5001=Schedule!DD$45)*(Results!$D$2:$D$5001))</f>
        <v>0</v>
      </c>
      <c r="DE70" s="6">
        <f>SUMPRODUCT((Results!$A$2:$A$5001=Schedule!DE$45)*(Results!$D$2:$D$5001))</f>
        <v>0</v>
      </c>
      <c r="DF70" s="6">
        <f>SUMPRODUCT((Results!$A$2:$A$5001=Schedule!DF$45)*(Results!$D$2:$D$5001))</f>
        <v>0</v>
      </c>
      <c r="DG70" s="6">
        <f>SUMPRODUCT((Results!$A$2:$A$5001=Schedule!DG$45)*(Results!$D$2:$D$5001))</f>
        <v>0</v>
      </c>
      <c r="DH70" s="6">
        <f>SUMPRODUCT((Results!$A$2:$A$5001=Schedule!DH$45)*(Results!$D$2:$D$5001))</f>
        <v>0</v>
      </c>
      <c r="DI70" s="6">
        <f>SUMPRODUCT((Results!$A$2:$A$5001=Schedule!DI$45)*(Results!$D$2:$D$5001))</f>
        <v>0</v>
      </c>
      <c r="DJ70" s="6">
        <f>SUMPRODUCT((Results!$A$2:$A$5001=Schedule!DJ$45)*(Results!$D$2:$D$5001))</f>
        <v>0</v>
      </c>
      <c r="DK70" s="6">
        <f>SUMPRODUCT((Results!$A$2:$A$5001=Schedule!DK$45)*(Results!$D$2:$D$5001))</f>
        <v>0</v>
      </c>
      <c r="DL70" s="6">
        <f>SUMPRODUCT((Results!$A$2:$A$5001=Schedule!DL$45)*(Results!$D$2:$D$5001))</f>
        <v>0</v>
      </c>
      <c r="DM70" s="6">
        <f>SUMPRODUCT((Results!$A$2:$A$5001=Schedule!DM$45)*(Results!$D$2:$D$5001))</f>
        <v>0</v>
      </c>
      <c r="DN70" s="6">
        <f>SUMPRODUCT((Results!$A$2:$A$5001=Schedule!DN$45)*(Results!$D$2:$D$5001))</f>
        <v>0</v>
      </c>
      <c r="DO70" s="6">
        <f>SUMPRODUCT((Results!$A$2:$A$5001=Schedule!DO$45)*(Results!$D$2:$D$5001))</f>
        <v>0</v>
      </c>
      <c r="DP70" s="6">
        <f>SUMPRODUCT((Results!$A$2:$A$5001=Schedule!DP$45)*(Results!$D$2:$D$5001))</f>
        <v>0</v>
      </c>
      <c r="DQ70" s="6">
        <f>SUMPRODUCT((Results!$A$2:$A$5001=Schedule!DQ$45)*(Results!$D$2:$D$5001))</f>
        <v>0</v>
      </c>
      <c r="DR70" s="6">
        <f>SUMPRODUCT((Results!$A$2:$A$5001=Schedule!DR$45)*(Results!$D$2:$D$5001))</f>
        <v>0</v>
      </c>
      <c r="DS70" s="6">
        <f>SUMPRODUCT((Results!$A$2:$A$5001=Schedule!DS$45)*(Results!$D$2:$D$5001))</f>
        <v>0</v>
      </c>
      <c r="DT70" s="6">
        <f>SUMPRODUCT((Results!$A$2:$A$5001=Schedule!DT$45)*(Results!$D$2:$D$5001))</f>
        <v>0</v>
      </c>
      <c r="DU70" s="6">
        <f>SUMPRODUCT((Results!$A$2:$A$5001=Schedule!DU$45)*(Results!$D$2:$D$5001))</f>
        <v>0</v>
      </c>
      <c r="DV70" s="6">
        <f>SUMPRODUCT((Results!$A$2:$A$5001=Schedule!DV$45)*(Results!$D$2:$D$5001))</f>
        <v>0</v>
      </c>
      <c r="DW70" s="6">
        <f>SUMPRODUCT((Results!$A$2:$A$5001=Schedule!DW$45)*(Results!$D$2:$D$5001))</f>
        <v>0</v>
      </c>
      <c r="DX70" s="6">
        <f>SUMPRODUCT((Results!$A$2:$A$5001=Schedule!DX$45)*(Results!$D$2:$D$5001))</f>
        <v>0</v>
      </c>
      <c r="DY70" s="6">
        <f>SUMPRODUCT((Results!$A$2:$A$5001=Schedule!DY$45)*(Results!$D$2:$D$5001))</f>
        <v>0</v>
      </c>
      <c r="DZ70" s="6">
        <f>SUMPRODUCT((Results!$A$2:$A$5001=Schedule!DZ$45)*(Results!$D$2:$D$5001))</f>
        <v>0</v>
      </c>
      <c r="EA70" s="6">
        <f>SUMPRODUCT((Results!$A$2:$A$5001=Schedule!EA$45)*(Results!$D$2:$D$5001))</f>
        <v>0</v>
      </c>
      <c r="EB70" s="6">
        <f>SUMPRODUCT((Results!$A$2:$A$5001=Schedule!EB$45)*(Results!$D$2:$D$5001))</f>
        <v>0</v>
      </c>
      <c r="EC70" s="6">
        <f>SUMPRODUCT((Results!$A$2:$A$5001=Schedule!EC$45)*(Results!$D$2:$D$5001))</f>
        <v>0</v>
      </c>
      <c r="ED70" s="6">
        <f>SUMPRODUCT((Results!$A$2:$A$5001=Schedule!ED$45)*(Results!$D$2:$D$5001))</f>
        <v>0</v>
      </c>
      <c r="EE70" s="6">
        <f>SUMPRODUCT((Results!$A$2:$A$5001=Schedule!EE$45)*(Results!$D$2:$D$5001))</f>
        <v>0</v>
      </c>
      <c r="EF70" s="6">
        <f>SUMPRODUCT((Results!$A$2:$A$5001=Schedule!EF$45)*(Results!$D$2:$D$5001))</f>
        <v>0</v>
      </c>
      <c r="EG70" s="6">
        <f>SUMPRODUCT((Results!$A$2:$A$5001=Schedule!EG$45)*(Results!$D$2:$D$5001))</f>
        <v>0</v>
      </c>
      <c r="EH70" s="6">
        <f>SUMPRODUCT((Results!$A$2:$A$5001=Schedule!EH$45)*(Results!$D$2:$D$5001))</f>
        <v>0</v>
      </c>
      <c r="EI70" s="6">
        <f>SUMPRODUCT((Results!$A$2:$A$5001=Schedule!EI$45)*(Results!$D$2:$D$5001))</f>
        <v>0</v>
      </c>
      <c r="EJ70" s="6">
        <f>SUMPRODUCT((Results!$A$2:$A$5001=Schedule!EJ$45)*(Results!$D$2:$D$5001))</f>
        <v>0</v>
      </c>
      <c r="EK70" s="6">
        <f>SUMPRODUCT((Results!$A$2:$A$5001=Schedule!EK$45)*(Results!$D$2:$D$5001))</f>
        <v>0</v>
      </c>
      <c r="EL70" s="6">
        <f>SUMPRODUCT((Results!$A$2:$A$5001=Schedule!EL$45)*(Results!$D$2:$D$5001))</f>
        <v>0</v>
      </c>
      <c r="EM70" s="6">
        <f>SUMPRODUCT((Results!$A$2:$A$5001=Schedule!EM$45)*(Results!$D$2:$D$5001))</f>
        <v>0</v>
      </c>
      <c r="EN70" s="6">
        <f>SUMPRODUCT((Results!$A$2:$A$5001=Schedule!EN$45)*(Results!$D$2:$D$5001))</f>
        <v>0</v>
      </c>
      <c r="EO70" s="6">
        <f>SUMPRODUCT((Results!$A$2:$A$5001=Schedule!EO$45)*(Results!$D$2:$D$5001))</f>
        <v>0</v>
      </c>
      <c r="EP70" s="6">
        <f>SUMPRODUCT((Results!$A$2:$A$5001=Schedule!EP$45)*(Results!$D$2:$D$5001))</f>
        <v>0</v>
      </c>
      <c r="EQ70" s="6">
        <f>SUMPRODUCT((Results!$A$2:$A$5001=Schedule!EQ$45)*(Results!$D$2:$D$5001))</f>
        <v>0</v>
      </c>
      <c r="ER70" s="6">
        <f>SUMPRODUCT((Results!$A$2:$A$5001=Schedule!ER$45)*(Results!$D$2:$D$5001))</f>
        <v>0</v>
      </c>
      <c r="ES70" s="6">
        <f>SUMPRODUCT((Results!$A$2:$A$5001=Schedule!ES$45)*(Results!$D$2:$D$5001))</f>
        <v>0</v>
      </c>
      <c r="ET70" s="6">
        <f>SUMPRODUCT((Results!$A$2:$A$5001=Schedule!ET$45)*(Results!$D$2:$D$5001))</f>
        <v>0</v>
      </c>
      <c r="EU70" s="6">
        <f>SUMPRODUCT((Results!$A$2:$A$5001=Schedule!EU$45)*(Results!$D$2:$D$5001))</f>
        <v>0</v>
      </c>
      <c r="EV70" s="6">
        <f>SUMPRODUCT((Results!$A$2:$A$5001=Schedule!EV$45)*(Results!$D$2:$D$5001))</f>
        <v>0</v>
      </c>
      <c r="EW70" s="6">
        <f>SUMPRODUCT((Results!$A$2:$A$5001=Schedule!EW$45)*(Results!$D$2:$D$5001))</f>
        <v>0</v>
      </c>
      <c r="EX70" s="6">
        <f>SUMPRODUCT((Results!$A$2:$A$5001=Schedule!EX$45)*(Results!$D$2:$D$5001))</f>
        <v>0</v>
      </c>
      <c r="EY70" s="6">
        <f>SUMPRODUCT((Results!$A$2:$A$5001=Schedule!EY$45)*(Results!$D$2:$D$5001))</f>
        <v>0</v>
      </c>
      <c r="EZ70" s="6">
        <f>SUMPRODUCT((Results!$A$2:$A$5001=Schedule!EZ$45)*(Results!$D$2:$D$5001))</f>
        <v>0</v>
      </c>
      <c r="FA70" s="6">
        <f>SUMPRODUCT((Results!$A$2:$A$5001=Schedule!FA$45)*(Results!$D$2:$D$5001))</f>
        <v>0</v>
      </c>
      <c r="FB70" s="6">
        <f>SUMPRODUCT((Results!$A$2:$A$5001=Schedule!FB$45)*(Results!$D$2:$D$5001))</f>
        <v>0</v>
      </c>
      <c r="FC70" s="6">
        <f>SUMPRODUCT((Results!$A$2:$A$5001=Schedule!FC$45)*(Results!$D$2:$D$5001))</f>
        <v>0</v>
      </c>
      <c r="FD70" s="6">
        <f>SUMPRODUCT((Results!$A$2:$A$5001=Schedule!FD$45)*(Results!$D$2:$D$5001))</f>
        <v>0</v>
      </c>
      <c r="FE70" s="6">
        <f>SUMPRODUCT((Results!$A$2:$A$5001=Schedule!FE$45)*(Results!$D$2:$D$5001))</f>
        <v>0</v>
      </c>
      <c r="FF70" s="6">
        <f>SUMPRODUCT((Results!$A$2:$A$5001=Schedule!FF$45)*(Results!$D$2:$D$5001))</f>
        <v>0</v>
      </c>
      <c r="FG70" s="6">
        <f>SUMPRODUCT((Results!$A$2:$A$5001=Schedule!FG$45)*(Results!$D$2:$D$5001))</f>
        <v>0</v>
      </c>
      <c r="FH70" s="6">
        <f>SUMPRODUCT((Results!$A$2:$A$5001=Schedule!FH$45)*(Results!$D$2:$D$5001))</f>
        <v>0</v>
      </c>
      <c r="FI70" s="6">
        <f>SUMPRODUCT((Results!$A$2:$A$5001=Schedule!FI$45)*(Results!$D$2:$D$5001))</f>
        <v>0</v>
      </c>
      <c r="FJ70" s="6">
        <f>SUMPRODUCT((Results!$A$2:$A$5001=Schedule!FJ$45)*(Results!$D$2:$D$5001))</f>
        <v>0</v>
      </c>
      <c r="FK70" s="6">
        <f>SUMPRODUCT((Results!$A$2:$A$5001=Schedule!FK$45)*(Results!$D$2:$D$5001))</f>
        <v>0</v>
      </c>
      <c r="FL70" s="6">
        <f>SUMPRODUCT((Results!$A$2:$A$5001=Schedule!FL$45)*(Results!$D$2:$D$5001))</f>
        <v>0</v>
      </c>
      <c r="FM70" s="6">
        <f>SUMPRODUCT((Results!$A$2:$A$5001=Schedule!FM$45)*(Results!$D$2:$D$5001))</f>
        <v>0</v>
      </c>
      <c r="FN70" s="6">
        <f>SUMPRODUCT((Results!$A$2:$A$5001=Schedule!FN$45)*(Results!$D$2:$D$5001))</f>
        <v>0</v>
      </c>
      <c r="FO70" s="6">
        <f>SUMPRODUCT((Results!$A$2:$A$5001=Schedule!FO$45)*(Results!$D$2:$D$5001))</f>
        <v>0</v>
      </c>
      <c r="FP70" s="6">
        <f>SUMPRODUCT((Results!$A$2:$A$5001=Schedule!FP$45)*(Results!$D$2:$D$5001))</f>
        <v>0</v>
      </c>
      <c r="FQ70" s="6">
        <f>SUMPRODUCT((Results!$A$2:$A$5001=Schedule!FQ$45)*(Results!$D$2:$D$5001))</f>
        <v>0</v>
      </c>
      <c r="FR70" s="6">
        <f>SUMPRODUCT((Results!$A$2:$A$5001=Schedule!FR$45)*(Results!$D$2:$D$5001))</f>
        <v>0</v>
      </c>
      <c r="FS70" s="6">
        <f>SUMPRODUCT((Results!$A$2:$A$5001=Schedule!FS$45)*(Results!$D$2:$D$5001))</f>
        <v>0</v>
      </c>
      <c r="FT70" s="6">
        <f>SUMPRODUCT((Results!$A$2:$A$5001=Schedule!FT$45)*(Results!$D$2:$D$5001))</f>
        <v>0</v>
      </c>
      <c r="FU70" s="6">
        <f>SUMPRODUCT((Results!$A$2:$A$5001=Schedule!FU$45)*(Results!$D$2:$D$5001))</f>
        <v>0</v>
      </c>
      <c r="FV70" s="6">
        <f>SUMPRODUCT((Results!$A$2:$A$5001=Schedule!FV$45)*(Results!$D$2:$D$5001))</f>
        <v>0</v>
      </c>
      <c r="FW70" s="6">
        <f>SUMPRODUCT((Results!$A$2:$A$5001=Schedule!FW$45)*(Results!$D$2:$D$5001))</f>
        <v>0</v>
      </c>
      <c r="FX70" s="6">
        <f>SUMPRODUCT((Results!$A$2:$A$5001=Schedule!FX$45)*(Results!$D$2:$D$5001))</f>
        <v>0</v>
      </c>
      <c r="FY70" s="6">
        <f>SUMPRODUCT((Results!$A$2:$A$5001=Schedule!FY$45)*(Results!$D$2:$D$5001))</f>
        <v>0</v>
      </c>
      <c r="FZ70" s="6">
        <f>SUMPRODUCT((Results!$A$2:$A$5001=Schedule!FZ$45)*(Results!$D$2:$D$5001))</f>
        <v>0</v>
      </c>
      <c r="GA70" s="6">
        <f>SUMPRODUCT((Results!$A$2:$A$5001=Schedule!GA$45)*(Results!$D$2:$D$5001))</f>
        <v>0</v>
      </c>
      <c r="GB70" s="6">
        <f>SUMPRODUCT((Results!$A$2:$A$5001=Schedule!GB$45)*(Results!$D$2:$D$5001))</f>
        <v>0</v>
      </c>
      <c r="GC70" s="6">
        <f>SUMPRODUCT((Results!$A$2:$A$5001=Schedule!GC$45)*(Results!$D$2:$D$5001))</f>
        <v>0</v>
      </c>
      <c r="GD70" s="6">
        <f>SUMPRODUCT((Results!$A$2:$A$5001=Schedule!GD$45)*(Results!$D$2:$D$5001))</f>
        <v>0</v>
      </c>
      <c r="GE70" s="6">
        <f>SUMPRODUCT((Results!$A$2:$A$5001=Schedule!GE$45)*(Results!$D$2:$D$5001))</f>
        <v>0</v>
      </c>
      <c r="GF70" s="6">
        <f>SUMPRODUCT((Results!$A$2:$A$5001=Schedule!GF$45)*(Results!$D$2:$D$5001))</f>
        <v>0</v>
      </c>
      <c r="GG70" s="6">
        <f>SUMPRODUCT((Results!$A$2:$A$5001=Schedule!GG$45)*(Results!$D$2:$D$5001))</f>
        <v>0</v>
      </c>
      <c r="GH70" s="6">
        <f>SUMPRODUCT((Results!$A$2:$A$5001=Schedule!GH$45)*(Results!$D$2:$D$5001))</f>
        <v>0</v>
      </c>
      <c r="GI70" s="6">
        <f>SUMPRODUCT((Results!$A$2:$A$5001=Schedule!GI$45)*(Results!$D$2:$D$5001))</f>
        <v>0</v>
      </c>
      <c r="GJ70" s="6">
        <f>SUMPRODUCT((Results!$A$2:$A$5001=Schedule!GJ$45)*(Results!$D$2:$D$5001))</f>
        <v>0</v>
      </c>
      <c r="GK70" s="6">
        <f>SUMPRODUCT((Results!$A$2:$A$5001=Schedule!GK$45)*(Results!$D$2:$D$5001))</f>
        <v>0</v>
      </c>
      <c r="GL70" s="6">
        <f>SUMPRODUCT((Results!$A$2:$A$5001=Schedule!GL$45)*(Results!$D$2:$D$5001))</f>
        <v>0</v>
      </c>
      <c r="GM70" s="6">
        <f>SUMPRODUCT((Results!$A$2:$A$5001=Schedule!GM$45)*(Results!$D$2:$D$5001))</f>
        <v>0</v>
      </c>
      <c r="GN70" s="6">
        <f>SUMPRODUCT((Results!$A$2:$A$5001=Schedule!GN$45)*(Results!$D$2:$D$5001))</f>
        <v>0</v>
      </c>
      <c r="GO70" s="6">
        <f>SUMPRODUCT((Results!$A$2:$A$5001=Schedule!GO$45)*(Results!$D$2:$D$5001))</f>
        <v>0</v>
      </c>
      <c r="GP70" s="6">
        <f>SUMPRODUCT((Results!$A$2:$A$5001=Schedule!GP$45)*(Results!$D$2:$D$5001))</f>
        <v>0</v>
      </c>
      <c r="GQ70" s="6">
        <f>SUMPRODUCT((Results!$A$2:$A$5001=Schedule!GQ$45)*(Results!$D$2:$D$5001))</f>
        <v>0</v>
      </c>
      <c r="GR70" s="6">
        <f>SUMPRODUCT((Results!$A$2:$A$5001=Schedule!GR$45)*(Results!$D$2:$D$5001))</f>
        <v>0</v>
      </c>
      <c r="GS70" s="6">
        <f>SUMPRODUCT((Results!$A$2:$A$5001=Schedule!GS$45)*(Results!$D$2:$D$5001))</f>
        <v>0</v>
      </c>
      <c r="GT70" s="6">
        <f>SUMPRODUCT((Results!$A$2:$A$5001=Schedule!GT$45)*(Results!$D$2:$D$5001))</f>
        <v>0</v>
      </c>
      <c r="GU70" s="6">
        <f>SUMPRODUCT((Results!$A$2:$A$5001=Schedule!GU$45)*(Results!$D$2:$D$5001))</f>
        <v>0</v>
      </c>
    </row>
    <row r="71" spans="1:204" ht="13.5" customHeight="1" x14ac:dyDescent="0.2">
      <c r="A71" s="40" t="s">
        <v>49</v>
      </c>
      <c r="B71" s="6">
        <f>SUM(C71:GU71)</f>
        <v>394.26000000000005</v>
      </c>
      <c r="C71" s="6">
        <f>SUMPRODUCT((Results!$A$2:$A$5001=Schedule!C$45)*(Results!$E$2:$E$5001))</f>
        <v>32.948399999999992</v>
      </c>
      <c r="D71" s="6">
        <f>SUMPRODUCT((Results!$A$2:$A$5001=Schedule!D$45)*(Results!$E$2:$E$5001))</f>
        <v>109.98910000000001</v>
      </c>
      <c r="E71" s="6">
        <f>SUMPRODUCT((Results!$A$2:$A$5001=Schedule!E$45)*(Results!$E$2:$E$5001))</f>
        <v>108.69629999999999</v>
      </c>
      <c r="F71" s="6">
        <f>SUMPRODUCT((Results!$A$2:$A$5001=Schedule!F$45)*(Results!$E$2:$E$5001))</f>
        <v>73.522599999999997</v>
      </c>
      <c r="G71" s="6">
        <f>SUMPRODUCT((Results!$A$2:$A$5001=Schedule!G$45)*(Results!$E$2:$E$5001))</f>
        <v>59.746999999999993</v>
      </c>
      <c r="H71" s="6">
        <f>SUMPRODUCT((Results!$A$2:$A$5001=Schedule!H$45)*(Results!$E$2:$E$5001))</f>
        <v>9.3566000000000003</v>
      </c>
      <c r="I71" s="6">
        <f>SUMPRODUCT((Results!$A$2:$A$5001=Schedule!I$45)*(Results!$E$2:$E$5001))</f>
        <v>0</v>
      </c>
      <c r="J71" s="6">
        <f>SUMPRODUCT((Results!$A$2:$A$5001=Schedule!J$45)*(Results!$E$2:$E$5001))</f>
        <v>0</v>
      </c>
      <c r="K71" s="6">
        <f>SUMPRODUCT((Results!$A$2:$A$5001=Schedule!K$45)*(Results!$E$2:$E$5001))</f>
        <v>0</v>
      </c>
      <c r="L71" s="6">
        <f>SUMPRODUCT((Results!$A$2:$A$5001=Schedule!L$45)*(Results!$E$2:$E$5001))</f>
        <v>0</v>
      </c>
      <c r="M71" s="6">
        <f>SUMPRODUCT((Results!$A$2:$A$5001=Schedule!M$45)*(Results!$E$2:$E$5001))</f>
        <v>0</v>
      </c>
      <c r="N71" s="6">
        <f>SUMPRODUCT((Results!$A$2:$A$5001=Schedule!N$45)*(Results!$E$2:$E$5001))</f>
        <v>0</v>
      </c>
      <c r="O71" s="6">
        <f>SUMPRODUCT((Results!$A$2:$A$5001=Schedule!O$45)*(Results!$E$2:$E$5001))</f>
        <v>0</v>
      </c>
      <c r="P71" s="6">
        <f>SUMPRODUCT((Results!$A$2:$A$5001=Schedule!P$45)*(Results!$E$2:$E$5001))</f>
        <v>0</v>
      </c>
      <c r="Q71" s="6">
        <f>SUMPRODUCT((Results!$A$2:$A$5001=Schedule!Q$45)*(Results!$E$2:$E$5001))</f>
        <v>0</v>
      </c>
      <c r="R71" s="6">
        <f>SUMPRODUCT((Results!$A$2:$A$5001=Schedule!R$45)*(Results!$E$2:$E$5001))</f>
        <v>0</v>
      </c>
      <c r="S71" s="6">
        <f>SUMPRODUCT((Results!$A$2:$A$5001=Schedule!S$45)*(Results!$E$2:$E$5001))</f>
        <v>0</v>
      </c>
      <c r="T71" s="6">
        <f>SUMPRODUCT((Results!$A$2:$A$5001=Schedule!T$45)*(Results!$E$2:$E$5001))</f>
        <v>0</v>
      </c>
      <c r="U71" s="6">
        <f>SUMPRODUCT((Results!$A$2:$A$5001=Schedule!U$45)*(Results!$E$2:$E$5001))</f>
        <v>0</v>
      </c>
      <c r="V71" s="6">
        <f>SUMPRODUCT((Results!$A$2:$A$5001=Schedule!V$45)*(Results!$E$2:$E$5001))</f>
        <v>0</v>
      </c>
      <c r="W71" s="6">
        <f>SUMPRODUCT((Results!$A$2:$A$5001=Schedule!W$45)*(Results!$E$2:$E$5001))</f>
        <v>0</v>
      </c>
      <c r="X71" s="6">
        <f>SUMPRODUCT((Results!$A$2:$A$5001=Schedule!X$45)*(Results!$E$2:$E$5001))</f>
        <v>0</v>
      </c>
      <c r="Y71" s="6">
        <f>SUMPRODUCT((Results!$A$2:$A$5001=Schedule!Y$45)*(Results!$E$2:$E$5001))</f>
        <v>0</v>
      </c>
      <c r="Z71" s="6">
        <f>SUMPRODUCT((Results!$A$2:$A$5001=Schedule!Z$45)*(Results!$E$2:$E$5001))</f>
        <v>0</v>
      </c>
      <c r="AA71" s="6">
        <f>SUMPRODUCT((Results!$A$2:$A$5001=Schedule!AA$45)*(Results!$E$2:$E$5001))</f>
        <v>0</v>
      </c>
      <c r="AB71" s="6">
        <f>SUMPRODUCT((Results!$A$2:$A$5001=Schedule!AB$45)*(Results!$E$2:$E$5001))</f>
        <v>0</v>
      </c>
      <c r="AC71" s="6">
        <f>SUMPRODUCT((Results!$A$2:$A$5001=Schedule!AC$45)*(Results!$E$2:$E$5001))</f>
        <v>0</v>
      </c>
      <c r="AD71" s="6">
        <f>SUMPRODUCT((Results!$A$2:$A$5001=Schedule!AD$45)*(Results!$E$2:$E$5001))</f>
        <v>0</v>
      </c>
      <c r="AE71" s="6">
        <f>SUMPRODUCT((Results!$A$2:$A$5001=Schedule!AE$45)*(Results!$E$2:$E$5001))</f>
        <v>0</v>
      </c>
      <c r="AF71" s="6">
        <f>SUMPRODUCT((Results!$A$2:$A$5001=Schedule!AF$45)*(Results!$E$2:$E$5001))</f>
        <v>0</v>
      </c>
      <c r="AG71" s="6">
        <f>SUMPRODUCT((Results!$A$2:$A$5001=Schedule!AG$45)*(Results!$E$2:$E$5001))</f>
        <v>0</v>
      </c>
      <c r="AH71" s="6">
        <f>SUMPRODUCT((Results!$A$2:$A$5001=Schedule!AH$45)*(Results!$E$2:$E$5001))</f>
        <v>0</v>
      </c>
      <c r="AI71" s="6">
        <f>SUMPRODUCT((Results!$A$2:$A$5001=Schedule!AI$45)*(Results!$E$2:$E$5001))</f>
        <v>0</v>
      </c>
      <c r="AJ71" s="6">
        <f>SUMPRODUCT((Results!$A$2:$A$5001=Schedule!AJ$45)*(Results!$E$2:$E$5001))</f>
        <v>0</v>
      </c>
      <c r="AK71" s="6">
        <f>SUMPRODUCT((Results!$A$2:$A$5001=Schedule!AK$45)*(Results!$E$2:$E$5001))</f>
        <v>0</v>
      </c>
      <c r="AL71" s="6">
        <f>SUMPRODUCT((Results!$A$2:$A$5001=Schedule!AL$45)*(Results!$E$2:$E$5001))</f>
        <v>0</v>
      </c>
      <c r="AM71" s="6">
        <f>SUMPRODUCT((Results!$A$2:$A$5001=Schedule!AM$45)*(Results!$E$2:$E$5001))</f>
        <v>0</v>
      </c>
      <c r="AN71" s="6">
        <f>SUMPRODUCT((Results!$A$2:$A$5001=Schedule!AN$45)*(Results!$E$2:$E$5001))</f>
        <v>0</v>
      </c>
      <c r="AO71" s="6">
        <f>SUMPRODUCT((Results!$A$2:$A$5001=Schedule!AO$45)*(Results!$E$2:$E$5001))</f>
        <v>0</v>
      </c>
      <c r="AP71" s="6">
        <f>SUMPRODUCT((Results!$A$2:$A$5001=Schedule!AP$45)*(Results!$E$2:$E$5001))</f>
        <v>0</v>
      </c>
      <c r="AQ71" s="6">
        <f>SUMPRODUCT((Results!$A$2:$A$5001=Schedule!AQ$45)*(Results!$E$2:$E$5001))</f>
        <v>0</v>
      </c>
      <c r="AR71" s="6">
        <f>SUMPRODUCT((Results!$A$2:$A$5001=Schedule!AR$45)*(Results!$E$2:$E$5001))</f>
        <v>0</v>
      </c>
      <c r="AS71" s="6">
        <f>SUMPRODUCT((Results!$A$2:$A$5001=Schedule!AS$45)*(Results!$E$2:$E$5001))</f>
        <v>0</v>
      </c>
      <c r="AT71" s="6">
        <f>SUMPRODUCT((Results!$A$2:$A$5001=Schedule!AT$45)*(Results!$E$2:$E$5001))</f>
        <v>0</v>
      </c>
      <c r="AU71" s="6">
        <f>SUMPRODUCT((Results!$A$2:$A$5001=Schedule!AU$45)*(Results!$E$2:$E$5001))</f>
        <v>0</v>
      </c>
      <c r="AV71" s="6">
        <f>SUMPRODUCT((Results!$A$2:$A$5001=Schedule!AV$45)*(Results!$E$2:$E$5001))</f>
        <v>0</v>
      </c>
      <c r="AW71" s="6">
        <f>SUMPRODUCT((Results!$A$2:$A$5001=Schedule!AW$45)*(Results!$E$2:$E$5001))</f>
        <v>0</v>
      </c>
      <c r="AX71" s="6">
        <f>SUMPRODUCT((Results!$A$2:$A$5001=Schedule!AX$45)*(Results!$E$2:$E$5001))</f>
        <v>0</v>
      </c>
      <c r="AY71" s="6">
        <f>SUMPRODUCT((Results!$A$2:$A$5001=Schedule!AY$45)*(Results!$E$2:$E$5001))</f>
        <v>0</v>
      </c>
      <c r="AZ71" s="6">
        <f>SUMPRODUCT((Results!$A$2:$A$5001=Schedule!AZ$45)*(Results!$E$2:$E$5001))</f>
        <v>0</v>
      </c>
      <c r="BA71" s="6">
        <f>SUMPRODUCT((Results!$A$2:$A$5001=Schedule!BA$45)*(Results!$E$2:$E$5001))</f>
        <v>0</v>
      </c>
      <c r="BB71" s="6">
        <f>SUMPRODUCT((Results!$A$2:$A$5001=Schedule!BB$45)*(Results!$E$2:$E$5001))</f>
        <v>0</v>
      </c>
      <c r="BC71" s="6">
        <f>SUMPRODUCT((Results!$A$2:$A$5001=Schedule!BC$45)*(Results!$E$2:$E$5001))</f>
        <v>0</v>
      </c>
      <c r="BD71" s="6">
        <f>SUMPRODUCT((Results!$A$2:$A$5001=Schedule!BD$45)*(Results!$E$2:$E$5001))</f>
        <v>0</v>
      </c>
      <c r="BE71" s="6">
        <f>SUMPRODUCT((Results!$A$2:$A$5001=Schedule!BE$45)*(Results!$E$2:$E$5001))</f>
        <v>0</v>
      </c>
      <c r="BF71" s="6">
        <f>SUMPRODUCT((Results!$A$2:$A$5001=Schedule!BF$45)*(Results!$E$2:$E$5001))</f>
        <v>0</v>
      </c>
      <c r="BG71" s="6">
        <f>SUMPRODUCT((Results!$A$2:$A$5001=Schedule!BG$45)*(Results!$E$2:$E$5001))</f>
        <v>0</v>
      </c>
      <c r="BH71" s="6">
        <f>SUMPRODUCT((Results!$A$2:$A$5001=Schedule!BH$45)*(Results!$E$2:$E$5001))</f>
        <v>0</v>
      </c>
      <c r="BI71" s="6">
        <f>SUMPRODUCT((Results!$A$2:$A$5001=Schedule!BI$45)*(Results!$E$2:$E$5001))</f>
        <v>0</v>
      </c>
      <c r="BJ71" s="6">
        <f>SUMPRODUCT((Results!$A$2:$A$5001=Schedule!BJ$45)*(Results!$E$2:$E$5001))</f>
        <v>0</v>
      </c>
      <c r="BK71" s="6">
        <f>SUMPRODUCT((Results!$A$2:$A$5001=Schedule!BK$45)*(Results!$E$2:$E$5001))</f>
        <v>0</v>
      </c>
      <c r="BL71" s="6">
        <f>SUMPRODUCT((Results!$A$2:$A$5001=Schedule!BL$45)*(Results!$E$2:$E$5001))</f>
        <v>0</v>
      </c>
      <c r="BM71" s="6">
        <f>SUMPRODUCT((Results!$A$2:$A$5001=Schedule!BM$45)*(Results!$E$2:$E$5001))</f>
        <v>0</v>
      </c>
      <c r="BN71" s="6">
        <f>SUMPRODUCT((Results!$A$2:$A$5001=Schedule!BN$45)*(Results!$E$2:$E$5001))</f>
        <v>0</v>
      </c>
      <c r="BO71" s="6">
        <f>SUMPRODUCT((Results!$A$2:$A$5001=Schedule!BO$45)*(Results!$E$2:$E$5001))</f>
        <v>0</v>
      </c>
      <c r="BP71" s="6">
        <f>SUMPRODUCT((Results!$A$2:$A$5001=Schedule!BP$45)*(Results!$E$2:$E$5001))</f>
        <v>0</v>
      </c>
      <c r="BQ71" s="6">
        <f>SUMPRODUCT((Results!$A$2:$A$5001=Schedule!BQ$45)*(Results!$E$2:$E$5001))</f>
        <v>0</v>
      </c>
      <c r="BR71" s="6">
        <f>SUMPRODUCT((Results!$A$2:$A$5001=Schedule!BR$45)*(Results!$E$2:$E$5001))</f>
        <v>0</v>
      </c>
      <c r="BS71" s="6">
        <f>SUMPRODUCT((Results!$A$2:$A$5001=Schedule!BS$45)*(Results!$E$2:$E$5001))</f>
        <v>0</v>
      </c>
      <c r="BT71" s="6">
        <f>SUMPRODUCT((Results!$A$2:$A$5001=Schedule!BT$45)*(Results!$E$2:$E$5001))</f>
        <v>0</v>
      </c>
      <c r="BU71" s="6">
        <f>SUMPRODUCT((Results!$A$2:$A$5001=Schedule!BU$45)*(Results!$E$2:$E$5001))</f>
        <v>0</v>
      </c>
      <c r="BV71" s="6">
        <f>SUMPRODUCT((Results!$A$2:$A$5001=Schedule!BV$45)*(Results!$E$2:$E$5001))</f>
        <v>0</v>
      </c>
      <c r="BW71" s="6">
        <f>SUMPRODUCT((Results!$A$2:$A$5001=Schedule!BW$45)*(Results!$E$2:$E$5001))</f>
        <v>0</v>
      </c>
      <c r="BX71" s="6">
        <f>SUMPRODUCT((Results!$A$2:$A$5001=Schedule!BX$45)*(Results!$E$2:$E$5001))</f>
        <v>0</v>
      </c>
      <c r="BY71" s="6">
        <f>SUMPRODUCT((Results!$A$2:$A$5001=Schedule!BY$45)*(Results!$E$2:$E$5001))</f>
        <v>0</v>
      </c>
      <c r="BZ71" s="6">
        <f>SUMPRODUCT((Results!$A$2:$A$5001=Schedule!BZ$45)*(Results!$E$2:$E$5001))</f>
        <v>0</v>
      </c>
      <c r="CA71" s="6">
        <f>SUMPRODUCT((Results!$A$2:$A$5001=Schedule!CA$45)*(Results!$E$2:$E$5001))</f>
        <v>0</v>
      </c>
      <c r="CB71" s="6">
        <f>SUMPRODUCT((Results!$A$2:$A$5001=Schedule!CB$45)*(Results!$E$2:$E$5001))</f>
        <v>0</v>
      </c>
      <c r="CC71" s="6">
        <f>SUMPRODUCT((Results!$A$2:$A$5001=Schedule!CC$45)*(Results!$E$2:$E$5001))</f>
        <v>0</v>
      </c>
      <c r="CD71" s="6">
        <f>SUMPRODUCT((Results!$A$2:$A$5001=Schedule!CD$45)*(Results!$E$2:$E$5001))</f>
        <v>0</v>
      </c>
      <c r="CE71" s="6">
        <f>SUMPRODUCT((Results!$A$2:$A$5001=Schedule!CE$45)*(Results!$E$2:$E$5001))</f>
        <v>0</v>
      </c>
      <c r="CF71" s="6">
        <f>SUMPRODUCT((Results!$A$2:$A$5001=Schedule!CF$45)*(Results!$E$2:$E$5001))</f>
        <v>0</v>
      </c>
      <c r="CG71" s="6">
        <f>SUMPRODUCT((Results!$A$2:$A$5001=Schedule!CG$45)*(Results!$E$2:$E$5001))</f>
        <v>0</v>
      </c>
      <c r="CH71" s="6">
        <f>SUMPRODUCT((Results!$A$2:$A$5001=Schedule!CH$45)*(Results!$E$2:$E$5001))</f>
        <v>0</v>
      </c>
      <c r="CI71" s="6">
        <f>SUMPRODUCT((Results!$A$2:$A$5001=Schedule!CI$45)*(Results!$E$2:$E$5001))</f>
        <v>0</v>
      </c>
      <c r="CJ71" s="6">
        <f>SUMPRODUCT((Results!$A$2:$A$5001=Schedule!CJ$45)*(Results!$E$2:$E$5001))</f>
        <v>0</v>
      </c>
      <c r="CK71" s="6">
        <f>SUMPRODUCT((Results!$A$2:$A$5001=Schedule!CK$45)*(Results!$E$2:$E$5001))</f>
        <v>0</v>
      </c>
      <c r="CL71" s="6">
        <f>SUMPRODUCT((Results!$A$2:$A$5001=Schedule!CL$45)*(Results!$E$2:$E$5001))</f>
        <v>0</v>
      </c>
      <c r="CM71" s="6">
        <f>SUMPRODUCT((Results!$A$2:$A$5001=Schedule!CM$45)*(Results!$E$2:$E$5001))</f>
        <v>0</v>
      </c>
      <c r="CN71" s="6">
        <f>SUMPRODUCT((Results!$A$2:$A$5001=Schedule!CN$45)*(Results!$E$2:$E$5001))</f>
        <v>0</v>
      </c>
      <c r="CO71" s="6">
        <f>SUMPRODUCT((Results!$A$2:$A$5001=Schedule!CO$45)*(Results!$E$2:$E$5001))</f>
        <v>0</v>
      </c>
      <c r="CP71" s="6">
        <f>SUMPRODUCT((Results!$A$2:$A$5001=Schedule!CP$45)*(Results!$E$2:$E$5001))</f>
        <v>0</v>
      </c>
      <c r="CQ71" s="6">
        <f>SUMPRODUCT((Results!$A$2:$A$5001=Schedule!CQ$45)*(Results!$E$2:$E$5001))</f>
        <v>0</v>
      </c>
      <c r="CR71" s="6">
        <f>SUMPRODUCT((Results!$A$2:$A$5001=Schedule!CR$45)*(Results!$E$2:$E$5001))</f>
        <v>0</v>
      </c>
      <c r="CS71" s="6">
        <f>SUMPRODUCT((Results!$A$2:$A$5001=Schedule!CS$45)*(Results!$E$2:$E$5001))</f>
        <v>0</v>
      </c>
      <c r="CT71" s="6">
        <f>SUMPRODUCT((Results!$A$2:$A$5001=Schedule!CT$45)*(Results!$E$2:$E$5001))</f>
        <v>0</v>
      </c>
      <c r="CU71" s="6">
        <f>SUMPRODUCT((Results!$A$2:$A$5001=Schedule!CU$45)*(Results!$E$2:$E$5001))</f>
        <v>0</v>
      </c>
      <c r="CV71" s="6">
        <f>SUMPRODUCT((Results!$A$2:$A$5001=Schedule!CV$45)*(Results!$E$2:$E$5001))</f>
        <v>0</v>
      </c>
      <c r="CW71" s="6">
        <f>SUMPRODUCT((Results!$A$2:$A$5001=Schedule!CW$45)*(Results!$E$2:$E$5001))</f>
        <v>0</v>
      </c>
      <c r="CX71" s="6">
        <f>SUMPRODUCT((Results!$A$2:$A$5001=Schedule!CX$45)*(Results!$E$2:$E$5001))</f>
        <v>0</v>
      </c>
      <c r="CY71" s="6">
        <f>SUMPRODUCT((Results!$A$2:$A$5001=Schedule!CY$45)*(Results!$E$2:$E$5001))</f>
        <v>0</v>
      </c>
      <c r="CZ71" s="6">
        <f>SUMPRODUCT((Results!$A$2:$A$5001=Schedule!CZ$45)*(Results!$E$2:$E$5001))</f>
        <v>0</v>
      </c>
      <c r="DA71" s="6">
        <f>SUMPRODUCT((Results!$A$2:$A$5001=Schedule!DA$45)*(Results!$E$2:$E$5001))</f>
        <v>0</v>
      </c>
      <c r="DB71" s="6">
        <f>SUMPRODUCT((Results!$A$2:$A$5001=Schedule!DB$45)*(Results!$E$2:$E$5001))</f>
        <v>0</v>
      </c>
      <c r="DC71" s="6">
        <f>SUMPRODUCT((Results!$A$2:$A$5001=Schedule!DC$45)*(Results!$E$2:$E$5001))</f>
        <v>0</v>
      </c>
      <c r="DD71" s="6">
        <f>SUMPRODUCT((Results!$A$2:$A$5001=Schedule!DD$45)*(Results!$E$2:$E$5001))</f>
        <v>0</v>
      </c>
      <c r="DE71" s="6">
        <f>SUMPRODUCT((Results!$A$2:$A$5001=Schedule!DE$45)*(Results!$E$2:$E$5001))</f>
        <v>0</v>
      </c>
      <c r="DF71" s="6">
        <f>SUMPRODUCT((Results!$A$2:$A$5001=Schedule!DF$45)*(Results!$E$2:$E$5001))</f>
        <v>0</v>
      </c>
      <c r="DG71" s="6">
        <f>SUMPRODUCT((Results!$A$2:$A$5001=Schedule!DG$45)*(Results!$E$2:$E$5001))</f>
        <v>0</v>
      </c>
      <c r="DH71" s="6">
        <f>SUMPRODUCT((Results!$A$2:$A$5001=Schedule!DH$45)*(Results!$E$2:$E$5001))</f>
        <v>0</v>
      </c>
      <c r="DI71" s="6">
        <f>SUMPRODUCT((Results!$A$2:$A$5001=Schedule!DI$45)*(Results!$E$2:$E$5001))</f>
        <v>0</v>
      </c>
      <c r="DJ71" s="6">
        <f>SUMPRODUCT((Results!$A$2:$A$5001=Schedule!DJ$45)*(Results!$E$2:$E$5001))</f>
        <v>0</v>
      </c>
      <c r="DK71" s="6">
        <f>SUMPRODUCT((Results!$A$2:$A$5001=Schedule!DK$45)*(Results!$E$2:$E$5001))</f>
        <v>0</v>
      </c>
      <c r="DL71" s="6">
        <f>SUMPRODUCT((Results!$A$2:$A$5001=Schedule!DL$45)*(Results!$E$2:$E$5001))</f>
        <v>0</v>
      </c>
      <c r="DM71" s="6">
        <f>SUMPRODUCT((Results!$A$2:$A$5001=Schedule!DM$45)*(Results!$E$2:$E$5001))</f>
        <v>0</v>
      </c>
      <c r="DN71" s="6">
        <f>SUMPRODUCT((Results!$A$2:$A$5001=Schedule!DN$45)*(Results!$E$2:$E$5001))</f>
        <v>0</v>
      </c>
      <c r="DO71" s="6">
        <f>SUMPRODUCT((Results!$A$2:$A$5001=Schedule!DO$45)*(Results!$E$2:$E$5001))</f>
        <v>0</v>
      </c>
      <c r="DP71" s="6">
        <f>SUMPRODUCT((Results!$A$2:$A$5001=Schedule!DP$45)*(Results!$E$2:$E$5001))</f>
        <v>0</v>
      </c>
      <c r="DQ71" s="6">
        <f>SUMPRODUCT((Results!$A$2:$A$5001=Schedule!DQ$45)*(Results!$E$2:$E$5001))</f>
        <v>0</v>
      </c>
      <c r="DR71" s="6">
        <f>SUMPRODUCT((Results!$A$2:$A$5001=Schedule!DR$45)*(Results!$E$2:$E$5001))</f>
        <v>0</v>
      </c>
      <c r="DS71" s="6">
        <f>SUMPRODUCT((Results!$A$2:$A$5001=Schedule!DS$45)*(Results!$E$2:$E$5001))</f>
        <v>0</v>
      </c>
      <c r="DT71" s="6">
        <f>SUMPRODUCT((Results!$A$2:$A$5001=Schedule!DT$45)*(Results!$E$2:$E$5001))</f>
        <v>0</v>
      </c>
      <c r="DU71" s="6">
        <f>SUMPRODUCT((Results!$A$2:$A$5001=Schedule!DU$45)*(Results!$E$2:$E$5001))</f>
        <v>0</v>
      </c>
      <c r="DV71" s="6">
        <f>SUMPRODUCT((Results!$A$2:$A$5001=Schedule!DV$45)*(Results!$E$2:$E$5001))</f>
        <v>0</v>
      </c>
      <c r="DW71" s="6">
        <f>SUMPRODUCT((Results!$A$2:$A$5001=Schedule!DW$45)*(Results!$E$2:$E$5001))</f>
        <v>0</v>
      </c>
      <c r="DX71" s="6">
        <f>SUMPRODUCT((Results!$A$2:$A$5001=Schedule!DX$45)*(Results!$E$2:$E$5001))</f>
        <v>0</v>
      </c>
      <c r="DY71" s="6">
        <f>SUMPRODUCT((Results!$A$2:$A$5001=Schedule!DY$45)*(Results!$E$2:$E$5001))</f>
        <v>0</v>
      </c>
      <c r="DZ71" s="6">
        <f>SUMPRODUCT((Results!$A$2:$A$5001=Schedule!DZ$45)*(Results!$E$2:$E$5001))</f>
        <v>0</v>
      </c>
      <c r="EA71" s="6">
        <f>SUMPRODUCT((Results!$A$2:$A$5001=Schedule!EA$45)*(Results!$E$2:$E$5001))</f>
        <v>0</v>
      </c>
      <c r="EB71" s="6">
        <f>SUMPRODUCT((Results!$A$2:$A$5001=Schedule!EB$45)*(Results!$E$2:$E$5001))</f>
        <v>0</v>
      </c>
      <c r="EC71" s="6">
        <f>SUMPRODUCT((Results!$A$2:$A$5001=Schedule!EC$45)*(Results!$E$2:$E$5001))</f>
        <v>0</v>
      </c>
      <c r="ED71" s="6">
        <f>SUMPRODUCT((Results!$A$2:$A$5001=Schedule!ED$45)*(Results!$E$2:$E$5001))</f>
        <v>0</v>
      </c>
      <c r="EE71" s="6">
        <f>SUMPRODUCT((Results!$A$2:$A$5001=Schedule!EE$45)*(Results!$E$2:$E$5001))</f>
        <v>0</v>
      </c>
      <c r="EF71" s="6">
        <f>SUMPRODUCT((Results!$A$2:$A$5001=Schedule!EF$45)*(Results!$E$2:$E$5001))</f>
        <v>0</v>
      </c>
      <c r="EG71" s="6">
        <f>SUMPRODUCT((Results!$A$2:$A$5001=Schedule!EG$45)*(Results!$E$2:$E$5001))</f>
        <v>0</v>
      </c>
      <c r="EH71" s="6">
        <f>SUMPRODUCT((Results!$A$2:$A$5001=Schedule!EH$45)*(Results!$E$2:$E$5001))</f>
        <v>0</v>
      </c>
      <c r="EI71" s="6">
        <f>SUMPRODUCT((Results!$A$2:$A$5001=Schedule!EI$45)*(Results!$E$2:$E$5001))</f>
        <v>0</v>
      </c>
      <c r="EJ71" s="6">
        <f>SUMPRODUCT((Results!$A$2:$A$5001=Schedule!EJ$45)*(Results!$E$2:$E$5001))</f>
        <v>0</v>
      </c>
      <c r="EK71" s="6">
        <f>SUMPRODUCT((Results!$A$2:$A$5001=Schedule!EK$45)*(Results!$E$2:$E$5001))</f>
        <v>0</v>
      </c>
      <c r="EL71" s="6">
        <f>SUMPRODUCT((Results!$A$2:$A$5001=Schedule!EL$45)*(Results!$E$2:$E$5001))</f>
        <v>0</v>
      </c>
      <c r="EM71" s="6">
        <f>SUMPRODUCT((Results!$A$2:$A$5001=Schedule!EM$45)*(Results!$E$2:$E$5001))</f>
        <v>0</v>
      </c>
      <c r="EN71" s="6">
        <f>SUMPRODUCT((Results!$A$2:$A$5001=Schedule!EN$45)*(Results!$E$2:$E$5001))</f>
        <v>0</v>
      </c>
      <c r="EO71" s="6">
        <f>SUMPRODUCT((Results!$A$2:$A$5001=Schedule!EO$45)*(Results!$E$2:$E$5001))</f>
        <v>0</v>
      </c>
      <c r="EP71" s="6">
        <f>SUMPRODUCT((Results!$A$2:$A$5001=Schedule!EP$45)*(Results!$E$2:$E$5001))</f>
        <v>0</v>
      </c>
      <c r="EQ71" s="6">
        <f>SUMPRODUCT((Results!$A$2:$A$5001=Schedule!EQ$45)*(Results!$E$2:$E$5001))</f>
        <v>0</v>
      </c>
      <c r="ER71" s="6">
        <f>SUMPRODUCT((Results!$A$2:$A$5001=Schedule!ER$45)*(Results!$E$2:$E$5001))</f>
        <v>0</v>
      </c>
      <c r="ES71" s="6">
        <f>SUMPRODUCT((Results!$A$2:$A$5001=Schedule!ES$45)*(Results!$E$2:$E$5001))</f>
        <v>0</v>
      </c>
      <c r="ET71" s="6">
        <f>SUMPRODUCT((Results!$A$2:$A$5001=Schedule!ET$45)*(Results!$E$2:$E$5001))</f>
        <v>0</v>
      </c>
      <c r="EU71" s="6">
        <f>SUMPRODUCT((Results!$A$2:$A$5001=Schedule!EU$45)*(Results!$E$2:$E$5001))</f>
        <v>0</v>
      </c>
      <c r="EV71" s="6">
        <f>SUMPRODUCT((Results!$A$2:$A$5001=Schedule!EV$45)*(Results!$E$2:$E$5001))</f>
        <v>0</v>
      </c>
      <c r="EW71" s="6">
        <f>SUMPRODUCT((Results!$A$2:$A$5001=Schedule!EW$45)*(Results!$E$2:$E$5001))</f>
        <v>0</v>
      </c>
      <c r="EX71" s="6">
        <f>SUMPRODUCT((Results!$A$2:$A$5001=Schedule!EX$45)*(Results!$E$2:$E$5001))</f>
        <v>0</v>
      </c>
      <c r="EY71" s="6">
        <f>SUMPRODUCT((Results!$A$2:$A$5001=Schedule!EY$45)*(Results!$E$2:$E$5001))</f>
        <v>0</v>
      </c>
      <c r="EZ71" s="6">
        <f>SUMPRODUCT((Results!$A$2:$A$5001=Schedule!EZ$45)*(Results!$E$2:$E$5001))</f>
        <v>0</v>
      </c>
      <c r="FA71" s="6">
        <f>SUMPRODUCT((Results!$A$2:$A$5001=Schedule!FA$45)*(Results!$E$2:$E$5001))</f>
        <v>0</v>
      </c>
      <c r="FB71" s="6">
        <f>SUMPRODUCT((Results!$A$2:$A$5001=Schedule!FB$45)*(Results!$E$2:$E$5001))</f>
        <v>0</v>
      </c>
      <c r="FC71" s="6">
        <f>SUMPRODUCT((Results!$A$2:$A$5001=Schedule!FC$45)*(Results!$E$2:$E$5001))</f>
        <v>0</v>
      </c>
      <c r="FD71" s="6">
        <f>SUMPRODUCT((Results!$A$2:$A$5001=Schedule!FD$45)*(Results!$E$2:$E$5001))</f>
        <v>0</v>
      </c>
      <c r="FE71" s="6">
        <f>SUMPRODUCT((Results!$A$2:$A$5001=Schedule!FE$45)*(Results!$E$2:$E$5001))</f>
        <v>0</v>
      </c>
      <c r="FF71" s="6">
        <f>SUMPRODUCT((Results!$A$2:$A$5001=Schedule!FF$45)*(Results!$E$2:$E$5001))</f>
        <v>0</v>
      </c>
      <c r="FG71" s="6">
        <f>SUMPRODUCT((Results!$A$2:$A$5001=Schedule!FG$45)*(Results!$E$2:$E$5001))</f>
        <v>0</v>
      </c>
      <c r="FH71" s="6">
        <f>SUMPRODUCT((Results!$A$2:$A$5001=Schedule!FH$45)*(Results!$E$2:$E$5001))</f>
        <v>0</v>
      </c>
      <c r="FI71" s="6">
        <f>SUMPRODUCT((Results!$A$2:$A$5001=Schedule!FI$45)*(Results!$E$2:$E$5001))</f>
        <v>0</v>
      </c>
      <c r="FJ71" s="6">
        <f>SUMPRODUCT((Results!$A$2:$A$5001=Schedule!FJ$45)*(Results!$E$2:$E$5001))</f>
        <v>0</v>
      </c>
      <c r="FK71" s="6">
        <f>SUMPRODUCT((Results!$A$2:$A$5001=Schedule!FK$45)*(Results!$E$2:$E$5001))</f>
        <v>0</v>
      </c>
      <c r="FL71" s="6">
        <f>SUMPRODUCT((Results!$A$2:$A$5001=Schedule!FL$45)*(Results!$E$2:$E$5001))</f>
        <v>0</v>
      </c>
      <c r="FM71" s="6">
        <f>SUMPRODUCT((Results!$A$2:$A$5001=Schedule!FM$45)*(Results!$E$2:$E$5001))</f>
        <v>0</v>
      </c>
      <c r="FN71" s="6">
        <f>SUMPRODUCT((Results!$A$2:$A$5001=Schedule!FN$45)*(Results!$E$2:$E$5001))</f>
        <v>0</v>
      </c>
      <c r="FO71" s="6">
        <f>SUMPRODUCT((Results!$A$2:$A$5001=Schedule!FO$45)*(Results!$E$2:$E$5001))</f>
        <v>0</v>
      </c>
      <c r="FP71" s="6">
        <f>SUMPRODUCT((Results!$A$2:$A$5001=Schedule!FP$45)*(Results!$E$2:$E$5001))</f>
        <v>0</v>
      </c>
      <c r="FQ71" s="6">
        <f>SUMPRODUCT((Results!$A$2:$A$5001=Schedule!FQ$45)*(Results!$E$2:$E$5001))</f>
        <v>0</v>
      </c>
      <c r="FR71" s="6">
        <f>SUMPRODUCT((Results!$A$2:$A$5001=Schedule!FR$45)*(Results!$E$2:$E$5001))</f>
        <v>0</v>
      </c>
      <c r="FS71" s="6">
        <f>SUMPRODUCT((Results!$A$2:$A$5001=Schedule!FS$45)*(Results!$E$2:$E$5001))</f>
        <v>0</v>
      </c>
      <c r="FT71" s="6">
        <f>SUMPRODUCT((Results!$A$2:$A$5001=Schedule!FT$45)*(Results!$E$2:$E$5001))</f>
        <v>0</v>
      </c>
      <c r="FU71" s="6">
        <f>SUMPRODUCT((Results!$A$2:$A$5001=Schedule!FU$45)*(Results!$E$2:$E$5001))</f>
        <v>0</v>
      </c>
      <c r="FV71" s="6">
        <f>SUMPRODUCT((Results!$A$2:$A$5001=Schedule!FV$45)*(Results!$E$2:$E$5001))</f>
        <v>0</v>
      </c>
      <c r="FW71" s="6">
        <f>SUMPRODUCT((Results!$A$2:$A$5001=Schedule!FW$45)*(Results!$E$2:$E$5001))</f>
        <v>0</v>
      </c>
      <c r="FX71" s="6">
        <f>SUMPRODUCT((Results!$A$2:$A$5001=Schedule!FX$45)*(Results!$E$2:$E$5001))</f>
        <v>0</v>
      </c>
      <c r="FY71" s="6">
        <f>SUMPRODUCT((Results!$A$2:$A$5001=Schedule!FY$45)*(Results!$E$2:$E$5001))</f>
        <v>0</v>
      </c>
      <c r="FZ71" s="6">
        <f>SUMPRODUCT((Results!$A$2:$A$5001=Schedule!FZ$45)*(Results!$E$2:$E$5001))</f>
        <v>0</v>
      </c>
      <c r="GA71" s="6">
        <f>SUMPRODUCT((Results!$A$2:$A$5001=Schedule!GA$45)*(Results!$E$2:$E$5001))</f>
        <v>0</v>
      </c>
      <c r="GB71" s="6">
        <f>SUMPRODUCT((Results!$A$2:$A$5001=Schedule!GB$45)*(Results!$E$2:$E$5001))</f>
        <v>0</v>
      </c>
      <c r="GC71" s="6">
        <f>SUMPRODUCT((Results!$A$2:$A$5001=Schedule!GC$45)*(Results!$E$2:$E$5001))</f>
        <v>0</v>
      </c>
      <c r="GD71" s="6">
        <f>SUMPRODUCT((Results!$A$2:$A$5001=Schedule!GD$45)*(Results!$E$2:$E$5001))</f>
        <v>0</v>
      </c>
      <c r="GE71" s="6">
        <f>SUMPRODUCT((Results!$A$2:$A$5001=Schedule!GE$45)*(Results!$E$2:$E$5001))</f>
        <v>0</v>
      </c>
      <c r="GF71" s="6">
        <f>SUMPRODUCT((Results!$A$2:$A$5001=Schedule!GF$45)*(Results!$E$2:$E$5001))</f>
        <v>0</v>
      </c>
      <c r="GG71" s="6">
        <f>SUMPRODUCT((Results!$A$2:$A$5001=Schedule!GG$45)*(Results!$E$2:$E$5001))</f>
        <v>0</v>
      </c>
      <c r="GH71" s="6">
        <f>SUMPRODUCT((Results!$A$2:$A$5001=Schedule!GH$45)*(Results!$E$2:$E$5001))</f>
        <v>0</v>
      </c>
      <c r="GI71" s="6">
        <f>SUMPRODUCT((Results!$A$2:$A$5001=Schedule!GI$45)*(Results!$E$2:$E$5001))</f>
        <v>0</v>
      </c>
      <c r="GJ71" s="6">
        <f>SUMPRODUCT((Results!$A$2:$A$5001=Schedule!GJ$45)*(Results!$E$2:$E$5001))</f>
        <v>0</v>
      </c>
      <c r="GK71" s="6">
        <f>SUMPRODUCT((Results!$A$2:$A$5001=Schedule!GK$45)*(Results!$E$2:$E$5001))</f>
        <v>0</v>
      </c>
      <c r="GL71" s="6">
        <f>SUMPRODUCT((Results!$A$2:$A$5001=Schedule!GL$45)*(Results!$E$2:$E$5001))</f>
        <v>0</v>
      </c>
      <c r="GM71" s="6">
        <f>SUMPRODUCT((Results!$A$2:$A$5001=Schedule!GM$45)*(Results!$E$2:$E$5001))</f>
        <v>0</v>
      </c>
      <c r="GN71" s="6">
        <f>SUMPRODUCT((Results!$A$2:$A$5001=Schedule!GN$45)*(Results!$E$2:$E$5001))</f>
        <v>0</v>
      </c>
      <c r="GO71" s="6">
        <f>SUMPRODUCT((Results!$A$2:$A$5001=Schedule!GO$45)*(Results!$E$2:$E$5001))</f>
        <v>0</v>
      </c>
      <c r="GP71" s="6">
        <f>SUMPRODUCT((Results!$A$2:$A$5001=Schedule!GP$45)*(Results!$E$2:$E$5001))</f>
        <v>0</v>
      </c>
      <c r="GQ71" s="6">
        <f>SUMPRODUCT((Results!$A$2:$A$5001=Schedule!GQ$45)*(Results!$E$2:$E$5001))</f>
        <v>0</v>
      </c>
      <c r="GR71" s="6">
        <f>SUMPRODUCT((Results!$A$2:$A$5001=Schedule!GR$45)*(Results!$E$2:$E$5001))</f>
        <v>0</v>
      </c>
      <c r="GS71" s="6">
        <f>SUMPRODUCT((Results!$A$2:$A$5001=Schedule!GS$45)*(Results!$E$2:$E$5001))</f>
        <v>0</v>
      </c>
      <c r="GT71" s="6">
        <f>SUMPRODUCT((Results!$A$2:$A$5001=Schedule!GT$45)*(Results!$E$2:$E$5001))</f>
        <v>0</v>
      </c>
      <c r="GU71" s="6">
        <f>SUMPRODUCT((Results!$A$2:$A$5001=Schedule!GU$45)*(Results!$E$2:$E$5001))</f>
        <v>0</v>
      </c>
    </row>
    <row r="72" spans="1:204" ht="13.5" customHeight="1" x14ac:dyDescent="0.2">
      <c r="A72" s="40" t="s">
        <v>16</v>
      </c>
      <c r="B72" s="6">
        <f>SUM(C72:GU72)</f>
        <v>69.43419999999999</v>
      </c>
      <c r="C72" s="6">
        <f>SUMPRODUCT((Results!$A$2:$A$5001=Schedule!C$45)*(Results!$F$2:$F$5001))</f>
        <v>7.5004</v>
      </c>
      <c r="D72" s="6">
        <f>SUMPRODUCT((Results!$A$2:$A$5001=Schedule!D$45)*(Results!$F$2:$F$5001))</f>
        <v>14.9771</v>
      </c>
      <c r="E72" s="6">
        <f>SUMPRODUCT((Results!$A$2:$A$5001=Schedule!E$45)*(Results!$F$2:$F$5001))</f>
        <v>15.019599999999999</v>
      </c>
      <c r="F72" s="6">
        <f>SUMPRODUCT((Results!$A$2:$A$5001=Schedule!F$45)*(Results!$F$2:$F$5001))</f>
        <v>15.002899999999999</v>
      </c>
      <c r="G72" s="34">
        <f>SUMPRODUCT((Results!$A$2:$A$5001=Schedule!G$45)*(Results!$F$2:$F$5001))</f>
        <v>11.707400000000002</v>
      </c>
      <c r="H72" s="6">
        <f>SUMPRODUCT((Results!$A$2:$A$5001=Schedule!H$45)*(Results!$F$2:$F$5001))</f>
        <v>5.226799999999999</v>
      </c>
      <c r="I72" s="6">
        <f>SUMPRODUCT((Results!$A$2:$A$5001=Schedule!I$45)*(Results!$F$2:$F$5001))</f>
        <v>0</v>
      </c>
      <c r="J72" s="6">
        <f>SUMPRODUCT((Results!$A$2:$A$5001=Schedule!J$45)*(Results!$F$2:$F$5001))</f>
        <v>0</v>
      </c>
      <c r="K72" s="6">
        <f>SUMPRODUCT((Results!$A$2:$A$5001=Schedule!K$45)*(Results!$F$2:$F$5001))</f>
        <v>0</v>
      </c>
      <c r="L72" s="6">
        <f>SUMPRODUCT((Results!$A$2:$A$5001=Schedule!L$45)*(Results!$F$2:$F$5001))</f>
        <v>0</v>
      </c>
      <c r="M72" s="6">
        <f>SUMPRODUCT((Results!$A$2:$A$5001=Schedule!M$45)*(Results!$F$2:$F$5001))</f>
        <v>0</v>
      </c>
      <c r="N72" s="6">
        <f>SUMPRODUCT((Results!$A$2:$A$5001=Schedule!N$45)*(Results!$F$2:$F$5001))</f>
        <v>0</v>
      </c>
      <c r="O72" s="6">
        <f>SUMPRODUCT((Results!$A$2:$A$5001=Schedule!O$45)*(Results!$F$2:$F$5001))</f>
        <v>0</v>
      </c>
      <c r="P72" s="34">
        <f>SUMPRODUCT((Results!$A$2:$A$5001=Schedule!P$45)*(Results!$F$2:$F$5001))</f>
        <v>0</v>
      </c>
      <c r="Q72" s="6">
        <f>SUMPRODUCT((Results!$A$2:$A$5001=Schedule!Q$45)*(Results!$F$2:$F$5001))</f>
        <v>0</v>
      </c>
      <c r="R72" s="6">
        <f>SUMPRODUCT((Results!$A$2:$A$5001=Schedule!R$45)*(Results!$F$2:$F$5001))</f>
        <v>0</v>
      </c>
      <c r="S72" s="6">
        <f>SUMPRODUCT((Results!$A$2:$A$5001=Schedule!S$45)*(Results!$F$2:$F$5001))</f>
        <v>0</v>
      </c>
      <c r="T72" s="6">
        <f>SUMPRODUCT((Results!$A$2:$A$5001=Schedule!T$45)*(Results!$F$2:$F$5001))</f>
        <v>0</v>
      </c>
      <c r="U72" s="6">
        <f>SUMPRODUCT((Results!$A$2:$A$5001=Schedule!U$45)*(Results!$F$2:$F$5001))</f>
        <v>0</v>
      </c>
      <c r="V72" s="6">
        <f>SUMPRODUCT((Results!$A$2:$A$5001=Schedule!V$45)*(Results!$F$2:$F$5001))</f>
        <v>0</v>
      </c>
      <c r="W72" s="6">
        <f>SUMPRODUCT((Results!$A$2:$A$5001=Schedule!W$45)*(Results!$F$2:$F$5001))</f>
        <v>0</v>
      </c>
      <c r="X72" s="6">
        <f>SUMPRODUCT((Results!$A$2:$A$5001=Schedule!X$45)*(Results!$F$2:$F$5001))</f>
        <v>0</v>
      </c>
      <c r="Y72" s="6">
        <f>SUMPRODUCT((Results!$A$2:$A$5001=Schedule!Y$45)*(Results!$F$2:$F$5001))</f>
        <v>0</v>
      </c>
      <c r="Z72" s="6">
        <f>SUMPRODUCT((Results!$A$2:$A$5001=Schedule!Z$45)*(Results!$F$2:$F$5001))</f>
        <v>0</v>
      </c>
      <c r="AA72" s="6">
        <f>SUMPRODUCT((Results!$A$2:$A$5001=Schedule!AA$45)*(Results!$F$2:$F$5001))</f>
        <v>0</v>
      </c>
      <c r="AB72" s="6">
        <f>SUMPRODUCT((Results!$A$2:$A$5001=Schedule!AB$45)*(Results!$F$2:$F$5001))</f>
        <v>0</v>
      </c>
      <c r="AC72" s="6">
        <f>SUMPRODUCT((Results!$A$2:$A$5001=Schedule!AC$45)*(Results!$F$2:$F$5001))</f>
        <v>0</v>
      </c>
      <c r="AD72" s="6">
        <f>SUMPRODUCT((Results!$A$2:$A$5001=Schedule!AD$45)*(Results!$F$2:$F$5001))</f>
        <v>0</v>
      </c>
      <c r="AE72" s="6">
        <f>SUMPRODUCT((Results!$A$2:$A$5001=Schedule!AE$45)*(Results!$F$2:$F$5001))</f>
        <v>0</v>
      </c>
      <c r="AF72" s="6">
        <f>SUMPRODUCT((Results!$A$2:$A$5001=Schedule!AF$45)*(Results!$F$2:$F$5001))</f>
        <v>0</v>
      </c>
      <c r="AG72" s="6">
        <f>SUMPRODUCT((Results!$A$2:$A$5001=Schedule!AG$45)*(Results!$F$2:$F$5001))</f>
        <v>0</v>
      </c>
      <c r="AH72" s="6">
        <f>SUMPRODUCT((Results!$A$2:$A$5001=Schedule!AH$45)*(Results!$F$2:$F$5001))</f>
        <v>0</v>
      </c>
      <c r="AI72" s="6">
        <f>SUMPRODUCT((Results!$A$2:$A$5001=Schedule!AI$45)*(Results!$F$2:$F$5001))</f>
        <v>0</v>
      </c>
      <c r="AJ72" s="6">
        <f>SUMPRODUCT((Results!$A$2:$A$5001=Schedule!AJ$45)*(Results!$F$2:$F$5001))</f>
        <v>0</v>
      </c>
      <c r="AK72" s="6">
        <f>SUMPRODUCT((Results!$A$2:$A$5001=Schedule!AK$45)*(Results!$F$2:$F$5001))</f>
        <v>0</v>
      </c>
      <c r="AL72" s="6">
        <f>SUMPRODUCT((Results!$A$2:$A$5001=Schedule!AL$45)*(Results!$F$2:$F$5001))</f>
        <v>0</v>
      </c>
      <c r="AM72" s="6">
        <f>SUMPRODUCT((Results!$A$2:$A$5001=Schedule!AM$45)*(Results!$F$2:$F$5001))</f>
        <v>0</v>
      </c>
      <c r="AN72" s="6">
        <f>SUMPRODUCT((Results!$A$2:$A$5001=Schedule!AN$45)*(Results!$F$2:$F$5001))</f>
        <v>0</v>
      </c>
      <c r="AO72" s="6">
        <f>SUMPRODUCT((Results!$A$2:$A$5001=Schedule!AO$45)*(Results!$F$2:$F$5001))</f>
        <v>0</v>
      </c>
      <c r="AP72" s="6">
        <f>SUMPRODUCT((Results!$A$2:$A$5001=Schedule!AP$45)*(Results!$F$2:$F$5001))</f>
        <v>0</v>
      </c>
      <c r="AQ72" s="6">
        <f>SUMPRODUCT((Results!$A$2:$A$5001=Schedule!AQ$45)*(Results!$F$2:$F$5001))</f>
        <v>0</v>
      </c>
      <c r="AR72" s="6">
        <f>SUMPRODUCT((Results!$A$2:$A$5001=Schedule!AR$45)*(Results!$F$2:$F$5001))</f>
        <v>0</v>
      </c>
      <c r="AS72" s="6">
        <f>SUMPRODUCT((Results!$A$2:$A$5001=Schedule!AS$45)*(Results!$F$2:$F$5001))</f>
        <v>0</v>
      </c>
      <c r="AT72" s="6">
        <f>SUMPRODUCT((Results!$A$2:$A$5001=Schedule!AT$45)*(Results!$F$2:$F$5001))</f>
        <v>0</v>
      </c>
      <c r="AU72" s="6">
        <f>SUMPRODUCT((Results!$A$2:$A$5001=Schedule!AU$45)*(Results!$F$2:$F$5001))</f>
        <v>0</v>
      </c>
      <c r="AV72" s="6">
        <f>SUMPRODUCT((Results!$A$2:$A$5001=Schedule!AV$45)*(Results!$F$2:$F$5001))</f>
        <v>0</v>
      </c>
      <c r="AW72" s="6">
        <f>SUMPRODUCT((Results!$A$2:$A$5001=Schedule!AW$45)*(Results!$F$2:$F$5001))</f>
        <v>0</v>
      </c>
      <c r="AX72" s="6">
        <f>SUMPRODUCT((Results!$A$2:$A$5001=Schedule!AX$45)*(Results!$F$2:$F$5001))</f>
        <v>0</v>
      </c>
      <c r="AY72" s="6">
        <f>SUMPRODUCT((Results!$A$2:$A$5001=Schedule!AY$45)*(Results!$F$2:$F$5001))</f>
        <v>0</v>
      </c>
      <c r="AZ72" s="6">
        <f>SUMPRODUCT((Results!$A$2:$A$5001=Schedule!AZ$45)*(Results!$F$2:$F$5001))</f>
        <v>0</v>
      </c>
      <c r="BA72" s="6">
        <f>SUMPRODUCT((Results!$A$2:$A$5001=Schedule!BA$45)*(Results!$F$2:$F$5001))</f>
        <v>0</v>
      </c>
      <c r="BB72" s="6">
        <f>SUMPRODUCT((Results!$A$2:$A$5001=Schedule!BB$45)*(Results!$F$2:$F$5001))</f>
        <v>0</v>
      </c>
      <c r="BC72" s="6">
        <f>SUMPRODUCT((Results!$A$2:$A$5001=Schedule!BC$45)*(Results!$F$2:$F$5001))</f>
        <v>0</v>
      </c>
      <c r="BD72" s="6">
        <f>SUMPRODUCT((Results!$A$2:$A$5001=Schedule!BD$45)*(Results!$F$2:$F$5001))</f>
        <v>0</v>
      </c>
      <c r="BE72" s="6">
        <f>SUMPRODUCT((Results!$A$2:$A$5001=Schedule!BE$45)*(Results!$F$2:$F$5001))</f>
        <v>0</v>
      </c>
      <c r="BF72" s="6">
        <f>SUMPRODUCT((Results!$A$2:$A$5001=Schedule!BF$45)*(Results!$F$2:$F$5001))</f>
        <v>0</v>
      </c>
      <c r="BG72" s="6">
        <f>SUMPRODUCT((Results!$A$2:$A$5001=Schedule!BG$45)*(Results!$F$2:$F$5001))</f>
        <v>0</v>
      </c>
      <c r="BH72" s="6">
        <f>SUMPRODUCT((Results!$A$2:$A$5001=Schedule!BH$45)*(Results!$F$2:$F$5001))</f>
        <v>0</v>
      </c>
      <c r="BI72" s="6">
        <f>SUMPRODUCT((Results!$A$2:$A$5001=Schedule!BI$45)*(Results!$F$2:$F$5001))</f>
        <v>0</v>
      </c>
      <c r="BJ72" s="6">
        <f>SUMPRODUCT((Results!$A$2:$A$5001=Schedule!BJ$45)*(Results!$F$2:$F$5001))</f>
        <v>0</v>
      </c>
      <c r="BK72" s="6">
        <f>SUMPRODUCT((Results!$A$2:$A$5001=Schedule!BK$45)*(Results!$F$2:$F$5001))</f>
        <v>0</v>
      </c>
      <c r="BL72" s="6">
        <f>SUMPRODUCT((Results!$A$2:$A$5001=Schedule!BL$45)*(Results!$F$2:$F$5001))</f>
        <v>0</v>
      </c>
      <c r="BM72" s="6">
        <f>SUMPRODUCT((Results!$A$2:$A$5001=Schedule!BM$45)*(Results!$F$2:$F$5001))</f>
        <v>0</v>
      </c>
      <c r="BN72" s="6">
        <f>SUMPRODUCT((Results!$A$2:$A$5001=Schedule!BN$45)*(Results!$F$2:$F$5001))</f>
        <v>0</v>
      </c>
      <c r="BO72" s="6">
        <f>SUMPRODUCT((Results!$A$2:$A$5001=Schedule!BO$45)*(Results!$F$2:$F$5001))</f>
        <v>0</v>
      </c>
      <c r="BP72" s="6">
        <f>SUMPRODUCT((Results!$A$2:$A$5001=Schedule!BP$45)*(Results!$F$2:$F$5001))</f>
        <v>0</v>
      </c>
      <c r="BQ72" s="6">
        <f>SUMPRODUCT((Results!$A$2:$A$5001=Schedule!BQ$45)*(Results!$F$2:$F$5001))</f>
        <v>0</v>
      </c>
      <c r="BR72" s="6">
        <f>SUMPRODUCT((Results!$A$2:$A$5001=Schedule!BR$45)*(Results!$F$2:$F$5001))</f>
        <v>0</v>
      </c>
      <c r="BS72" s="6">
        <f>SUMPRODUCT((Results!$A$2:$A$5001=Schedule!BS$45)*(Results!$F$2:$F$5001))</f>
        <v>0</v>
      </c>
      <c r="BT72" s="6">
        <f>SUMPRODUCT((Results!$A$2:$A$5001=Schedule!BT$45)*(Results!$F$2:$F$5001))</f>
        <v>0</v>
      </c>
      <c r="BU72" s="6">
        <f>SUMPRODUCT((Results!$A$2:$A$5001=Schedule!BU$45)*(Results!$F$2:$F$5001))</f>
        <v>0</v>
      </c>
      <c r="BV72" s="6">
        <f>SUMPRODUCT((Results!$A$2:$A$5001=Schedule!BV$45)*(Results!$F$2:$F$5001))</f>
        <v>0</v>
      </c>
      <c r="BW72" s="6">
        <f>SUMPRODUCT((Results!$A$2:$A$5001=Schedule!BW$45)*(Results!$F$2:$F$5001))</f>
        <v>0</v>
      </c>
      <c r="BX72" s="6">
        <f>SUMPRODUCT((Results!$A$2:$A$5001=Schedule!BX$45)*(Results!$F$2:$F$5001))</f>
        <v>0</v>
      </c>
      <c r="BY72" s="6">
        <f>SUMPRODUCT((Results!$A$2:$A$5001=Schedule!BY$45)*(Results!$F$2:$F$5001))</f>
        <v>0</v>
      </c>
      <c r="BZ72" s="6">
        <f>SUMPRODUCT((Results!$A$2:$A$5001=Schedule!BZ$45)*(Results!$F$2:$F$5001))</f>
        <v>0</v>
      </c>
      <c r="CA72" s="6">
        <f>SUMPRODUCT((Results!$A$2:$A$5001=Schedule!CA$45)*(Results!$F$2:$F$5001))</f>
        <v>0</v>
      </c>
      <c r="CB72" s="6">
        <f>SUMPRODUCT((Results!$A$2:$A$5001=Schedule!CB$45)*(Results!$F$2:$F$5001))</f>
        <v>0</v>
      </c>
      <c r="CC72" s="6">
        <f>SUMPRODUCT((Results!$A$2:$A$5001=Schedule!CC$45)*(Results!$F$2:$F$5001))</f>
        <v>0</v>
      </c>
      <c r="CD72" s="6">
        <f>SUMPRODUCT((Results!$A$2:$A$5001=Schedule!CD$45)*(Results!$F$2:$F$5001))</f>
        <v>0</v>
      </c>
      <c r="CE72" s="6">
        <f>SUMPRODUCT((Results!$A$2:$A$5001=Schedule!CE$45)*(Results!$F$2:$F$5001))</f>
        <v>0</v>
      </c>
      <c r="CF72" s="6">
        <f>SUMPRODUCT((Results!$A$2:$A$5001=Schedule!CF$45)*(Results!$F$2:$F$5001))</f>
        <v>0</v>
      </c>
      <c r="CG72" s="6">
        <f>SUMPRODUCT((Results!$A$2:$A$5001=Schedule!CG$45)*(Results!$F$2:$F$5001))</f>
        <v>0</v>
      </c>
      <c r="CH72" s="6">
        <f>SUMPRODUCT((Results!$A$2:$A$5001=Schedule!CH$45)*(Results!$F$2:$F$5001))</f>
        <v>0</v>
      </c>
      <c r="CI72" s="6">
        <f>SUMPRODUCT((Results!$A$2:$A$5001=Schedule!CI$45)*(Results!$F$2:$F$5001))</f>
        <v>0</v>
      </c>
      <c r="CJ72" s="6">
        <f>SUMPRODUCT((Results!$A$2:$A$5001=Schedule!CJ$45)*(Results!$F$2:$F$5001))</f>
        <v>0</v>
      </c>
      <c r="CK72" s="6">
        <f>SUMPRODUCT((Results!$A$2:$A$5001=Schedule!CK$45)*(Results!$F$2:$F$5001))</f>
        <v>0</v>
      </c>
      <c r="CL72" s="6">
        <f>SUMPRODUCT((Results!$A$2:$A$5001=Schedule!CL$45)*(Results!$F$2:$F$5001))</f>
        <v>0</v>
      </c>
      <c r="CM72" s="6">
        <f>SUMPRODUCT((Results!$A$2:$A$5001=Schedule!CM$45)*(Results!$F$2:$F$5001))</f>
        <v>0</v>
      </c>
      <c r="CN72" s="6">
        <f>SUMPRODUCT((Results!$A$2:$A$5001=Schedule!CN$45)*(Results!$F$2:$F$5001))</f>
        <v>0</v>
      </c>
      <c r="CO72" s="6">
        <f>SUMPRODUCT((Results!$A$2:$A$5001=Schedule!CO$45)*(Results!$F$2:$F$5001))</f>
        <v>0</v>
      </c>
      <c r="CP72" s="6">
        <f>SUMPRODUCT((Results!$A$2:$A$5001=Schedule!CP$45)*(Results!$F$2:$F$5001))</f>
        <v>0</v>
      </c>
      <c r="CQ72" s="6">
        <f>SUMPRODUCT((Results!$A$2:$A$5001=Schedule!CQ$45)*(Results!$F$2:$F$5001))</f>
        <v>0</v>
      </c>
      <c r="CR72" s="6">
        <f>SUMPRODUCT((Results!$A$2:$A$5001=Schedule!CR$45)*(Results!$F$2:$F$5001))</f>
        <v>0</v>
      </c>
      <c r="CS72" s="6">
        <f>SUMPRODUCT((Results!$A$2:$A$5001=Schedule!CS$45)*(Results!$F$2:$F$5001))</f>
        <v>0</v>
      </c>
      <c r="CT72" s="6">
        <f>SUMPRODUCT((Results!$A$2:$A$5001=Schedule!CT$45)*(Results!$F$2:$F$5001))</f>
        <v>0</v>
      </c>
      <c r="CU72" s="6">
        <f>SUMPRODUCT((Results!$A$2:$A$5001=Schedule!CU$45)*(Results!$F$2:$F$5001))</f>
        <v>0</v>
      </c>
      <c r="CV72" s="6">
        <f>SUMPRODUCT((Results!$A$2:$A$5001=Schedule!CV$45)*(Results!$F$2:$F$5001))</f>
        <v>0</v>
      </c>
      <c r="CW72" s="6">
        <f>SUMPRODUCT((Results!$A$2:$A$5001=Schedule!CW$45)*(Results!$F$2:$F$5001))</f>
        <v>0</v>
      </c>
      <c r="CX72" s="6">
        <f>SUMPRODUCT((Results!$A$2:$A$5001=Schedule!CX$45)*(Results!$F$2:$F$5001))</f>
        <v>0</v>
      </c>
      <c r="CY72" s="6">
        <f>SUMPRODUCT((Results!$A$2:$A$5001=Schedule!CY$45)*(Results!$F$2:$F$5001))</f>
        <v>0</v>
      </c>
      <c r="CZ72" s="6">
        <f>SUMPRODUCT((Results!$A$2:$A$5001=Schedule!CZ$45)*(Results!$F$2:$F$5001))</f>
        <v>0</v>
      </c>
      <c r="DA72" s="6">
        <f>SUMPRODUCT((Results!$A$2:$A$5001=Schedule!DA$45)*(Results!$F$2:$F$5001))</f>
        <v>0</v>
      </c>
      <c r="DB72" s="6">
        <f>SUMPRODUCT((Results!$A$2:$A$5001=Schedule!DB$45)*(Results!$F$2:$F$5001))</f>
        <v>0</v>
      </c>
      <c r="DC72" s="6">
        <f>SUMPRODUCT((Results!$A$2:$A$5001=Schedule!DC$45)*(Results!$F$2:$F$5001))</f>
        <v>0</v>
      </c>
      <c r="DD72" s="6">
        <f>SUMPRODUCT((Results!$A$2:$A$5001=Schedule!DD$45)*(Results!$F$2:$F$5001))</f>
        <v>0</v>
      </c>
      <c r="DE72" s="6">
        <f>SUMPRODUCT((Results!$A$2:$A$5001=Schedule!DE$45)*(Results!$F$2:$F$5001))</f>
        <v>0</v>
      </c>
      <c r="DF72" s="6">
        <f>SUMPRODUCT((Results!$A$2:$A$5001=Schedule!DF$45)*(Results!$F$2:$F$5001))</f>
        <v>0</v>
      </c>
      <c r="DG72" s="6">
        <f>SUMPRODUCT((Results!$A$2:$A$5001=Schedule!DG$45)*(Results!$F$2:$F$5001))</f>
        <v>0</v>
      </c>
      <c r="DH72" s="6">
        <f>SUMPRODUCT((Results!$A$2:$A$5001=Schedule!DH$45)*(Results!$F$2:$F$5001))</f>
        <v>0</v>
      </c>
      <c r="DI72" s="6">
        <f>SUMPRODUCT((Results!$A$2:$A$5001=Schedule!DI$45)*(Results!$F$2:$F$5001))</f>
        <v>0</v>
      </c>
      <c r="DJ72" s="6">
        <f>SUMPRODUCT((Results!$A$2:$A$5001=Schedule!DJ$45)*(Results!$F$2:$F$5001))</f>
        <v>0</v>
      </c>
      <c r="DK72" s="6">
        <f>SUMPRODUCT((Results!$A$2:$A$5001=Schedule!DK$45)*(Results!$F$2:$F$5001))</f>
        <v>0</v>
      </c>
      <c r="DL72" s="6">
        <f>SUMPRODUCT((Results!$A$2:$A$5001=Schedule!DL$45)*(Results!$F$2:$F$5001))</f>
        <v>0</v>
      </c>
      <c r="DM72" s="6">
        <f>SUMPRODUCT((Results!$A$2:$A$5001=Schedule!DM$45)*(Results!$F$2:$F$5001))</f>
        <v>0</v>
      </c>
      <c r="DN72" s="6">
        <f>SUMPRODUCT((Results!$A$2:$A$5001=Schedule!DN$45)*(Results!$F$2:$F$5001))</f>
        <v>0</v>
      </c>
      <c r="DO72" s="6">
        <f>SUMPRODUCT((Results!$A$2:$A$5001=Schedule!DO$45)*(Results!$F$2:$F$5001))</f>
        <v>0</v>
      </c>
      <c r="DP72" s="6">
        <f>SUMPRODUCT((Results!$A$2:$A$5001=Schedule!DP$45)*(Results!$F$2:$F$5001))</f>
        <v>0</v>
      </c>
      <c r="DQ72" s="6">
        <f>SUMPRODUCT((Results!$A$2:$A$5001=Schedule!DQ$45)*(Results!$F$2:$F$5001))</f>
        <v>0</v>
      </c>
      <c r="DR72" s="6">
        <f>SUMPRODUCT((Results!$A$2:$A$5001=Schedule!DR$45)*(Results!$F$2:$F$5001))</f>
        <v>0</v>
      </c>
      <c r="DS72" s="6">
        <f>SUMPRODUCT((Results!$A$2:$A$5001=Schedule!DS$45)*(Results!$F$2:$F$5001))</f>
        <v>0</v>
      </c>
      <c r="DT72" s="6">
        <f>SUMPRODUCT((Results!$A$2:$A$5001=Schedule!DT$45)*(Results!$F$2:$F$5001))</f>
        <v>0</v>
      </c>
      <c r="DU72" s="6">
        <f>SUMPRODUCT((Results!$A$2:$A$5001=Schedule!DU$45)*(Results!$F$2:$F$5001))</f>
        <v>0</v>
      </c>
      <c r="DV72" s="6">
        <f>SUMPRODUCT((Results!$A$2:$A$5001=Schedule!DV$45)*(Results!$F$2:$F$5001))</f>
        <v>0</v>
      </c>
      <c r="DW72" s="6">
        <f>SUMPRODUCT((Results!$A$2:$A$5001=Schedule!DW$45)*(Results!$F$2:$F$5001))</f>
        <v>0</v>
      </c>
      <c r="DX72" s="6">
        <f>SUMPRODUCT((Results!$A$2:$A$5001=Schedule!DX$45)*(Results!$F$2:$F$5001))</f>
        <v>0</v>
      </c>
      <c r="DY72" s="6">
        <f>SUMPRODUCT((Results!$A$2:$A$5001=Schedule!DY$45)*(Results!$F$2:$F$5001))</f>
        <v>0</v>
      </c>
      <c r="DZ72" s="6">
        <f>SUMPRODUCT((Results!$A$2:$A$5001=Schedule!DZ$45)*(Results!$F$2:$F$5001))</f>
        <v>0</v>
      </c>
      <c r="EA72" s="6">
        <f>SUMPRODUCT((Results!$A$2:$A$5001=Schedule!EA$45)*(Results!$F$2:$F$5001))</f>
        <v>0</v>
      </c>
      <c r="EB72" s="6">
        <f>SUMPRODUCT((Results!$A$2:$A$5001=Schedule!EB$45)*(Results!$F$2:$F$5001))</f>
        <v>0</v>
      </c>
      <c r="EC72" s="6">
        <f>SUMPRODUCT((Results!$A$2:$A$5001=Schedule!EC$45)*(Results!$F$2:$F$5001))</f>
        <v>0</v>
      </c>
      <c r="ED72" s="6">
        <f>SUMPRODUCT((Results!$A$2:$A$5001=Schedule!ED$45)*(Results!$F$2:$F$5001))</f>
        <v>0</v>
      </c>
      <c r="EE72" s="6">
        <f>SUMPRODUCT((Results!$A$2:$A$5001=Schedule!EE$45)*(Results!$F$2:$F$5001))</f>
        <v>0</v>
      </c>
      <c r="EF72" s="6">
        <f>SUMPRODUCT((Results!$A$2:$A$5001=Schedule!EF$45)*(Results!$F$2:$F$5001))</f>
        <v>0</v>
      </c>
      <c r="EG72" s="6">
        <f>SUMPRODUCT((Results!$A$2:$A$5001=Schedule!EG$45)*(Results!$F$2:$F$5001))</f>
        <v>0</v>
      </c>
      <c r="EH72" s="6">
        <f>SUMPRODUCT((Results!$A$2:$A$5001=Schedule!EH$45)*(Results!$F$2:$F$5001))</f>
        <v>0</v>
      </c>
      <c r="EI72" s="6">
        <f>SUMPRODUCT((Results!$A$2:$A$5001=Schedule!EI$45)*(Results!$F$2:$F$5001))</f>
        <v>0</v>
      </c>
      <c r="EJ72" s="6">
        <f>SUMPRODUCT((Results!$A$2:$A$5001=Schedule!EJ$45)*(Results!$F$2:$F$5001))</f>
        <v>0</v>
      </c>
      <c r="EK72" s="6">
        <f>SUMPRODUCT((Results!$A$2:$A$5001=Schedule!EK$45)*(Results!$F$2:$F$5001))</f>
        <v>0</v>
      </c>
      <c r="EL72" s="6">
        <f>SUMPRODUCT((Results!$A$2:$A$5001=Schedule!EL$45)*(Results!$F$2:$F$5001))</f>
        <v>0</v>
      </c>
      <c r="EM72" s="6">
        <f>SUMPRODUCT((Results!$A$2:$A$5001=Schedule!EM$45)*(Results!$F$2:$F$5001))</f>
        <v>0</v>
      </c>
      <c r="EN72" s="6">
        <f>SUMPRODUCT((Results!$A$2:$A$5001=Schedule!EN$45)*(Results!$F$2:$F$5001))</f>
        <v>0</v>
      </c>
      <c r="EO72" s="6">
        <f>SUMPRODUCT((Results!$A$2:$A$5001=Schedule!EO$45)*(Results!$F$2:$F$5001))</f>
        <v>0</v>
      </c>
      <c r="EP72" s="6">
        <f>SUMPRODUCT((Results!$A$2:$A$5001=Schedule!EP$45)*(Results!$F$2:$F$5001))</f>
        <v>0</v>
      </c>
      <c r="EQ72" s="6">
        <f>SUMPRODUCT((Results!$A$2:$A$5001=Schedule!EQ$45)*(Results!$F$2:$F$5001))</f>
        <v>0</v>
      </c>
      <c r="ER72" s="6">
        <f>SUMPRODUCT((Results!$A$2:$A$5001=Schedule!ER$45)*(Results!$F$2:$F$5001))</f>
        <v>0</v>
      </c>
      <c r="ES72" s="6">
        <f>SUMPRODUCT((Results!$A$2:$A$5001=Schedule!ES$45)*(Results!$F$2:$F$5001))</f>
        <v>0</v>
      </c>
      <c r="ET72" s="6">
        <f>SUMPRODUCT((Results!$A$2:$A$5001=Schedule!ET$45)*(Results!$F$2:$F$5001))</f>
        <v>0</v>
      </c>
      <c r="EU72" s="6">
        <f>SUMPRODUCT((Results!$A$2:$A$5001=Schedule!EU$45)*(Results!$F$2:$F$5001))</f>
        <v>0</v>
      </c>
      <c r="EV72" s="6">
        <f>SUMPRODUCT((Results!$A$2:$A$5001=Schedule!EV$45)*(Results!$F$2:$F$5001))</f>
        <v>0</v>
      </c>
      <c r="EW72" s="6">
        <f>SUMPRODUCT((Results!$A$2:$A$5001=Schedule!EW$45)*(Results!$F$2:$F$5001))</f>
        <v>0</v>
      </c>
      <c r="EX72" s="6">
        <f>SUMPRODUCT((Results!$A$2:$A$5001=Schedule!EX$45)*(Results!$F$2:$F$5001))</f>
        <v>0</v>
      </c>
      <c r="EY72" s="6">
        <f>SUMPRODUCT((Results!$A$2:$A$5001=Schedule!EY$45)*(Results!$F$2:$F$5001))</f>
        <v>0</v>
      </c>
      <c r="EZ72" s="6">
        <f>SUMPRODUCT((Results!$A$2:$A$5001=Schedule!EZ$45)*(Results!$F$2:$F$5001))</f>
        <v>0</v>
      </c>
      <c r="FA72" s="6">
        <f>SUMPRODUCT((Results!$A$2:$A$5001=Schedule!FA$45)*(Results!$F$2:$F$5001))</f>
        <v>0</v>
      </c>
      <c r="FB72" s="6">
        <f>SUMPRODUCT((Results!$A$2:$A$5001=Schedule!FB$45)*(Results!$F$2:$F$5001))</f>
        <v>0</v>
      </c>
      <c r="FC72" s="6">
        <f>SUMPRODUCT((Results!$A$2:$A$5001=Schedule!FC$45)*(Results!$F$2:$F$5001))</f>
        <v>0</v>
      </c>
      <c r="FD72" s="6">
        <f>SUMPRODUCT((Results!$A$2:$A$5001=Schedule!FD$45)*(Results!$F$2:$F$5001))</f>
        <v>0</v>
      </c>
      <c r="FE72" s="6">
        <f>SUMPRODUCT((Results!$A$2:$A$5001=Schedule!FE$45)*(Results!$F$2:$F$5001))</f>
        <v>0</v>
      </c>
      <c r="FF72" s="6">
        <f>SUMPRODUCT((Results!$A$2:$A$5001=Schedule!FF$45)*(Results!$F$2:$F$5001))</f>
        <v>0</v>
      </c>
      <c r="FG72" s="6">
        <f>SUMPRODUCT((Results!$A$2:$A$5001=Schedule!FG$45)*(Results!$F$2:$F$5001))</f>
        <v>0</v>
      </c>
      <c r="FH72" s="6">
        <f>SUMPRODUCT((Results!$A$2:$A$5001=Schedule!FH$45)*(Results!$F$2:$F$5001))</f>
        <v>0</v>
      </c>
      <c r="FI72" s="6">
        <f>SUMPRODUCT((Results!$A$2:$A$5001=Schedule!FI$45)*(Results!$F$2:$F$5001))</f>
        <v>0</v>
      </c>
      <c r="FJ72" s="6">
        <f>SUMPRODUCT((Results!$A$2:$A$5001=Schedule!FJ$45)*(Results!$F$2:$F$5001))</f>
        <v>0</v>
      </c>
      <c r="FK72" s="6">
        <f>SUMPRODUCT((Results!$A$2:$A$5001=Schedule!FK$45)*(Results!$F$2:$F$5001))</f>
        <v>0</v>
      </c>
      <c r="FL72" s="6">
        <f>SUMPRODUCT((Results!$A$2:$A$5001=Schedule!FL$45)*(Results!$F$2:$F$5001))</f>
        <v>0</v>
      </c>
      <c r="FM72" s="6">
        <f>SUMPRODUCT((Results!$A$2:$A$5001=Schedule!FM$45)*(Results!$F$2:$F$5001))</f>
        <v>0</v>
      </c>
      <c r="FN72" s="6">
        <f>SUMPRODUCT((Results!$A$2:$A$5001=Schedule!FN$45)*(Results!$F$2:$F$5001))</f>
        <v>0</v>
      </c>
      <c r="FO72" s="6">
        <f>SUMPRODUCT((Results!$A$2:$A$5001=Schedule!FO$45)*(Results!$F$2:$F$5001))</f>
        <v>0</v>
      </c>
      <c r="FP72" s="6">
        <f>SUMPRODUCT((Results!$A$2:$A$5001=Schedule!FP$45)*(Results!$F$2:$F$5001))</f>
        <v>0</v>
      </c>
      <c r="FQ72" s="6">
        <f>SUMPRODUCT((Results!$A$2:$A$5001=Schedule!FQ$45)*(Results!$F$2:$F$5001))</f>
        <v>0</v>
      </c>
      <c r="FR72" s="6">
        <f>SUMPRODUCT((Results!$A$2:$A$5001=Schedule!FR$45)*(Results!$F$2:$F$5001))</f>
        <v>0</v>
      </c>
      <c r="FS72" s="6">
        <f>SUMPRODUCT((Results!$A$2:$A$5001=Schedule!FS$45)*(Results!$F$2:$F$5001))</f>
        <v>0</v>
      </c>
      <c r="FT72" s="6">
        <f>SUMPRODUCT((Results!$A$2:$A$5001=Schedule!FT$45)*(Results!$F$2:$F$5001))</f>
        <v>0</v>
      </c>
      <c r="FU72" s="6">
        <f>SUMPRODUCT((Results!$A$2:$A$5001=Schedule!FU$45)*(Results!$F$2:$F$5001))</f>
        <v>0</v>
      </c>
      <c r="FV72" s="6">
        <f>SUMPRODUCT((Results!$A$2:$A$5001=Schedule!FV$45)*(Results!$F$2:$F$5001))</f>
        <v>0</v>
      </c>
      <c r="FW72" s="6">
        <f>SUMPRODUCT((Results!$A$2:$A$5001=Schedule!FW$45)*(Results!$F$2:$F$5001))</f>
        <v>0</v>
      </c>
      <c r="FX72" s="6">
        <f>SUMPRODUCT((Results!$A$2:$A$5001=Schedule!FX$45)*(Results!$F$2:$F$5001))</f>
        <v>0</v>
      </c>
      <c r="FY72" s="6">
        <f>SUMPRODUCT((Results!$A$2:$A$5001=Schedule!FY$45)*(Results!$F$2:$F$5001))</f>
        <v>0</v>
      </c>
      <c r="FZ72" s="6">
        <f>SUMPRODUCT((Results!$A$2:$A$5001=Schedule!FZ$45)*(Results!$F$2:$F$5001))</f>
        <v>0</v>
      </c>
      <c r="GA72" s="6">
        <f>SUMPRODUCT((Results!$A$2:$A$5001=Schedule!GA$45)*(Results!$F$2:$F$5001))</f>
        <v>0</v>
      </c>
      <c r="GB72" s="6">
        <f>SUMPRODUCT((Results!$A$2:$A$5001=Schedule!GB$45)*(Results!$F$2:$F$5001))</f>
        <v>0</v>
      </c>
      <c r="GC72" s="6">
        <f>SUMPRODUCT((Results!$A$2:$A$5001=Schedule!GC$45)*(Results!$F$2:$F$5001))</f>
        <v>0</v>
      </c>
      <c r="GD72" s="6">
        <f>SUMPRODUCT((Results!$A$2:$A$5001=Schedule!GD$45)*(Results!$F$2:$F$5001))</f>
        <v>0</v>
      </c>
      <c r="GE72" s="6">
        <f>SUMPRODUCT((Results!$A$2:$A$5001=Schedule!GE$45)*(Results!$F$2:$F$5001))</f>
        <v>0</v>
      </c>
      <c r="GF72" s="6">
        <f>SUMPRODUCT((Results!$A$2:$A$5001=Schedule!GF$45)*(Results!$F$2:$F$5001))</f>
        <v>0</v>
      </c>
      <c r="GG72" s="6">
        <f>SUMPRODUCT((Results!$A$2:$A$5001=Schedule!GG$45)*(Results!$F$2:$F$5001))</f>
        <v>0</v>
      </c>
      <c r="GH72" s="6">
        <f>SUMPRODUCT((Results!$A$2:$A$5001=Schedule!GH$45)*(Results!$F$2:$F$5001))</f>
        <v>0</v>
      </c>
      <c r="GI72" s="6">
        <f>SUMPRODUCT((Results!$A$2:$A$5001=Schedule!GI$45)*(Results!$F$2:$F$5001))</f>
        <v>0</v>
      </c>
      <c r="GJ72" s="6">
        <f>SUMPRODUCT((Results!$A$2:$A$5001=Schedule!GJ$45)*(Results!$F$2:$F$5001))</f>
        <v>0</v>
      </c>
      <c r="GK72" s="6">
        <f>SUMPRODUCT((Results!$A$2:$A$5001=Schedule!GK$45)*(Results!$F$2:$F$5001))</f>
        <v>0</v>
      </c>
      <c r="GL72" s="6">
        <f>SUMPRODUCT((Results!$A$2:$A$5001=Schedule!GL$45)*(Results!$F$2:$F$5001))</f>
        <v>0</v>
      </c>
      <c r="GM72" s="6">
        <f>SUMPRODUCT((Results!$A$2:$A$5001=Schedule!GM$45)*(Results!$F$2:$F$5001))</f>
        <v>0</v>
      </c>
      <c r="GN72" s="6">
        <f>SUMPRODUCT((Results!$A$2:$A$5001=Schedule!GN$45)*(Results!$F$2:$F$5001))</f>
        <v>0</v>
      </c>
      <c r="GO72" s="6">
        <f>SUMPRODUCT((Results!$A$2:$A$5001=Schedule!GO$45)*(Results!$F$2:$F$5001))</f>
        <v>0</v>
      </c>
      <c r="GP72" s="6">
        <f>SUMPRODUCT((Results!$A$2:$A$5001=Schedule!GP$45)*(Results!$F$2:$F$5001))</f>
        <v>0</v>
      </c>
      <c r="GQ72" s="6">
        <f>SUMPRODUCT((Results!$A$2:$A$5001=Schedule!GQ$45)*(Results!$F$2:$F$5001))</f>
        <v>0</v>
      </c>
      <c r="GR72" s="6">
        <f>SUMPRODUCT((Results!$A$2:$A$5001=Schedule!GR$45)*(Results!$F$2:$F$5001))</f>
        <v>0</v>
      </c>
      <c r="GS72" s="6">
        <f>SUMPRODUCT((Results!$A$2:$A$5001=Schedule!GS$45)*(Results!$F$2:$F$5001))</f>
        <v>0</v>
      </c>
      <c r="GT72" s="6">
        <f>SUMPRODUCT((Results!$A$2:$A$5001=Schedule!GT$45)*(Results!$F$2:$F$5001))</f>
        <v>0</v>
      </c>
      <c r="GU72" s="6">
        <f>SUMPRODUCT((Results!$A$2:$A$5001=Schedule!GU$45)*(Results!$F$2:$F$5001))</f>
        <v>0</v>
      </c>
    </row>
    <row r="73" spans="1:204" ht="13.5" customHeight="1" x14ac:dyDescent="0.2">
      <c r="A73" s="40" t="s">
        <v>12</v>
      </c>
      <c r="B73" s="6"/>
      <c r="C73" s="88">
        <f>MAX(SUMPRODUCT((Results!$A$2:$A$5001=Schedule!C$45)*(Results!$B$2:$B$5001=1)*(Results!$G$2:$G$5001)*1),SUMPRODUCT((Results!$A$2:$A$5001=Schedule!C$45)*(Results!$B$2:$B$5001=2)*(Results!$G$2:$G$5001)*1),SUMPRODUCT((Results!$A$2:$A$5001=Schedule!C$45)*(Results!$B$2:$B$5001=3)*(Results!$G$2:$G$5001)*1),SUMPRODUCT((Results!$A$2:$A$5001=Schedule!C$45)*(Results!$B$2:$B$5001=4)*(Results!$G$2:$G$5001)*1),SUMPRODUCT((Results!$A$2:$A$5001=Schedule!C$45)*(Results!$B$2:$B$5001=5)*(Results!$G$2:$G$5001)*1),SUMPRODUCT((Results!$A$2:$A$5001=Schedule!C$45)*(Results!$B$2:$B$5001=6)*(Results!$G$2:$G$5001)*1),SUMPRODUCT((Results!$A$2:$A$5001=Schedule!C$45)*(Results!$B$2:$B$5001=7)*(Results!$G$2:$G$5001)*1),SUMPRODUCT((Results!$A$2:$A$5001=Schedule!C$45)*(Results!$B$2:$B$5001=8)*(Results!$G$2:$G$5001)*1),SUMPRODUCT((Results!$A$2:$A$5001=Schedule!C$45)*(Results!$B$2:$B$5001=9)*(Results!$G$2:$G$5001)*1),SUMPRODUCT((Results!$A$2:$A$5001=Schedule!C$45)*(Results!$B$2:$B$5001=10)*(Results!$G$2:$G$5001)*1),SUMPRODUCT((Results!$A$2:$A$5001=Schedule!C$45)*(Results!$B$2:$B$5001=11)*(Results!$G$2:$G$5001)*1),SUMPRODUCT((Results!$A$2:$A$5001=Schedule!C$45)*(Results!$B$2:$B$5001=12)*(Results!$G$2:$G$5001)*1),SUMPRODUCT((Results!$A$2:$A$5001=Schedule!C$45)*(Results!$B$2:$B$5001=13)*(Results!$G$2:$G$5001)*1),SUMPRODUCT((Results!$A$2:$A$5001=Schedule!C$45)*(Results!$B$2:$B$5001=14)*(Results!$G$2:$G$5001)*1),SUMPRODUCT((Results!$A$2:$A$5001=Schedule!C$45)*(Results!$B$2:$B$5001=15)*(Results!$G$2:$G$5001)*1),SUMPRODUCT((Results!$A$2:$A$5001=Schedule!C$45)*(Results!$B$2:$B$5001=16)*(Results!$G$2:$G$5001)*1),SUMPRODUCT((Results!$A$2:$A$5001=Schedule!C$45)*(Results!$B$2:$B$5001=17)*(Results!$G$2:$G$5001)*1),SUMPRODUCT((Results!$A$2:$A$5001=Schedule!C$45)*(Results!$B$2:$B$5001=18)*(Results!$G$2:$G$5001)*1),SUMPRODUCT((Results!$A$2:$A$5001=Schedule!C$45)*(Results!$B$2:$B$5001=19)*(Results!$G$2:$G$5001)*1),SUMPRODUCT((Results!$A$2:$A$5001=Schedule!C$45)*(Results!$B$2:$B$5001=20)*(Results!$G$2:$G$5001)*1))</f>
        <v>7.5454999999999997</v>
      </c>
      <c r="D73" s="88">
        <f>MAX(SUMPRODUCT((Results!$A$2:$A$5001=Schedule!D$45)*(Results!$B$2:$B$5001=1)*(Results!$G$2:$G$5001)*1),SUMPRODUCT((Results!$A$2:$A$5001=Schedule!D$45)*(Results!$B$2:$B$5001=2)*(Results!$G$2:$G$5001)*1),SUMPRODUCT((Results!$A$2:$A$5001=Schedule!D$45)*(Results!$B$2:$B$5001=3)*(Results!$G$2:$G$5001)*1),SUMPRODUCT((Results!$A$2:$A$5001=Schedule!D$45)*(Results!$B$2:$B$5001=4)*(Results!$G$2:$G$5001)*1),SUMPRODUCT((Results!$A$2:$A$5001=Schedule!D$45)*(Results!$B$2:$B$5001=5)*(Results!$G$2:$G$5001)*1),SUMPRODUCT((Results!$A$2:$A$5001=Schedule!D$45)*(Results!$B$2:$B$5001=6)*(Results!$G$2:$G$5001)*1),SUMPRODUCT((Results!$A$2:$A$5001=Schedule!D$45)*(Results!$B$2:$B$5001=7)*(Results!$G$2:$G$5001)*1),SUMPRODUCT((Results!$A$2:$A$5001=Schedule!D$45)*(Results!$B$2:$B$5001=8)*(Results!$G$2:$G$5001)*1),SUMPRODUCT((Results!$A$2:$A$5001=Schedule!D$45)*(Results!$B$2:$B$5001=9)*(Results!$G$2:$G$5001)*1),SUMPRODUCT((Results!$A$2:$A$5001=Schedule!D$45)*(Results!$B$2:$B$5001=10)*(Results!$G$2:$G$5001)*1),SUMPRODUCT((Results!$A$2:$A$5001=Schedule!D$45)*(Results!$B$2:$B$5001=11)*(Results!$G$2:$G$5001)*1),SUMPRODUCT((Results!$A$2:$A$5001=Schedule!D$45)*(Results!$B$2:$B$5001=12)*(Results!$G$2:$G$5001)*1),SUMPRODUCT((Results!$A$2:$A$5001=Schedule!D$45)*(Results!$B$2:$B$5001=13)*(Results!$G$2:$G$5001)*1),SUMPRODUCT((Results!$A$2:$A$5001=Schedule!D$45)*(Results!$B$2:$B$5001=14)*(Results!$G$2:$G$5001)*1),SUMPRODUCT((Results!$A$2:$A$5001=Schedule!D$45)*(Results!$B$2:$B$5001=15)*(Results!$G$2:$G$5001)*1),SUMPRODUCT((Results!$A$2:$A$5001=Schedule!D$45)*(Results!$B$2:$B$5001=16)*(Results!$G$2:$G$5001)*1),SUMPRODUCT((Results!$A$2:$A$5001=Schedule!D$45)*(Results!$B$2:$B$5001=17)*(Results!$G$2:$G$5001)*1),SUMPRODUCT((Results!$A$2:$A$5001=Schedule!D$45)*(Results!$B$2:$B$5001=18)*(Results!$G$2:$G$5001)*1),SUMPRODUCT((Results!$A$2:$A$5001=Schedule!D$45)*(Results!$B$2:$B$5001=19)*(Results!$G$2:$G$5001)*1),SUMPRODUCT((Results!$A$2:$A$5001=Schedule!D$45)*(Results!$B$2:$B$5001=20)*(Results!$G$2:$G$5001)*1))</f>
        <v>7</v>
      </c>
      <c r="E73" s="88">
        <f>MAX(SUMPRODUCT((Results!$A$2:$A$5001=Schedule!E$45)*(Results!$B$2:$B$5001=1)*(Results!$G$2:$G$5001)*1),SUMPRODUCT((Results!$A$2:$A$5001=Schedule!E$45)*(Results!$B$2:$B$5001=2)*(Results!$G$2:$G$5001)*1),SUMPRODUCT((Results!$A$2:$A$5001=Schedule!E$45)*(Results!$B$2:$B$5001=3)*(Results!$G$2:$G$5001)*1),SUMPRODUCT((Results!$A$2:$A$5001=Schedule!E$45)*(Results!$B$2:$B$5001=4)*(Results!$G$2:$G$5001)*1),SUMPRODUCT((Results!$A$2:$A$5001=Schedule!E$45)*(Results!$B$2:$B$5001=5)*(Results!$G$2:$G$5001)*1),SUMPRODUCT((Results!$A$2:$A$5001=Schedule!E$45)*(Results!$B$2:$B$5001=6)*(Results!$G$2:$G$5001)*1),SUMPRODUCT((Results!$A$2:$A$5001=Schedule!E$45)*(Results!$B$2:$B$5001=7)*(Results!$G$2:$G$5001)*1),SUMPRODUCT((Results!$A$2:$A$5001=Schedule!E$45)*(Results!$B$2:$B$5001=8)*(Results!$G$2:$G$5001)*1),SUMPRODUCT((Results!$A$2:$A$5001=Schedule!E$45)*(Results!$B$2:$B$5001=9)*(Results!$G$2:$G$5001)*1),SUMPRODUCT((Results!$A$2:$A$5001=Schedule!E$45)*(Results!$B$2:$B$5001=10)*(Results!$G$2:$G$5001)*1),SUMPRODUCT((Results!$A$2:$A$5001=Schedule!E$45)*(Results!$B$2:$B$5001=11)*(Results!$G$2:$G$5001)*1),SUMPRODUCT((Results!$A$2:$A$5001=Schedule!E$45)*(Results!$B$2:$B$5001=12)*(Results!$G$2:$G$5001)*1),SUMPRODUCT((Results!$A$2:$A$5001=Schedule!E$45)*(Results!$B$2:$B$5001=13)*(Results!$G$2:$G$5001)*1),SUMPRODUCT((Results!$A$2:$A$5001=Schedule!E$45)*(Results!$B$2:$B$5001=14)*(Results!$G$2:$G$5001)*1),SUMPRODUCT((Results!$A$2:$A$5001=Schedule!E$45)*(Results!$B$2:$B$5001=15)*(Results!$G$2:$G$5001)*1),SUMPRODUCT((Results!$A$2:$A$5001=Schedule!E$45)*(Results!$B$2:$B$5001=16)*(Results!$G$2:$G$5001)*1),SUMPRODUCT((Results!$A$2:$A$5001=Schedule!E$45)*(Results!$B$2:$B$5001=17)*(Results!$G$2:$G$5001)*1),SUMPRODUCT((Results!$A$2:$A$5001=Schedule!E$45)*(Results!$B$2:$B$5001=18)*(Results!$G$2:$G$5001)*1),SUMPRODUCT((Results!$A$2:$A$5001=Schedule!E$45)*(Results!$B$2:$B$5001=19)*(Results!$G$2:$G$5001)*1),SUMPRODUCT((Results!$A$2:$A$5001=Schedule!E$45)*(Results!$B$2:$B$5001=20)*(Results!$G$2:$G$5001)*1))</f>
        <v>6.9375</v>
      </c>
      <c r="F73" s="88">
        <f>MAX(SUMPRODUCT((Results!$A$2:$A$5001=Schedule!F$45)*(Results!$B$2:$B$5001=1)*(Results!$G$2:$G$5001)*1),SUMPRODUCT((Results!$A$2:$A$5001=Schedule!F$45)*(Results!$B$2:$B$5001=2)*(Results!$G$2:$G$5001)*1),SUMPRODUCT((Results!$A$2:$A$5001=Schedule!F$45)*(Results!$B$2:$B$5001=3)*(Results!$G$2:$G$5001)*1),SUMPRODUCT((Results!$A$2:$A$5001=Schedule!F$45)*(Results!$B$2:$B$5001=4)*(Results!$G$2:$G$5001)*1),SUMPRODUCT((Results!$A$2:$A$5001=Schedule!F$45)*(Results!$B$2:$B$5001=5)*(Results!$G$2:$G$5001)*1),SUMPRODUCT((Results!$A$2:$A$5001=Schedule!F$45)*(Results!$B$2:$B$5001=6)*(Results!$G$2:$G$5001)*1),SUMPRODUCT((Results!$A$2:$A$5001=Schedule!F$45)*(Results!$B$2:$B$5001=7)*(Results!$G$2:$G$5001)*1),SUMPRODUCT((Results!$A$2:$A$5001=Schedule!F$45)*(Results!$B$2:$B$5001=8)*(Results!$G$2:$G$5001)*1),SUMPRODUCT((Results!$A$2:$A$5001=Schedule!F$45)*(Results!$B$2:$B$5001=9)*(Results!$G$2:$G$5001)*1),SUMPRODUCT((Results!$A$2:$A$5001=Schedule!F$45)*(Results!$B$2:$B$5001=10)*(Results!$G$2:$G$5001)*1),SUMPRODUCT((Results!$A$2:$A$5001=Schedule!F$45)*(Results!$B$2:$B$5001=11)*(Results!$G$2:$G$5001)*1),SUMPRODUCT((Results!$A$2:$A$5001=Schedule!F$45)*(Results!$B$2:$B$5001=12)*(Results!$G$2:$G$5001)*1),SUMPRODUCT((Results!$A$2:$A$5001=Schedule!F$45)*(Results!$B$2:$B$5001=13)*(Results!$G$2:$G$5001)*1),SUMPRODUCT((Results!$A$2:$A$5001=Schedule!F$45)*(Results!$B$2:$B$5001=14)*(Results!$G$2:$G$5001)*1),SUMPRODUCT((Results!$A$2:$A$5001=Schedule!F$45)*(Results!$B$2:$B$5001=15)*(Results!$G$2:$G$5001)*1),SUMPRODUCT((Results!$A$2:$A$5001=Schedule!F$45)*(Results!$B$2:$B$5001=16)*(Results!$G$2:$G$5001)*1),SUMPRODUCT((Results!$A$2:$A$5001=Schedule!F$45)*(Results!$B$2:$B$5001=17)*(Results!$G$2:$G$5001)*1),SUMPRODUCT((Results!$A$2:$A$5001=Schedule!F$45)*(Results!$B$2:$B$5001=18)*(Results!$G$2:$G$5001)*1),SUMPRODUCT((Results!$A$2:$A$5001=Schedule!F$45)*(Results!$B$2:$B$5001=19)*(Results!$G$2:$G$5001)*1),SUMPRODUCT((Results!$A$2:$A$5001=Schedule!F$45)*(Results!$B$2:$B$5001=20)*(Results!$G$2:$G$5001)*1))</f>
        <v>6.8624999999999998</v>
      </c>
      <c r="G73" s="88">
        <f>MAX(SUMPRODUCT((Results!$A$2:$A$5001=Schedule!G$45)*(Results!$B$2:$B$5001=1)*(Results!$G$2:$G$5001)*1),SUMPRODUCT((Results!$A$2:$A$5001=Schedule!G$45)*(Results!$B$2:$B$5001=2)*(Results!$G$2:$G$5001)*1),SUMPRODUCT((Results!$A$2:$A$5001=Schedule!G$45)*(Results!$B$2:$B$5001=3)*(Results!$G$2:$G$5001)*1),SUMPRODUCT((Results!$A$2:$A$5001=Schedule!G$45)*(Results!$B$2:$B$5001=4)*(Results!$G$2:$G$5001)*1),SUMPRODUCT((Results!$A$2:$A$5001=Schedule!G$45)*(Results!$B$2:$B$5001=5)*(Results!$G$2:$G$5001)*1),SUMPRODUCT((Results!$A$2:$A$5001=Schedule!G$45)*(Results!$B$2:$B$5001=6)*(Results!$G$2:$G$5001)*1),SUMPRODUCT((Results!$A$2:$A$5001=Schedule!G$45)*(Results!$B$2:$B$5001=7)*(Results!$G$2:$G$5001)*1),SUMPRODUCT((Results!$A$2:$A$5001=Schedule!G$45)*(Results!$B$2:$B$5001=8)*(Results!$G$2:$G$5001)*1),SUMPRODUCT((Results!$A$2:$A$5001=Schedule!G$45)*(Results!$B$2:$B$5001=9)*(Results!$G$2:$G$5001)*1),SUMPRODUCT((Results!$A$2:$A$5001=Schedule!G$45)*(Results!$B$2:$B$5001=10)*(Results!$G$2:$G$5001)*1),SUMPRODUCT((Results!$A$2:$A$5001=Schedule!G$45)*(Results!$B$2:$B$5001=11)*(Results!$G$2:$G$5001)*1),SUMPRODUCT((Results!$A$2:$A$5001=Schedule!G$45)*(Results!$B$2:$B$5001=12)*(Results!$G$2:$G$5001)*1),SUMPRODUCT((Results!$A$2:$A$5001=Schedule!G$45)*(Results!$B$2:$B$5001=13)*(Results!$G$2:$G$5001)*1),SUMPRODUCT((Results!$A$2:$A$5001=Schedule!G$45)*(Results!$B$2:$B$5001=14)*(Results!$G$2:$G$5001)*1),SUMPRODUCT((Results!$A$2:$A$5001=Schedule!G$45)*(Results!$B$2:$B$5001=15)*(Results!$G$2:$G$5001)*1),SUMPRODUCT((Results!$A$2:$A$5001=Schedule!G$45)*(Results!$B$2:$B$5001=16)*(Results!$G$2:$G$5001)*1),SUMPRODUCT((Results!$A$2:$A$5001=Schedule!G$45)*(Results!$B$2:$B$5001=17)*(Results!$G$2:$G$5001)*1),SUMPRODUCT((Results!$A$2:$A$5001=Schedule!G$45)*(Results!$B$2:$B$5001=18)*(Results!$G$2:$G$5001)*1),SUMPRODUCT((Results!$A$2:$A$5001=Schedule!G$45)*(Results!$B$2:$B$5001=19)*(Results!$G$2:$G$5001)*1),SUMPRODUCT((Results!$A$2:$A$5001=Schedule!G$45)*(Results!$B$2:$B$5001=20)*(Results!$G$2:$G$5001)*1))</f>
        <v>7</v>
      </c>
      <c r="H73" s="88">
        <f>MAX(SUMPRODUCT((Results!$A$2:$A$5001=Schedule!H$45)*(Results!$B$2:$B$5001=1)*(Results!$G$2:$G$5001)*1),SUMPRODUCT((Results!$A$2:$A$5001=Schedule!H$45)*(Results!$B$2:$B$5001=2)*(Results!$G$2:$G$5001)*1),SUMPRODUCT((Results!$A$2:$A$5001=Schedule!H$45)*(Results!$B$2:$B$5001=3)*(Results!$G$2:$G$5001)*1),SUMPRODUCT((Results!$A$2:$A$5001=Schedule!H$45)*(Results!$B$2:$B$5001=4)*(Results!$G$2:$G$5001)*1),SUMPRODUCT((Results!$A$2:$A$5001=Schedule!H$45)*(Results!$B$2:$B$5001=5)*(Results!$G$2:$G$5001)*1),SUMPRODUCT((Results!$A$2:$A$5001=Schedule!H$45)*(Results!$B$2:$B$5001=6)*(Results!$G$2:$G$5001)*1),SUMPRODUCT((Results!$A$2:$A$5001=Schedule!H$45)*(Results!$B$2:$B$5001=7)*(Results!$G$2:$G$5001)*1),SUMPRODUCT((Results!$A$2:$A$5001=Schedule!H$45)*(Results!$B$2:$B$5001=8)*(Results!$G$2:$G$5001)*1),SUMPRODUCT((Results!$A$2:$A$5001=Schedule!H$45)*(Results!$B$2:$B$5001=9)*(Results!$G$2:$G$5001)*1),SUMPRODUCT((Results!$A$2:$A$5001=Schedule!H$45)*(Results!$B$2:$B$5001=10)*(Results!$G$2:$G$5001)*1),SUMPRODUCT((Results!$A$2:$A$5001=Schedule!H$45)*(Results!$B$2:$B$5001=11)*(Results!$G$2:$G$5001)*1),SUMPRODUCT((Results!$A$2:$A$5001=Schedule!H$45)*(Results!$B$2:$B$5001=12)*(Results!$G$2:$G$5001)*1),SUMPRODUCT((Results!$A$2:$A$5001=Schedule!H$45)*(Results!$B$2:$B$5001=13)*(Results!$G$2:$G$5001)*1),SUMPRODUCT((Results!$A$2:$A$5001=Schedule!H$45)*(Results!$B$2:$B$5001=14)*(Results!$G$2:$G$5001)*1),SUMPRODUCT((Results!$A$2:$A$5001=Schedule!H$45)*(Results!$B$2:$B$5001=15)*(Results!$G$2:$G$5001)*1),SUMPRODUCT((Results!$A$2:$A$5001=Schedule!H$45)*(Results!$B$2:$B$5001=16)*(Results!$G$2:$G$5001)*1),SUMPRODUCT((Results!$A$2:$A$5001=Schedule!H$45)*(Results!$B$2:$B$5001=17)*(Results!$G$2:$G$5001)*1),SUMPRODUCT((Results!$A$2:$A$5001=Schedule!H$45)*(Results!$B$2:$B$5001=18)*(Results!$G$2:$G$5001)*1),SUMPRODUCT((Results!$A$2:$A$5001=Schedule!H$45)*(Results!$B$2:$B$5001=19)*(Results!$G$2:$G$5001)*1),SUMPRODUCT((Results!$A$2:$A$5001=Schedule!H$45)*(Results!$B$2:$B$5001=20)*(Results!$G$2:$G$5001)*1))</f>
        <v>7</v>
      </c>
      <c r="I73" s="88">
        <f>MAX(SUMPRODUCT((Results!$A$2:$A$5001=Schedule!I$45)*(Results!$B$2:$B$5001=1)*(Results!$G$2:$G$5001)*1),SUMPRODUCT((Results!$A$2:$A$5001=Schedule!I$45)*(Results!$B$2:$B$5001=2)*(Results!$G$2:$G$5001)*1),SUMPRODUCT((Results!$A$2:$A$5001=Schedule!I$45)*(Results!$B$2:$B$5001=3)*(Results!$G$2:$G$5001)*1),SUMPRODUCT((Results!$A$2:$A$5001=Schedule!I$45)*(Results!$B$2:$B$5001=4)*(Results!$G$2:$G$5001)*1),SUMPRODUCT((Results!$A$2:$A$5001=Schedule!I$45)*(Results!$B$2:$B$5001=5)*(Results!$G$2:$G$5001)*1),SUMPRODUCT((Results!$A$2:$A$5001=Schedule!I$45)*(Results!$B$2:$B$5001=6)*(Results!$G$2:$G$5001)*1),SUMPRODUCT((Results!$A$2:$A$5001=Schedule!I$45)*(Results!$B$2:$B$5001=7)*(Results!$G$2:$G$5001)*1),SUMPRODUCT((Results!$A$2:$A$5001=Schedule!I$45)*(Results!$B$2:$B$5001=8)*(Results!$G$2:$G$5001)*1),SUMPRODUCT((Results!$A$2:$A$5001=Schedule!I$45)*(Results!$B$2:$B$5001=9)*(Results!$G$2:$G$5001)*1),SUMPRODUCT((Results!$A$2:$A$5001=Schedule!I$45)*(Results!$B$2:$B$5001=10)*(Results!$G$2:$G$5001)*1),SUMPRODUCT((Results!$A$2:$A$5001=Schedule!I$45)*(Results!$B$2:$B$5001=11)*(Results!$G$2:$G$5001)*1),SUMPRODUCT((Results!$A$2:$A$5001=Schedule!I$45)*(Results!$B$2:$B$5001=12)*(Results!$G$2:$G$5001)*1),SUMPRODUCT((Results!$A$2:$A$5001=Schedule!I$45)*(Results!$B$2:$B$5001=13)*(Results!$G$2:$G$5001)*1),SUMPRODUCT((Results!$A$2:$A$5001=Schedule!I$45)*(Results!$B$2:$B$5001=14)*(Results!$G$2:$G$5001)*1),SUMPRODUCT((Results!$A$2:$A$5001=Schedule!I$45)*(Results!$B$2:$B$5001=15)*(Results!$G$2:$G$5001)*1),SUMPRODUCT((Results!$A$2:$A$5001=Schedule!I$45)*(Results!$B$2:$B$5001=16)*(Results!$G$2:$G$5001)*1),SUMPRODUCT((Results!$A$2:$A$5001=Schedule!I$45)*(Results!$B$2:$B$5001=17)*(Results!$G$2:$G$5001)*1),SUMPRODUCT((Results!$A$2:$A$5001=Schedule!I$45)*(Results!$B$2:$B$5001=18)*(Results!$G$2:$G$5001)*1),SUMPRODUCT((Results!$A$2:$A$5001=Schedule!I$45)*(Results!$B$2:$B$5001=19)*(Results!$G$2:$G$5001)*1),SUMPRODUCT((Results!$A$2:$A$5001=Schedule!I$45)*(Results!$B$2:$B$5001=20)*(Results!$G$2:$G$5001)*1))</f>
        <v>0</v>
      </c>
      <c r="J73" s="88">
        <f>MAX(SUMPRODUCT((Results!$A$2:$A$5001=Schedule!J$45)*(Results!$B$2:$B$5001=1)*(Results!$G$2:$G$5001)*1),SUMPRODUCT((Results!$A$2:$A$5001=Schedule!J$45)*(Results!$B$2:$B$5001=2)*(Results!$G$2:$G$5001)*1),SUMPRODUCT((Results!$A$2:$A$5001=Schedule!J$45)*(Results!$B$2:$B$5001=3)*(Results!$G$2:$G$5001)*1),SUMPRODUCT((Results!$A$2:$A$5001=Schedule!J$45)*(Results!$B$2:$B$5001=4)*(Results!$G$2:$G$5001)*1),SUMPRODUCT((Results!$A$2:$A$5001=Schedule!J$45)*(Results!$B$2:$B$5001=5)*(Results!$G$2:$G$5001)*1),SUMPRODUCT((Results!$A$2:$A$5001=Schedule!J$45)*(Results!$B$2:$B$5001=6)*(Results!$G$2:$G$5001)*1),SUMPRODUCT((Results!$A$2:$A$5001=Schedule!J$45)*(Results!$B$2:$B$5001=7)*(Results!$G$2:$G$5001)*1),SUMPRODUCT((Results!$A$2:$A$5001=Schedule!J$45)*(Results!$B$2:$B$5001=8)*(Results!$G$2:$G$5001)*1),SUMPRODUCT((Results!$A$2:$A$5001=Schedule!J$45)*(Results!$B$2:$B$5001=9)*(Results!$G$2:$G$5001)*1),SUMPRODUCT((Results!$A$2:$A$5001=Schedule!J$45)*(Results!$B$2:$B$5001=10)*(Results!$G$2:$G$5001)*1),SUMPRODUCT((Results!$A$2:$A$5001=Schedule!J$45)*(Results!$B$2:$B$5001=11)*(Results!$G$2:$G$5001)*1),SUMPRODUCT((Results!$A$2:$A$5001=Schedule!J$45)*(Results!$B$2:$B$5001=12)*(Results!$G$2:$G$5001)*1),SUMPRODUCT((Results!$A$2:$A$5001=Schedule!J$45)*(Results!$B$2:$B$5001=13)*(Results!$G$2:$G$5001)*1),SUMPRODUCT((Results!$A$2:$A$5001=Schedule!J$45)*(Results!$B$2:$B$5001=14)*(Results!$G$2:$G$5001)*1),SUMPRODUCT((Results!$A$2:$A$5001=Schedule!J$45)*(Results!$B$2:$B$5001=15)*(Results!$G$2:$G$5001)*1),SUMPRODUCT((Results!$A$2:$A$5001=Schedule!J$45)*(Results!$B$2:$B$5001=16)*(Results!$G$2:$G$5001)*1),SUMPRODUCT((Results!$A$2:$A$5001=Schedule!J$45)*(Results!$B$2:$B$5001=17)*(Results!$G$2:$G$5001)*1),SUMPRODUCT((Results!$A$2:$A$5001=Schedule!J$45)*(Results!$B$2:$B$5001=18)*(Results!$G$2:$G$5001)*1),SUMPRODUCT((Results!$A$2:$A$5001=Schedule!J$45)*(Results!$B$2:$B$5001=19)*(Results!$G$2:$G$5001)*1),SUMPRODUCT((Results!$A$2:$A$5001=Schedule!J$45)*(Results!$B$2:$B$5001=20)*(Results!$G$2:$G$5001)*1))</f>
        <v>0</v>
      </c>
      <c r="K73" s="88">
        <f>MAX(SUMPRODUCT((Results!$A$2:$A$5001=Schedule!K$45)*(Results!$B$2:$B$5001=1)*(Results!$G$2:$G$5001)*1),SUMPRODUCT((Results!$A$2:$A$5001=Schedule!K$45)*(Results!$B$2:$B$5001=2)*(Results!$G$2:$G$5001)*1),SUMPRODUCT((Results!$A$2:$A$5001=Schedule!K$45)*(Results!$B$2:$B$5001=3)*(Results!$G$2:$G$5001)*1),SUMPRODUCT((Results!$A$2:$A$5001=Schedule!K$45)*(Results!$B$2:$B$5001=4)*(Results!$G$2:$G$5001)*1),SUMPRODUCT((Results!$A$2:$A$5001=Schedule!K$45)*(Results!$B$2:$B$5001=5)*(Results!$G$2:$G$5001)*1),SUMPRODUCT((Results!$A$2:$A$5001=Schedule!K$45)*(Results!$B$2:$B$5001=6)*(Results!$G$2:$G$5001)*1),SUMPRODUCT((Results!$A$2:$A$5001=Schedule!K$45)*(Results!$B$2:$B$5001=7)*(Results!$G$2:$G$5001)*1),SUMPRODUCT((Results!$A$2:$A$5001=Schedule!K$45)*(Results!$B$2:$B$5001=8)*(Results!$G$2:$G$5001)*1),SUMPRODUCT((Results!$A$2:$A$5001=Schedule!K$45)*(Results!$B$2:$B$5001=9)*(Results!$G$2:$G$5001)*1),SUMPRODUCT((Results!$A$2:$A$5001=Schedule!K$45)*(Results!$B$2:$B$5001=10)*(Results!$G$2:$G$5001)*1),SUMPRODUCT((Results!$A$2:$A$5001=Schedule!K$45)*(Results!$B$2:$B$5001=11)*(Results!$G$2:$G$5001)*1),SUMPRODUCT((Results!$A$2:$A$5001=Schedule!K$45)*(Results!$B$2:$B$5001=12)*(Results!$G$2:$G$5001)*1),SUMPRODUCT((Results!$A$2:$A$5001=Schedule!K$45)*(Results!$B$2:$B$5001=13)*(Results!$G$2:$G$5001)*1),SUMPRODUCT((Results!$A$2:$A$5001=Schedule!K$45)*(Results!$B$2:$B$5001=14)*(Results!$G$2:$G$5001)*1),SUMPRODUCT((Results!$A$2:$A$5001=Schedule!K$45)*(Results!$B$2:$B$5001=15)*(Results!$G$2:$G$5001)*1),SUMPRODUCT((Results!$A$2:$A$5001=Schedule!K$45)*(Results!$B$2:$B$5001=16)*(Results!$G$2:$G$5001)*1),SUMPRODUCT((Results!$A$2:$A$5001=Schedule!K$45)*(Results!$B$2:$B$5001=17)*(Results!$G$2:$G$5001)*1),SUMPRODUCT((Results!$A$2:$A$5001=Schedule!K$45)*(Results!$B$2:$B$5001=18)*(Results!$G$2:$G$5001)*1),SUMPRODUCT((Results!$A$2:$A$5001=Schedule!K$45)*(Results!$B$2:$B$5001=19)*(Results!$G$2:$G$5001)*1),SUMPRODUCT((Results!$A$2:$A$5001=Schedule!K$45)*(Results!$B$2:$B$5001=20)*(Results!$G$2:$G$5001)*1))</f>
        <v>0</v>
      </c>
      <c r="L73" s="88">
        <f>MAX(SUMPRODUCT((Results!$A$2:$A$5001=Schedule!L$45)*(Results!$B$2:$B$5001=1)*(Results!$G$2:$G$5001)*1),SUMPRODUCT((Results!$A$2:$A$5001=Schedule!L$45)*(Results!$B$2:$B$5001=2)*(Results!$G$2:$G$5001)*1),SUMPRODUCT((Results!$A$2:$A$5001=Schedule!L$45)*(Results!$B$2:$B$5001=3)*(Results!$G$2:$G$5001)*1),SUMPRODUCT((Results!$A$2:$A$5001=Schedule!L$45)*(Results!$B$2:$B$5001=4)*(Results!$G$2:$G$5001)*1),SUMPRODUCT((Results!$A$2:$A$5001=Schedule!L$45)*(Results!$B$2:$B$5001=5)*(Results!$G$2:$G$5001)*1),SUMPRODUCT((Results!$A$2:$A$5001=Schedule!L$45)*(Results!$B$2:$B$5001=6)*(Results!$G$2:$G$5001)*1),SUMPRODUCT((Results!$A$2:$A$5001=Schedule!L$45)*(Results!$B$2:$B$5001=7)*(Results!$G$2:$G$5001)*1),SUMPRODUCT((Results!$A$2:$A$5001=Schedule!L$45)*(Results!$B$2:$B$5001=8)*(Results!$G$2:$G$5001)*1),SUMPRODUCT((Results!$A$2:$A$5001=Schedule!L$45)*(Results!$B$2:$B$5001=9)*(Results!$G$2:$G$5001)*1),SUMPRODUCT((Results!$A$2:$A$5001=Schedule!L$45)*(Results!$B$2:$B$5001=10)*(Results!$G$2:$G$5001)*1),SUMPRODUCT((Results!$A$2:$A$5001=Schedule!L$45)*(Results!$B$2:$B$5001=11)*(Results!$G$2:$G$5001)*1),SUMPRODUCT((Results!$A$2:$A$5001=Schedule!L$45)*(Results!$B$2:$B$5001=12)*(Results!$G$2:$G$5001)*1),SUMPRODUCT((Results!$A$2:$A$5001=Schedule!L$45)*(Results!$B$2:$B$5001=13)*(Results!$G$2:$G$5001)*1),SUMPRODUCT((Results!$A$2:$A$5001=Schedule!L$45)*(Results!$B$2:$B$5001=14)*(Results!$G$2:$G$5001)*1),SUMPRODUCT((Results!$A$2:$A$5001=Schedule!L$45)*(Results!$B$2:$B$5001=15)*(Results!$G$2:$G$5001)*1),SUMPRODUCT((Results!$A$2:$A$5001=Schedule!L$45)*(Results!$B$2:$B$5001=16)*(Results!$G$2:$G$5001)*1),SUMPRODUCT((Results!$A$2:$A$5001=Schedule!L$45)*(Results!$B$2:$B$5001=17)*(Results!$G$2:$G$5001)*1),SUMPRODUCT((Results!$A$2:$A$5001=Schedule!L$45)*(Results!$B$2:$B$5001=18)*(Results!$G$2:$G$5001)*1),SUMPRODUCT((Results!$A$2:$A$5001=Schedule!L$45)*(Results!$B$2:$B$5001=19)*(Results!$G$2:$G$5001)*1),SUMPRODUCT((Results!$A$2:$A$5001=Schedule!L$45)*(Results!$B$2:$B$5001=20)*(Results!$G$2:$G$5001)*1))</f>
        <v>0</v>
      </c>
      <c r="M73" s="88">
        <f>MAX(SUMPRODUCT((Results!$A$2:$A$5001=Schedule!M$45)*(Results!$B$2:$B$5001=1)*(Results!$G$2:$G$5001)*1),SUMPRODUCT((Results!$A$2:$A$5001=Schedule!M$45)*(Results!$B$2:$B$5001=2)*(Results!$G$2:$G$5001)*1),SUMPRODUCT((Results!$A$2:$A$5001=Schedule!M$45)*(Results!$B$2:$B$5001=3)*(Results!$G$2:$G$5001)*1),SUMPRODUCT((Results!$A$2:$A$5001=Schedule!M$45)*(Results!$B$2:$B$5001=4)*(Results!$G$2:$G$5001)*1),SUMPRODUCT((Results!$A$2:$A$5001=Schedule!M$45)*(Results!$B$2:$B$5001=5)*(Results!$G$2:$G$5001)*1),SUMPRODUCT((Results!$A$2:$A$5001=Schedule!M$45)*(Results!$B$2:$B$5001=6)*(Results!$G$2:$G$5001)*1),SUMPRODUCT((Results!$A$2:$A$5001=Schedule!M$45)*(Results!$B$2:$B$5001=7)*(Results!$G$2:$G$5001)*1),SUMPRODUCT((Results!$A$2:$A$5001=Schedule!M$45)*(Results!$B$2:$B$5001=8)*(Results!$G$2:$G$5001)*1),SUMPRODUCT((Results!$A$2:$A$5001=Schedule!M$45)*(Results!$B$2:$B$5001=9)*(Results!$G$2:$G$5001)*1),SUMPRODUCT((Results!$A$2:$A$5001=Schedule!M$45)*(Results!$B$2:$B$5001=10)*(Results!$G$2:$G$5001)*1),SUMPRODUCT((Results!$A$2:$A$5001=Schedule!M$45)*(Results!$B$2:$B$5001=11)*(Results!$G$2:$G$5001)*1),SUMPRODUCT((Results!$A$2:$A$5001=Schedule!M$45)*(Results!$B$2:$B$5001=12)*(Results!$G$2:$G$5001)*1),SUMPRODUCT((Results!$A$2:$A$5001=Schedule!M$45)*(Results!$B$2:$B$5001=13)*(Results!$G$2:$G$5001)*1),SUMPRODUCT((Results!$A$2:$A$5001=Schedule!M$45)*(Results!$B$2:$B$5001=14)*(Results!$G$2:$G$5001)*1),SUMPRODUCT((Results!$A$2:$A$5001=Schedule!M$45)*(Results!$B$2:$B$5001=15)*(Results!$G$2:$G$5001)*1),SUMPRODUCT((Results!$A$2:$A$5001=Schedule!M$45)*(Results!$B$2:$B$5001=16)*(Results!$G$2:$G$5001)*1),SUMPRODUCT((Results!$A$2:$A$5001=Schedule!M$45)*(Results!$B$2:$B$5001=17)*(Results!$G$2:$G$5001)*1),SUMPRODUCT((Results!$A$2:$A$5001=Schedule!M$45)*(Results!$B$2:$B$5001=18)*(Results!$G$2:$G$5001)*1),SUMPRODUCT((Results!$A$2:$A$5001=Schedule!M$45)*(Results!$B$2:$B$5001=19)*(Results!$G$2:$G$5001)*1),SUMPRODUCT((Results!$A$2:$A$5001=Schedule!M$45)*(Results!$B$2:$B$5001=20)*(Results!$G$2:$G$5001)*1))</f>
        <v>0</v>
      </c>
      <c r="N73" s="88">
        <f>MAX(SUMPRODUCT((Results!$A$2:$A$5001=Schedule!N$45)*(Results!$B$2:$B$5001=1)*(Results!$G$2:$G$5001)*1),SUMPRODUCT((Results!$A$2:$A$5001=Schedule!N$45)*(Results!$B$2:$B$5001=2)*(Results!$G$2:$G$5001)*1),SUMPRODUCT((Results!$A$2:$A$5001=Schedule!N$45)*(Results!$B$2:$B$5001=3)*(Results!$G$2:$G$5001)*1),SUMPRODUCT((Results!$A$2:$A$5001=Schedule!N$45)*(Results!$B$2:$B$5001=4)*(Results!$G$2:$G$5001)*1),SUMPRODUCT((Results!$A$2:$A$5001=Schedule!N$45)*(Results!$B$2:$B$5001=5)*(Results!$G$2:$G$5001)*1),SUMPRODUCT((Results!$A$2:$A$5001=Schedule!N$45)*(Results!$B$2:$B$5001=6)*(Results!$G$2:$G$5001)*1),SUMPRODUCT((Results!$A$2:$A$5001=Schedule!N$45)*(Results!$B$2:$B$5001=7)*(Results!$G$2:$G$5001)*1),SUMPRODUCT((Results!$A$2:$A$5001=Schedule!N$45)*(Results!$B$2:$B$5001=8)*(Results!$G$2:$G$5001)*1),SUMPRODUCT((Results!$A$2:$A$5001=Schedule!N$45)*(Results!$B$2:$B$5001=9)*(Results!$G$2:$G$5001)*1),SUMPRODUCT((Results!$A$2:$A$5001=Schedule!N$45)*(Results!$B$2:$B$5001=10)*(Results!$G$2:$G$5001)*1),SUMPRODUCT((Results!$A$2:$A$5001=Schedule!N$45)*(Results!$B$2:$B$5001=11)*(Results!$G$2:$G$5001)*1),SUMPRODUCT((Results!$A$2:$A$5001=Schedule!N$45)*(Results!$B$2:$B$5001=12)*(Results!$G$2:$G$5001)*1),SUMPRODUCT((Results!$A$2:$A$5001=Schedule!N$45)*(Results!$B$2:$B$5001=13)*(Results!$G$2:$G$5001)*1),SUMPRODUCT((Results!$A$2:$A$5001=Schedule!N$45)*(Results!$B$2:$B$5001=14)*(Results!$G$2:$G$5001)*1),SUMPRODUCT((Results!$A$2:$A$5001=Schedule!N$45)*(Results!$B$2:$B$5001=15)*(Results!$G$2:$G$5001)*1),SUMPRODUCT((Results!$A$2:$A$5001=Schedule!N$45)*(Results!$B$2:$B$5001=16)*(Results!$G$2:$G$5001)*1),SUMPRODUCT((Results!$A$2:$A$5001=Schedule!N$45)*(Results!$B$2:$B$5001=17)*(Results!$G$2:$G$5001)*1),SUMPRODUCT((Results!$A$2:$A$5001=Schedule!N$45)*(Results!$B$2:$B$5001=18)*(Results!$G$2:$G$5001)*1),SUMPRODUCT((Results!$A$2:$A$5001=Schedule!N$45)*(Results!$B$2:$B$5001=19)*(Results!$G$2:$G$5001)*1),SUMPRODUCT((Results!$A$2:$A$5001=Schedule!N$45)*(Results!$B$2:$B$5001=20)*(Results!$G$2:$G$5001)*1))</f>
        <v>0</v>
      </c>
      <c r="O73" s="88">
        <f>MAX(SUMPRODUCT((Results!$A$2:$A$5001=Schedule!O$45)*(Results!$B$2:$B$5001=1)*(Results!$G$2:$G$5001)*1),SUMPRODUCT((Results!$A$2:$A$5001=Schedule!O$45)*(Results!$B$2:$B$5001=2)*(Results!$G$2:$G$5001)*1),SUMPRODUCT((Results!$A$2:$A$5001=Schedule!O$45)*(Results!$B$2:$B$5001=3)*(Results!$G$2:$G$5001)*1),SUMPRODUCT((Results!$A$2:$A$5001=Schedule!O$45)*(Results!$B$2:$B$5001=4)*(Results!$G$2:$G$5001)*1),SUMPRODUCT((Results!$A$2:$A$5001=Schedule!O$45)*(Results!$B$2:$B$5001=5)*(Results!$G$2:$G$5001)*1),SUMPRODUCT((Results!$A$2:$A$5001=Schedule!O$45)*(Results!$B$2:$B$5001=6)*(Results!$G$2:$G$5001)*1),SUMPRODUCT((Results!$A$2:$A$5001=Schedule!O$45)*(Results!$B$2:$B$5001=7)*(Results!$G$2:$G$5001)*1),SUMPRODUCT((Results!$A$2:$A$5001=Schedule!O$45)*(Results!$B$2:$B$5001=8)*(Results!$G$2:$G$5001)*1),SUMPRODUCT((Results!$A$2:$A$5001=Schedule!O$45)*(Results!$B$2:$B$5001=9)*(Results!$G$2:$G$5001)*1),SUMPRODUCT((Results!$A$2:$A$5001=Schedule!O$45)*(Results!$B$2:$B$5001=10)*(Results!$G$2:$G$5001)*1),SUMPRODUCT((Results!$A$2:$A$5001=Schedule!O$45)*(Results!$B$2:$B$5001=11)*(Results!$G$2:$G$5001)*1),SUMPRODUCT((Results!$A$2:$A$5001=Schedule!O$45)*(Results!$B$2:$B$5001=12)*(Results!$G$2:$G$5001)*1),SUMPRODUCT((Results!$A$2:$A$5001=Schedule!O$45)*(Results!$B$2:$B$5001=13)*(Results!$G$2:$G$5001)*1),SUMPRODUCT((Results!$A$2:$A$5001=Schedule!O$45)*(Results!$B$2:$B$5001=14)*(Results!$G$2:$G$5001)*1),SUMPRODUCT((Results!$A$2:$A$5001=Schedule!O$45)*(Results!$B$2:$B$5001=15)*(Results!$G$2:$G$5001)*1),SUMPRODUCT((Results!$A$2:$A$5001=Schedule!O$45)*(Results!$B$2:$B$5001=16)*(Results!$G$2:$G$5001)*1),SUMPRODUCT((Results!$A$2:$A$5001=Schedule!O$45)*(Results!$B$2:$B$5001=17)*(Results!$G$2:$G$5001)*1),SUMPRODUCT((Results!$A$2:$A$5001=Schedule!O$45)*(Results!$B$2:$B$5001=18)*(Results!$G$2:$G$5001)*1),SUMPRODUCT((Results!$A$2:$A$5001=Schedule!O$45)*(Results!$B$2:$B$5001=19)*(Results!$G$2:$G$5001)*1),SUMPRODUCT((Results!$A$2:$A$5001=Schedule!O$45)*(Results!$B$2:$B$5001=20)*(Results!$G$2:$G$5001)*1))</f>
        <v>0</v>
      </c>
      <c r="P73" s="88">
        <f>MAX(SUMPRODUCT((Results!$A$2:$A$5001=Schedule!P$45)*(Results!$B$2:$B$5001=1)*(Results!$G$2:$G$5001)*1),SUMPRODUCT((Results!$A$2:$A$5001=Schedule!P$45)*(Results!$B$2:$B$5001=2)*(Results!$G$2:$G$5001)*1),SUMPRODUCT((Results!$A$2:$A$5001=Schedule!P$45)*(Results!$B$2:$B$5001=3)*(Results!$G$2:$G$5001)*1),SUMPRODUCT((Results!$A$2:$A$5001=Schedule!P$45)*(Results!$B$2:$B$5001=4)*(Results!$G$2:$G$5001)*1),SUMPRODUCT((Results!$A$2:$A$5001=Schedule!P$45)*(Results!$B$2:$B$5001=5)*(Results!$G$2:$G$5001)*1),SUMPRODUCT((Results!$A$2:$A$5001=Schedule!P$45)*(Results!$B$2:$B$5001=6)*(Results!$G$2:$G$5001)*1),SUMPRODUCT((Results!$A$2:$A$5001=Schedule!P$45)*(Results!$B$2:$B$5001=7)*(Results!$G$2:$G$5001)*1),SUMPRODUCT((Results!$A$2:$A$5001=Schedule!P$45)*(Results!$B$2:$B$5001=8)*(Results!$G$2:$G$5001)*1),SUMPRODUCT((Results!$A$2:$A$5001=Schedule!P$45)*(Results!$B$2:$B$5001=9)*(Results!$G$2:$G$5001)*1),SUMPRODUCT((Results!$A$2:$A$5001=Schedule!P$45)*(Results!$B$2:$B$5001=10)*(Results!$G$2:$G$5001)*1),SUMPRODUCT((Results!$A$2:$A$5001=Schedule!P$45)*(Results!$B$2:$B$5001=11)*(Results!$G$2:$G$5001)*1),SUMPRODUCT((Results!$A$2:$A$5001=Schedule!P$45)*(Results!$B$2:$B$5001=12)*(Results!$G$2:$G$5001)*1),SUMPRODUCT((Results!$A$2:$A$5001=Schedule!P$45)*(Results!$B$2:$B$5001=13)*(Results!$G$2:$G$5001)*1),SUMPRODUCT((Results!$A$2:$A$5001=Schedule!P$45)*(Results!$B$2:$B$5001=14)*(Results!$G$2:$G$5001)*1),SUMPRODUCT((Results!$A$2:$A$5001=Schedule!P$45)*(Results!$B$2:$B$5001=15)*(Results!$G$2:$G$5001)*1),SUMPRODUCT((Results!$A$2:$A$5001=Schedule!P$45)*(Results!$B$2:$B$5001=16)*(Results!$G$2:$G$5001)*1),SUMPRODUCT((Results!$A$2:$A$5001=Schedule!P$45)*(Results!$B$2:$B$5001=17)*(Results!$G$2:$G$5001)*1),SUMPRODUCT((Results!$A$2:$A$5001=Schedule!P$45)*(Results!$B$2:$B$5001=18)*(Results!$G$2:$G$5001)*1),SUMPRODUCT((Results!$A$2:$A$5001=Schedule!P$45)*(Results!$B$2:$B$5001=19)*(Results!$G$2:$G$5001)*1),SUMPRODUCT((Results!$A$2:$A$5001=Schedule!P$45)*(Results!$B$2:$B$5001=20)*(Results!$G$2:$G$5001)*1))</f>
        <v>0</v>
      </c>
      <c r="Q73" s="88">
        <f>MAX(SUMPRODUCT((Results!$A$2:$A$5001=Schedule!Q$45)*(Results!$B$2:$B$5001=1)*(Results!$G$2:$G$5001)*1),SUMPRODUCT((Results!$A$2:$A$5001=Schedule!Q$45)*(Results!$B$2:$B$5001=2)*(Results!$G$2:$G$5001)*1),SUMPRODUCT((Results!$A$2:$A$5001=Schedule!Q$45)*(Results!$B$2:$B$5001=3)*(Results!$G$2:$G$5001)*1),SUMPRODUCT((Results!$A$2:$A$5001=Schedule!Q$45)*(Results!$B$2:$B$5001=4)*(Results!$G$2:$G$5001)*1),SUMPRODUCT((Results!$A$2:$A$5001=Schedule!Q$45)*(Results!$B$2:$B$5001=5)*(Results!$G$2:$G$5001)*1),SUMPRODUCT((Results!$A$2:$A$5001=Schedule!Q$45)*(Results!$B$2:$B$5001=6)*(Results!$G$2:$G$5001)*1),SUMPRODUCT((Results!$A$2:$A$5001=Schedule!Q$45)*(Results!$B$2:$B$5001=7)*(Results!$G$2:$G$5001)*1),SUMPRODUCT((Results!$A$2:$A$5001=Schedule!Q$45)*(Results!$B$2:$B$5001=8)*(Results!$G$2:$G$5001)*1),SUMPRODUCT((Results!$A$2:$A$5001=Schedule!Q$45)*(Results!$B$2:$B$5001=9)*(Results!$G$2:$G$5001)*1),SUMPRODUCT((Results!$A$2:$A$5001=Schedule!Q$45)*(Results!$B$2:$B$5001=10)*(Results!$G$2:$G$5001)*1),SUMPRODUCT((Results!$A$2:$A$5001=Schedule!Q$45)*(Results!$B$2:$B$5001=11)*(Results!$G$2:$G$5001)*1),SUMPRODUCT((Results!$A$2:$A$5001=Schedule!Q$45)*(Results!$B$2:$B$5001=12)*(Results!$G$2:$G$5001)*1),SUMPRODUCT((Results!$A$2:$A$5001=Schedule!Q$45)*(Results!$B$2:$B$5001=13)*(Results!$G$2:$G$5001)*1),SUMPRODUCT((Results!$A$2:$A$5001=Schedule!Q$45)*(Results!$B$2:$B$5001=14)*(Results!$G$2:$G$5001)*1),SUMPRODUCT((Results!$A$2:$A$5001=Schedule!Q$45)*(Results!$B$2:$B$5001=15)*(Results!$G$2:$G$5001)*1),SUMPRODUCT((Results!$A$2:$A$5001=Schedule!Q$45)*(Results!$B$2:$B$5001=16)*(Results!$G$2:$G$5001)*1),SUMPRODUCT((Results!$A$2:$A$5001=Schedule!Q$45)*(Results!$B$2:$B$5001=17)*(Results!$G$2:$G$5001)*1),SUMPRODUCT((Results!$A$2:$A$5001=Schedule!Q$45)*(Results!$B$2:$B$5001=18)*(Results!$G$2:$G$5001)*1),SUMPRODUCT((Results!$A$2:$A$5001=Schedule!Q$45)*(Results!$B$2:$B$5001=19)*(Results!$G$2:$G$5001)*1),SUMPRODUCT((Results!$A$2:$A$5001=Schedule!Q$45)*(Results!$B$2:$B$5001=20)*(Results!$G$2:$G$5001)*1))</f>
        <v>0</v>
      </c>
      <c r="R73" s="88">
        <f>MAX(SUMPRODUCT((Results!$A$2:$A$5001=Schedule!R$45)*(Results!$B$2:$B$5001=1)*(Results!$G$2:$G$5001)*1),SUMPRODUCT((Results!$A$2:$A$5001=Schedule!R$45)*(Results!$B$2:$B$5001=2)*(Results!$G$2:$G$5001)*1),SUMPRODUCT((Results!$A$2:$A$5001=Schedule!R$45)*(Results!$B$2:$B$5001=3)*(Results!$G$2:$G$5001)*1),SUMPRODUCT((Results!$A$2:$A$5001=Schedule!R$45)*(Results!$B$2:$B$5001=4)*(Results!$G$2:$G$5001)*1),SUMPRODUCT((Results!$A$2:$A$5001=Schedule!R$45)*(Results!$B$2:$B$5001=5)*(Results!$G$2:$G$5001)*1),SUMPRODUCT((Results!$A$2:$A$5001=Schedule!R$45)*(Results!$B$2:$B$5001=6)*(Results!$G$2:$G$5001)*1),SUMPRODUCT((Results!$A$2:$A$5001=Schedule!R$45)*(Results!$B$2:$B$5001=7)*(Results!$G$2:$G$5001)*1),SUMPRODUCT((Results!$A$2:$A$5001=Schedule!R$45)*(Results!$B$2:$B$5001=8)*(Results!$G$2:$G$5001)*1),SUMPRODUCT((Results!$A$2:$A$5001=Schedule!R$45)*(Results!$B$2:$B$5001=9)*(Results!$G$2:$G$5001)*1),SUMPRODUCT((Results!$A$2:$A$5001=Schedule!R$45)*(Results!$B$2:$B$5001=10)*(Results!$G$2:$G$5001)*1),SUMPRODUCT((Results!$A$2:$A$5001=Schedule!R$45)*(Results!$B$2:$B$5001=11)*(Results!$G$2:$G$5001)*1),SUMPRODUCT((Results!$A$2:$A$5001=Schedule!R$45)*(Results!$B$2:$B$5001=12)*(Results!$G$2:$G$5001)*1),SUMPRODUCT((Results!$A$2:$A$5001=Schedule!R$45)*(Results!$B$2:$B$5001=13)*(Results!$G$2:$G$5001)*1),SUMPRODUCT((Results!$A$2:$A$5001=Schedule!R$45)*(Results!$B$2:$B$5001=14)*(Results!$G$2:$G$5001)*1),SUMPRODUCT((Results!$A$2:$A$5001=Schedule!R$45)*(Results!$B$2:$B$5001=15)*(Results!$G$2:$G$5001)*1),SUMPRODUCT((Results!$A$2:$A$5001=Schedule!R$45)*(Results!$B$2:$B$5001=16)*(Results!$G$2:$G$5001)*1),SUMPRODUCT((Results!$A$2:$A$5001=Schedule!R$45)*(Results!$B$2:$B$5001=17)*(Results!$G$2:$G$5001)*1),SUMPRODUCT((Results!$A$2:$A$5001=Schedule!R$45)*(Results!$B$2:$B$5001=18)*(Results!$G$2:$G$5001)*1),SUMPRODUCT((Results!$A$2:$A$5001=Schedule!R$45)*(Results!$B$2:$B$5001=19)*(Results!$G$2:$G$5001)*1),SUMPRODUCT((Results!$A$2:$A$5001=Schedule!R$45)*(Results!$B$2:$B$5001=20)*(Results!$G$2:$G$5001)*1))</f>
        <v>0</v>
      </c>
      <c r="S73" s="88">
        <f>MAX(SUMPRODUCT((Results!$A$2:$A$5001=Schedule!S$45)*(Results!$B$2:$B$5001=1)*(Results!$G$2:$G$5001)*1),SUMPRODUCT((Results!$A$2:$A$5001=Schedule!S$45)*(Results!$B$2:$B$5001=2)*(Results!$G$2:$G$5001)*1),SUMPRODUCT((Results!$A$2:$A$5001=Schedule!S$45)*(Results!$B$2:$B$5001=3)*(Results!$G$2:$G$5001)*1),SUMPRODUCT((Results!$A$2:$A$5001=Schedule!S$45)*(Results!$B$2:$B$5001=4)*(Results!$G$2:$G$5001)*1),SUMPRODUCT((Results!$A$2:$A$5001=Schedule!S$45)*(Results!$B$2:$B$5001=5)*(Results!$G$2:$G$5001)*1),SUMPRODUCT((Results!$A$2:$A$5001=Schedule!S$45)*(Results!$B$2:$B$5001=6)*(Results!$G$2:$G$5001)*1),SUMPRODUCT((Results!$A$2:$A$5001=Schedule!S$45)*(Results!$B$2:$B$5001=7)*(Results!$G$2:$G$5001)*1),SUMPRODUCT((Results!$A$2:$A$5001=Schedule!S$45)*(Results!$B$2:$B$5001=8)*(Results!$G$2:$G$5001)*1),SUMPRODUCT((Results!$A$2:$A$5001=Schedule!S$45)*(Results!$B$2:$B$5001=9)*(Results!$G$2:$G$5001)*1),SUMPRODUCT((Results!$A$2:$A$5001=Schedule!S$45)*(Results!$B$2:$B$5001=10)*(Results!$G$2:$G$5001)*1),SUMPRODUCT((Results!$A$2:$A$5001=Schedule!S$45)*(Results!$B$2:$B$5001=11)*(Results!$G$2:$G$5001)*1),SUMPRODUCT((Results!$A$2:$A$5001=Schedule!S$45)*(Results!$B$2:$B$5001=12)*(Results!$G$2:$G$5001)*1),SUMPRODUCT((Results!$A$2:$A$5001=Schedule!S$45)*(Results!$B$2:$B$5001=13)*(Results!$G$2:$G$5001)*1),SUMPRODUCT((Results!$A$2:$A$5001=Schedule!S$45)*(Results!$B$2:$B$5001=14)*(Results!$G$2:$G$5001)*1),SUMPRODUCT((Results!$A$2:$A$5001=Schedule!S$45)*(Results!$B$2:$B$5001=15)*(Results!$G$2:$G$5001)*1),SUMPRODUCT((Results!$A$2:$A$5001=Schedule!S$45)*(Results!$B$2:$B$5001=16)*(Results!$G$2:$G$5001)*1),SUMPRODUCT((Results!$A$2:$A$5001=Schedule!S$45)*(Results!$B$2:$B$5001=17)*(Results!$G$2:$G$5001)*1),SUMPRODUCT((Results!$A$2:$A$5001=Schedule!S$45)*(Results!$B$2:$B$5001=18)*(Results!$G$2:$G$5001)*1),SUMPRODUCT((Results!$A$2:$A$5001=Schedule!S$45)*(Results!$B$2:$B$5001=19)*(Results!$G$2:$G$5001)*1),SUMPRODUCT((Results!$A$2:$A$5001=Schedule!S$45)*(Results!$B$2:$B$5001=20)*(Results!$G$2:$G$5001)*1))</f>
        <v>0</v>
      </c>
      <c r="T73" s="88">
        <f>MAX(SUMPRODUCT((Results!$A$2:$A$5001=Schedule!T$45)*(Results!$B$2:$B$5001=1)*(Results!$G$2:$G$5001)*1),SUMPRODUCT((Results!$A$2:$A$5001=Schedule!T$45)*(Results!$B$2:$B$5001=2)*(Results!$G$2:$G$5001)*1),SUMPRODUCT((Results!$A$2:$A$5001=Schedule!T$45)*(Results!$B$2:$B$5001=3)*(Results!$G$2:$G$5001)*1),SUMPRODUCT((Results!$A$2:$A$5001=Schedule!T$45)*(Results!$B$2:$B$5001=4)*(Results!$G$2:$G$5001)*1),SUMPRODUCT((Results!$A$2:$A$5001=Schedule!T$45)*(Results!$B$2:$B$5001=5)*(Results!$G$2:$G$5001)*1),SUMPRODUCT((Results!$A$2:$A$5001=Schedule!T$45)*(Results!$B$2:$B$5001=6)*(Results!$G$2:$G$5001)*1),SUMPRODUCT((Results!$A$2:$A$5001=Schedule!T$45)*(Results!$B$2:$B$5001=7)*(Results!$G$2:$G$5001)*1),SUMPRODUCT((Results!$A$2:$A$5001=Schedule!T$45)*(Results!$B$2:$B$5001=8)*(Results!$G$2:$G$5001)*1),SUMPRODUCT((Results!$A$2:$A$5001=Schedule!T$45)*(Results!$B$2:$B$5001=9)*(Results!$G$2:$G$5001)*1),SUMPRODUCT((Results!$A$2:$A$5001=Schedule!T$45)*(Results!$B$2:$B$5001=10)*(Results!$G$2:$G$5001)*1),SUMPRODUCT((Results!$A$2:$A$5001=Schedule!T$45)*(Results!$B$2:$B$5001=11)*(Results!$G$2:$G$5001)*1),SUMPRODUCT((Results!$A$2:$A$5001=Schedule!T$45)*(Results!$B$2:$B$5001=12)*(Results!$G$2:$G$5001)*1),SUMPRODUCT((Results!$A$2:$A$5001=Schedule!T$45)*(Results!$B$2:$B$5001=13)*(Results!$G$2:$G$5001)*1),SUMPRODUCT((Results!$A$2:$A$5001=Schedule!T$45)*(Results!$B$2:$B$5001=14)*(Results!$G$2:$G$5001)*1),SUMPRODUCT((Results!$A$2:$A$5001=Schedule!T$45)*(Results!$B$2:$B$5001=15)*(Results!$G$2:$G$5001)*1),SUMPRODUCT((Results!$A$2:$A$5001=Schedule!T$45)*(Results!$B$2:$B$5001=16)*(Results!$G$2:$G$5001)*1),SUMPRODUCT((Results!$A$2:$A$5001=Schedule!T$45)*(Results!$B$2:$B$5001=17)*(Results!$G$2:$G$5001)*1),SUMPRODUCT((Results!$A$2:$A$5001=Schedule!T$45)*(Results!$B$2:$B$5001=18)*(Results!$G$2:$G$5001)*1),SUMPRODUCT((Results!$A$2:$A$5001=Schedule!T$45)*(Results!$B$2:$B$5001=19)*(Results!$G$2:$G$5001)*1),SUMPRODUCT((Results!$A$2:$A$5001=Schedule!T$45)*(Results!$B$2:$B$5001=20)*(Results!$G$2:$G$5001)*1))</f>
        <v>0</v>
      </c>
      <c r="U73" s="88">
        <f>MAX(SUMPRODUCT((Results!$A$2:$A$5001=Schedule!U$45)*(Results!$B$2:$B$5001=1)*(Results!$G$2:$G$5001)*1),SUMPRODUCT((Results!$A$2:$A$5001=Schedule!U$45)*(Results!$B$2:$B$5001=2)*(Results!$G$2:$G$5001)*1),SUMPRODUCT((Results!$A$2:$A$5001=Schedule!U$45)*(Results!$B$2:$B$5001=3)*(Results!$G$2:$G$5001)*1),SUMPRODUCT((Results!$A$2:$A$5001=Schedule!U$45)*(Results!$B$2:$B$5001=4)*(Results!$G$2:$G$5001)*1),SUMPRODUCT((Results!$A$2:$A$5001=Schedule!U$45)*(Results!$B$2:$B$5001=5)*(Results!$G$2:$G$5001)*1),SUMPRODUCT((Results!$A$2:$A$5001=Schedule!U$45)*(Results!$B$2:$B$5001=6)*(Results!$G$2:$G$5001)*1),SUMPRODUCT((Results!$A$2:$A$5001=Schedule!U$45)*(Results!$B$2:$B$5001=7)*(Results!$G$2:$G$5001)*1),SUMPRODUCT((Results!$A$2:$A$5001=Schedule!U$45)*(Results!$B$2:$B$5001=8)*(Results!$G$2:$G$5001)*1),SUMPRODUCT((Results!$A$2:$A$5001=Schedule!U$45)*(Results!$B$2:$B$5001=9)*(Results!$G$2:$G$5001)*1),SUMPRODUCT((Results!$A$2:$A$5001=Schedule!U$45)*(Results!$B$2:$B$5001=10)*(Results!$G$2:$G$5001)*1),SUMPRODUCT((Results!$A$2:$A$5001=Schedule!U$45)*(Results!$B$2:$B$5001=11)*(Results!$G$2:$G$5001)*1),SUMPRODUCT((Results!$A$2:$A$5001=Schedule!U$45)*(Results!$B$2:$B$5001=12)*(Results!$G$2:$G$5001)*1),SUMPRODUCT((Results!$A$2:$A$5001=Schedule!U$45)*(Results!$B$2:$B$5001=13)*(Results!$G$2:$G$5001)*1),SUMPRODUCT((Results!$A$2:$A$5001=Schedule!U$45)*(Results!$B$2:$B$5001=14)*(Results!$G$2:$G$5001)*1),SUMPRODUCT((Results!$A$2:$A$5001=Schedule!U$45)*(Results!$B$2:$B$5001=15)*(Results!$G$2:$G$5001)*1),SUMPRODUCT((Results!$A$2:$A$5001=Schedule!U$45)*(Results!$B$2:$B$5001=16)*(Results!$G$2:$G$5001)*1),SUMPRODUCT((Results!$A$2:$A$5001=Schedule!U$45)*(Results!$B$2:$B$5001=17)*(Results!$G$2:$G$5001)*1),SUMPRODUCT((Results!$A$2:$A$5001=Schedule!U$45)*(Results!$B$2:$B$5001=18)*(Results!$G$2:$G$5001)*1),SUMPRODUCT((Results!$A$2:$A$5001=Schedule!U$45)*(Results!$B$2:$B$5001=19)*(Results!$G$2:$G$5001)*1),SUMPRODUCT((Results!$A$2:$A$5001=Schedule!U$45)*(Results!$B$2:$B$5001=20)*(Results!$G$2:$G$5001)*1))</f>
        <v>0</v>
      </c>
      <c r="V73" s="88">
        <f>MAX(SUMPRODUCT((Results!$A$2:$A$5001=Schedule!V$45)*(Results!$B$2:$B$5001=1)*(Results!$G$2:$G$5001)*1),SUMPRODUCT((Results!$A$2:$A$5001=Schedule!V$45)*(Results!$B$2:$B$5001=2)*(Results!$G$2:$G$5001)*1),SUMPRODUCT((Results!$A$2:$A$5001=Schedule!V$45)*(Results!$B$2:$B$5001=3)*(Results!$G$2:$G$5001)*1),SUMPRODUCT((Results!$A$2:$A$5001=Schedule!V$45)*(Results!$B$2:$B$5001=4)*(Results!$G$2:$G$5001)*1),SUMPRODUCT((Results!$A$2:$A$5001=Schedule!V$45)*(Results!$B$2:$B$5001=5)*(Results!$G$2:$G$5001)*1),SUMPRODUCT((Results!$A$2:$A$5001=Schedule!V$45)*(Results!$B$2:$B$5001=6)*(Results!$G$2:$G$5001)*1),SUMPRODUCT((Results!$A$2:$A$5001=Schedule!V$45)*(Results!$B$2:$B$5001=7)*(Results!$G$2:$G$5001)*1),SUMPRODUCT((Results!$A$2:$A$5001=Schedule!V$45)*(Results!$B$2:$B$5001=8)*(Results!$G$2:$G$5001)*1),SUMPRODUCT((Results!$A$2:$A$5001=Schedule!V$45)*(Results!$B$2:$B$5001=9)*(Results!$G$2:$G$5001)*1),SUMPRODUCT((Results!$A$2:$A$5001=Schedule!V$45)*(Results!$B$2:$B$5001=10)*(Results!$G$2:$G$5001)*1),SUMPRODUCT((Results!$A$2:$A$5001=Schedule!V$45)*(Results!$B$2:$B$5001=11)*(Results!$G$2:$G$5001)*1),SUMPRODUCT((Results!$A$2:$A$5001=Schedule!V$45)*(Results!$B$2:$B$5001=12)*(Results!$G$2:$G$5001)*1),SUMPRODUCT((Results!$A$2:$A$5001=Schedule!V$45)*(Results!$B$2:$B$5001=13)*(Results!$G$2:$G$5001)*1),SUMPRODUCT((Results!$A$2:$A$5001=Schedule!V$45)*(Results!$B$2:$B$5001=14)*(Results!$G$2:$G$5001)*1),SUMPRODUCT((Results!$A$2:$A$5001=Schedule!V$45)*(Results!$B$2:$B$5001=15)*(Results!$G$2:$G$5001)*1),SUMPRODUCT((Results!$A$2:$A$5001=Schedule!V$45)*(Results!$B$2:$B$5001=16)*(Results!$G$2:$G$5001)*1),SUMPRODUCT((Results!$A$2:$A$5001=Schedule!V$45)*(Results!$B$2:$B$5001=17)*(Results!$G$2:$G$5001)*1),SUMPRODUCT((Results!$A$2:$A$5001=Schedule!V$45)*(Results!$B$2:$B$5001=18)*(Results!$G$2:$G$5001)*1),SUMPRODUCT((Results!$A$2:$A$5001=Schedule!V$45)*(Results!$B$2:$B$5001=19)*(Results!$G$2:$G$5001)*1),SUMPRODUCT((Results!$A$2:$A$5001=Schedule!V$45)*(Results!$B$2:$B$5001=20)*(Results!$G$2:$G$5001)*1))</f>
        <v>0</v>
      </c>
      <c r="W73" s="88">
        <f>MAX(SUMPRODUCT((Results!$A$2:$A$5001=Schedule!W$45)*(Results!$B$2:$B$5001=1)*(Results!$G$2:$G$5001)*1),SUMPRODUCT((Results!$A$2:$A$5001=Schedule!W$45)*(Results!$B$2:$B$5001=2)*(Results!$G$2:$G$5001)*1),SUMPRODUCT((Results!$A$2:$A$5001=Schedule!W$45)*(Results!$B$2:$B$5001=3)*(Results!$G$2:$G$5001)*1),SUMPRODUCT((Results!$A$2:$A$5001=Schedule!W$45)*(Results!$B$2:$B$5001=4)*(Results!$G$2:$G$5001)*1),SUMPRODUCT((Results!$A$2:$A$5001=Schedule!W$45)*(Results!$B$2:$B$5001=5)*(Results!$G$2:$G$5001)*1),SUMPRODUCT((Results!$A$2:$A$5001=Schedule!W$45)*(Results!$B$2:$B$5001=6)*(Results!$G$2:$G$5001)*1),SUMPRODUCT((Results!$A$2:$A$5001=Schedule!W$45)*(Results!$B$2:$B$5001=7)*(Results!$G$2:$G$5001)*1),SUMPRODUCT((Results!$A$2:$A$5001=Schedule!W$45)*(Results!$B$2:$B$5001=8)*(Results!$G$2:$G$5001)*1),SUMPRODUCT((Results!$A$2:$A$5001=Schedule!W$45)*(Results!$B$2:$B$5001=9)*(Results!$G$2:$G$5001)*1),SUMPRODUCT((Results!$A$2:$A$5001=Schedule!W$45)*(Results!$B$2:$B$5001=10)*(Results!$G$2:$G$5001)*1),SUMPRODUCT((Results!$A$2:$A$5001=Schedule!W$45)*(Results!$B$2:$B$5001=11)*(Results!$G$2:$G$5001)*1),SUMPRODUCT((Results!$A$2:$A$5001=Schedule!W$45)*(Results!$B$2:$B$5001=12)*(Results!$G$2:$G$5001)*1),SUMPRODUCT((Results!$A$2:$A$5001=Schedule!W$45)*(Results!$B$2:$B$5001=13)*(Results!$G$2:$G$5001)*1),SUMPRODUCT((Results!$A$2:$A$5001=Schedule!W$45)*(Results!$B$2:$B$5001=14)*(Results!$G$2:$G$5001)*1),SUMPRODUCT((Results!$A$2:$A$5001=Schedule!W$45)*(Results!$B$2:$B$5001=15)*(Results!$G$2:$G$5001)*1),SUMPRODUCT((Results!$A$2:$A$5001=Schedule!W$45)*(Results!$B$2:$B$5001=16)*(Results!$G$2:$G$5001)*1),SUMPRODUCT((Results!$A$2:$A$5001=Schedule!W$45)*(Results!$B$2:$B$5001=17)*(Results!$G$2:$G$5001)*1),SUMPRODUCT((Results!$A$2:$A$5001=Schedule!W$45)*(Results!$B$2:$B$5001=18)*(Results!$G$2:$G$5001)*1),SUMPRODUCT((Results!$A$2:$A$5001=Schedule!W$45)*(Results!$B$2:$B$5001=19)*(Results!$G$2:$G$5001)*1),SUMPRODUCT((Results!$A$2:$A$5001=Schedule!W$45)*(Results!$B$2:$B$5001=20)*(Results!$G$2:$G$5001)*1))</f>
        <v>0</v>
      </c>
      <c r="X73" s="88">
        <f>MAX(SUMPRODUCT((Results!$A$2:$A$5001=Schedule!X$45)*(Results!$B$2:$B$5001=1)*(Results!$G$2:$G$5001)*1),SUMPRODUCT((Results!$A$2:$A$5001=Schedule!X$45)*(Results!$B$2:$B$5001=2)*(Results!$G$2:$G$5001)*1),SUMPRODUCT((Results!$A$2:$A$5001=Schedule!X$45)*(Results!$B$2:$B$5001=3)*(Results!$G$2:$G$5001)*1),SUMPRODUCT((Results!$A$2:$A$5001=Schedule!X$45)*(Results!$B$2:$B$5001=4)*(Results!$G$2:$G$5001)*1),SUMPRODUCT((Results!$A$2:$A$5001=Schedule!X$45)*(Results!$B$2:$B$5001=5)*(Results!$G$2:$G$5001)*1),SUMPRODUCT((Results!$A$2:$A$5001=Schedule!X$45)*(Results!$B$2:$B$5001=6)*(Results!$G$2:$G$5001)*1),SUMPRODUCT((Results!$A$2:$A$5001=Schedule!X$45)*(Results!$B$2:$B$5001=7)*(Results!$G$2:$G$5001)*1),SUMPRODUCT((Results!$A$2:$A$5001=Schedule!X$45)*(Results!$B$2:$B$5001=8)*(Results!$G$2:$G$5001)*1),SUMPRODUCT((Results!$A$2:$A$5001=Schedule!X$45)*(Results!$B$2:$B$5001=9)*(Results!$G$2:$G$5001)*1),SUMPRODUCT((Results!$A$2:$A$5001=Schedule!X$45)*(Results!$B$2:$B$5001=10)*(Results!$G$2:$G$5001)*1),SUMPRODUCT((Results!$A$2:$A$5001=Schedule!X$45)*(Results!$B$2:$B$5001=11)*(Results!$G$2:$G$5001)*1),SUMPRODUCT((Results!$A$2:$A$5001=Schedule!X$45)*(Results!$B$2:$B$5001=12)*(Results!$G$2:$G$5001)*1),SUMPRODUCT((Results!$A$2:$A$5001=Schedule!X$45)*(Results!$B$2:$B$5001=13)*(Results!$G$2:$G$5001)*1),SUMPRODUCT((Results!$A$2:$A$5001=Schedule!X$45)*(Results!$B$2:$B$5001=14)*(Results!$G$2:$G$5001)*1),SUMPRODUCT((Results!$A$2:$A$5001=Schedule!X$45)*(Results!$B$2:$B$5001=15)*(Results!$G$2:$G$5001)*1),SUMPRODUCT((Results!$A$2:$A$5001=Schedule!X$45)*(Results!$B$2:$B$5001=16)*(Results!$G$2:$G$5001)*1),SUMPRODUCT((Results!$A$2:$A$5001=Schedule!X$45)*(Results!$B$2:$B$5001=17)*(Results!$G$2:$G$5001)*1),SUMPRODUCT((Results!$A$2:$A$5001=Schedule!X$45)*(Results!$B$2:$B$5001=18)*(Results!$G$2:$G$5001)*1),SUMPRODUCT((Results!$A$2:$A$5001=Schedule!X$45)*(Results!$B$2:$B$5001=19)*(Results!$G$2:$G$5001)*1),SUMPRODUCT((Results!$A$2:$A$5001=Schedule!X$45)*(Results!$B$2:$B$5001=20)*(Results!$G$2:$G$5001)*1))</f>
        <v>0</v>
      </c>
      <c r="Y73" s="88">
        <f>MAX(SUMPRODUCT((Results!$A$2:$A$5001=Schedule!Y$45)*(Results!$B$2:$B$5001=1)*(Results!$G$2:$G$5001)*1),SUMPRODUCT((Results!$A$2:$A$5001=Schedule!Y$45)*(Results!$B$2:$B$5001=2)*(Results!$G$2:$G$5001)*1),SUMPRODUCT((Results!$A$2:$A$5001=Schedule!Y$45)*(Results!$B$2:$B$5001=3)*(Results!$G$2:$G$5001)*1),SUMPRODUCT((Results!$A$2:$A$5001=Schedule!Y$45)*(Results!$B$2:$B$5001=4)*(Results!$G$2:$G$5001)*1),SUMPRODUCT((Results!$A$2:$A$5001=Schedule!Y$45)*(Results!$B$2:$B$5001=5)*(Results!$G$2:$G$5001)*1),SUMPRODUCT((Results!$A$2:$A$5001=Schedule!Y$45)*(Results!$B$2:$B$5001=6)*(Results!$G$2:$G$5001)*1),SUMPRODUCT((Results!$A$2:$A$5001=Schedule!Y$45)*(Results!$B$2:$B$5001=7)*(Results!$G$2:$G$5001)*1),SUMPRODUCT((Results!$A$2:$A$5001=Schedule!Y$45)*(Results!$B$2:$B$5001=8)*(Results!$G$2:$G$5001)*1),SUMPRODUCT((Results!$A$2:$A$5001=Schedule!Y$45)*(Results!$B$2:$B$5001=9)*(Results!$G$2:$G$5001)*1),SUMPRODUCT((Results!$A$2:$A$5001=Schedule!Y$45)*(Results!$B$2:$B$5001=10)*(Results!$G$2:$G$5001)*1),SUMPRODUCT((Results!$A$2:$A$5001=Schedule!Y$45)*(Results!$B$2:$B$5001=11)*(Results!$G$2:$G$5001)*1),SUMPRODUCT((Results!$A$2:$A$5001=Schedule!Y$45)*(Results!$B$2:$B$5001=12)*(Results!$G$2:$G$5001)*1),SUMPRODUCT((Results!$A$2:$A$5001=Schedule!Y$45)*(Results!$B$2:$B$5001=13)*(Results!$G$2:$G$5001)*1),SUMPRODUCT((Results!$A$2:$A$5001=Schedule!Y$45)*(Results!$B$2:$B$5001=14)*(Results!$G$2:$G$5001)*1),SUMPRODUCT((Results!$A$2:$A$5001=Schedule!Y$45)*(Results!$B$2:$B$5001=15)*(Results!$G$2:$G$5001)*1),SUMPRODUCT((Results!$A$2:$A$5001=Schedule!Y$45)*(Results!$B$2:$B$5001=16)*(Results!$G$2:$G$5001)*1),SUMPRODUCT((Results!$A$2:$A$5001=Schedule!Y$45)*(Results!$B$2:$B$5001=17)*(Results!$G$2:$G$5001)*1),SUMPRODUCT((Results!$A$2:$A$5001=Schedule!Y$45)*(Results!$B$2:$B$5001=18)*(Results!$G$2:$G$5001)*1),SUMPRODUCT((Results!$A$2:$A$5001=Schedule!Y$45)*(Results!$B$2:$B$5001=19)*(Results!$G$2:$G$5001)*1),SUMPRODUCT((Results!$A$2:$A$5001=Schedule!Y$45)*(Results!$B$2:$B$5001=20)*(Results!$G$2:$G$5001)*1))</f>
        <v>0</v>
      </c>
      <c r="Z73" s="88">
        <f>MAX(SUMPRODUCT((Results!$A$2:$A$5001=Schedule!Z$45)*(Results!$B$2:$B$5001=1)*(Results!$G$2:$G$5001)*1),SUMPRODUCT((Results!$A$2:$A$5001=Schedule!Z$45)*(Results!$B$2:$B$5001=2)*(Results!$G$2:$G$5001)*1),SUMPRODUCT((Results!$A$2:$A$5001=Schedule!Z$45)*(Results!$B$2:$B$5001=3)*(Results!$G$2:$G$5001)*1),SUMPRODUCT((Results!$A$2:$A$5001=Schedule!Z$45)*(Results!$B$2:$B$5001=4)*(Results!$G$2:$G$5001)*1),SUMPRODUCT((Results!$A$2:$A$5001=Schedule!Z$45)*(Results!$B$2:$B$5001=5)*(Results!$G$2:$G$5001)*1),SUMPRODUCT((Results!$A$2:$A$5001=Schedule!Z$45)*(Results!$B$2:$B$5001=6)*(Results!$G$2:$G$5001)*1),SUMPRODUCT((Results!$A$2:$A$5001=Schedule!Z$45)*(Results!$B$2:$B$5001=7)*(Results!$G$2:$G$5001)*1),SUMPRODUCT((Results!$A$2:$A$5001=Schedule!Z$45)*(Results!$B$2:$B$5001=8)*(Results!$G$2:$G$5001)*1),SUMPRODUCT((Results!$A$2:$A$5001=Schedule!Z$45)*(Results!$B$2:$B$5001=9)*(Results!$G$2:$G$5001)*1),SUMPRODUCT((Results!$A$2:$A$5001=Schedule!Z$45)*(Results!$B$2:$B$5001=10)*(Results!$G$2:$G$5001)*1),SUMPRODUCT((Results!$A$2:$A$5001=Schedule!Z$45)*(Results!$B$2:$B$5001=11)*(Results!$G$2:$G$5001)*1),SUMPRODUCT((Results!$A$2:$A$5001=Schedule!Z$45)*(Results!$B$2:$B$5001=12)*(Results!$G$2:$G$5001)*1),SUMPRODUCT((Results!$A$2:$A$5001=Schedule!Z$45)*(Results!$B$2:$B$5001=13)*(Results!$G$2:$G$5001)*1),SUMPRODUCT((Results!$A$2:$A$5001=Schedule!Z$45)*(Results!$B$2:$B$5001=14)*(Results!$G$2:$G$5001)*1),SUMPRODUCT((Results!$A$2:$A$5001=Schedule!Z$45)*(Results!$B$2:$B$5001=15)*(Results!$G$2:$G$5001)*1),SUMPRODUCT((Results!$A$2:$A$5001=Schedule!Z$45)*(Results!$B$2:$B$5001=16)*(Results!$G$2:$G$5001)*1),SUMPRODUCT((Results!$A$2:$A$5001=Schedule!Z$45)*(Results!$B$2:$B$5001=17)*(Results!$G$2:$G$5001)*1),SUMPRODUCT((Results!$A$2:$A$5001=Schedule!Z$45)*(Results!$B$2:$B$5001=18)*(Results!$G$2:$G$5001)*1),SUMPRODUCT((Results!$A$2:$A$5001=Schedule!Z$45)*(Results!$B$2:$B$5001=19)*(Results!$G$2:$G$5001)*1),SUMPRODUCT((Results!$A$2:$A$5001=Schedule!Z$45)*(Results!$B$2:$B$5001=20)*(Results!$G$2:$G$5001)*1))</f>
        <v>0</v>
      </c>
      <c r="AA73" s="88">
        <f>MAX(SUMPRODUCT((Results!$A$2:$A$5001=Schedule!AA$45)*(Results!$B$2:$B$5001=1)*(Results!$G$2:$G$5001)*1),SUMPRODUCT((Results!$A$2:$A$5001=Schedule!AA$45)*(Results!$B$2:$B$5001=2)*(Results!$G$2:$G$5001)*1),SUMPRODUCT((Results!$A$2:$A$5001=Schedule!AA$45)*(Results!$B$2:$B$5001=3)*(Results!$G$2:$G$5001)*1),SUMPRODUCT((Results!$A$2:$A$5001=Schedule!AA$45)*(Results!$B$2:$B$5001=4)*(Results!$G$2:$G$5001)*1),SUMPRODUCT((Results!$A$2:$A$5001=Schedule!AA$45)*(Results!$B$2:$B$5001=5)*(Results!$G$2:$G$5001)*1),SUMPRODUCT((Results!$A$2:$A$5001=Schedule!AA$45)*(Results!$B$2:$B$5001=6)*(Results!$G$2:$G$5001)*1),SUMPRODUCT((Results!$A$2:$A$5001=Schedule!AA$45)*(Results!$B$2:$B$5001=7)*(Results!$G$2:$G$5001)*1),SUMPRODUCT((Results!$A$2:$A$5001=Schedule!AA$45)*(Results!$B$2:$B$5001=8)*(Results!$G$2:$G$5001)*1),SUMPRODUCT((Results!$A$2:$A$5001=Schedule!AA$45)*(Results!$B$2:$B$5001=9)*(Results!$G$2:$G$5001)*1),SUMPRODUCT((Results!$A$2:$A$5001=Schedule!AA$45)*(Results!$B$2:$B$5001=10)*(Results!$G$2:$G$5001)*1),SUMPRODUCT((Results!$A$2:$A$5001=Schedule!AA$45)*(Results!$B$2:$B$5001=11)*(Results!$G$2:$G$5001)*1),SUMPRODUCT((Results!$A$2:$A$5001=Schedule!AA$45)*(Results!$B$2:$B$5001=12)*(Results!$G$2:$G$5001)*1),SUMPRODUCT((Results!$A$2:$A$5001=Schedule!AA$45)*(Results!$B$2:$B$5001=13)*(Results!$G$2:$G$5001)*1),SUMPRODUCT((Results!$A$2:$A$5001=Schedule!AA$45)*(Results!$B$2:$B$5001=14)*(Results!$G$2:$G$5001)*1),SUMPRODUCT((Results!$A$2:$A$5001=Schedule!AA$45)*(Results!$B$2:$B$5001=15)*(Results!$G$2:$G$5001)*1),SUMPRODUCT((Results!$A$2:$A$5001=Schedule!AA$45)*(Results!$B$2:$B$5001=16)*(Results!$G$2:$G$5001)*1),SUMPRODUCT((Results!$A$2:$A$5001=Schedule!AA$45)*(Results!$B$2:$B$5001=17)*(Results!$G$2:$G$5001)*1),SUMPRODUCT((Results!$A$2:$A$5001=Schedule!AA$45)*(Results!$B$2:$B$5001=18)*(Results!$G$2:$G$5001)*1),SUMPRODUCT((Results!$A$2:$A$5001=Schedule!AA$45)*(Results!$B$2:$B$5001=19)*(Results!$G$2:$G$5001)*1),SUMPRODUCT((Results!$A$2:$A$5001=Schedule!AA$45)*(Results!$B$2:$B$5001=20)*(Results!$G$2:$G$5001)*1))</f>
        <v>0</v>
      </c>
      <c r="AB73" s="88">
        <f>MAX(SUMPRODUCT((Results!$A$2:$A$5001=Schedule!AB$45)*(Results!$B$2:$B$5001=1)*(Results!$G$2:$G$5001)*1),SUMPRODUCT((Results!$A$2:$A$5001=Schedule!AB$45)*(Results!$B$2:$B$5001=2)*(Results!$G$2:$G$5001)*1),SUMPRODUCT((Results!$A$2:$A$5001=Schedule!AB$45)*(Results!$B$2:$B$5001=3)*(Results!$G$2:$G$5001)*1),SUMPRODUCT((Results!$A$2:$A$5001=Schedule!AB$45)*(Results!$B$2:$B$5001=4)*(Results!$G$2:$G$5001)*1),SUMPRODUCT((Results!$A$2:$A$5001=Schedule!AB$45)*(Results!$B$2:$B$5001=5)*(Results!$G$2:$G$5001)*1),SUMPRODUCT((Results!$A$2:$A$5001=Schedule!AB$45)*(Results!$B$2:$B$5001=6)*(Results!$G$2:$G$5001)*1),SUMPRODUCT((Results!$A$2:$A$5001=Schedule!AB$45)*(Results!$B$2:$B$5001=7)*(Results!$G$2:$G$5001)*1),SUMPRODUCT((Results!$A$2:$A$5001=Schedule!AB$45)*(Results!$B$2:$B$5001=8)*(Results!$G$2:$G$5001)*1),SUMPRODUCT((Results!$A$2:$A$5001=Schedule!AB$45)*(Results!$B$2:$B$5001=9)*(Results!$G$2:$G$5001)*1),SUMPRODUCT((Results!$A$2:$A$5001=Schedule!AB$45)*(Results!$B$2:$B$5001=10)*(Results!$G$2:$G$5001)*1),SUMPRODUCT((Results!$A$2:$A$5001=Schedule!AB$45)*(Results!$B$2:$B$5001=11)*(Results!$G$2:$G$5001)*1),SUMPRODUCT((Results!$A$2:$A$5001=Schedule!AB$45)*(Results!$B$2:$B$5001=12)*(Results!$G$2:$G$5001)*1),SUMPRODUCT((Results!$A$2:$A$5001=Schedule!AB$45)*(Results!$B$2:$B$5001=13)*(Results!$G$2:$G$5001)*1),SUMPRODUCT((Results!$A$2:$A$5001=Schedule!AB$45)*(Results!$B$2:$B$5001=14)*(Results!$G$2:$G$5001)*1),SUMPRODUCT((Results!$A$2:$A$5001=Schedule!AB$45)*(Results!$B$2:$B$5001=15)*(Results!$G$2:$G$5001)*1),SUMPRODUCT((Results!$A$2:$A$5001=Schedule!AB$45)*(Results!$B$2:$B$5001=16)*(Results!$G$2:$G$5001)*1),SUMPRODUCT((Results!$A$2:$A$5001=Schedule!AB$45)*(Results!$B$2:$B$5001=17)*(Results!$G$2:$G$5001)*1),SUMPRODUCT((Results!$A$2:$A$5001=Schedule!AB$45)*(Results!$B$2:$B$5001=18)*(Results!$G$2:$G$5001)*1),SUMPRODUCT((Results!$A$2:$A$5001=Schedule!AB$45)*(Results!$B$2:$B$5001=19)*(Results!$G$2:$G$5001)*1),SUMPRODUCT((Results!$A$2:$A$5001=Schedule!AB$45)*(Results!$B$2:$B$5001=20)*(Results!$G$2:$G$5001)*1))</f>
        <v>0</v>
      </c>
      <c r="AC73" s="88">
        <f>MAX(SUMPRODUCT((Results!$A$2:$A$5001=Schedule!AC$45)*(Results!$B$2:$B$5001=1)*(Results!$G$2:$G$5001)*1),SUMPRODUCT((Results!$A$2:$A$5001=Schedule!AC$45)*(Results!$B$2:$B$5001=2)*(Results!$G$2:$G$5001)*1),SUMPRODUCT((Results!$A$2:$A$5001=Schedule!AC$45)*(Results!$B$2:$B$5001=3)*(Results!$G$2:$G$5001)*1),SUMPRODUCT((Results!$A$2:$A$5001=Schedule!AC$45)*(Results!$B$2:$B$5001=4)*(Results!$G$2:$G$5001)*1),SUMPRODUCT((Results!$A$2:$A$5001=Schedule!AC$45)*(Results!$B$2:$B$5001=5)*(Results!$G$2:$G$5001)*1),SUMPRODUCT((Results!$A$2:$A$5001=Schedule!AC$45)*(Results!$B$2:$B$5001=6)*(Results!$G$2:$G$5001)*1),SUMPRODUCT((Results!$A$2:$A$5001=Schedule!AC$45)*(Results!$B$2:$B$5001=7)*(Results!$G$2:$G$5001)*1),SUMPRODUCT((Results!$A$2:$A$5001=Schedule!AC$45)*(Results!$B$2:$B$5001=8)*(Results!$G$2:$G$5001)*1),SUMPRODUCT((Results!$A$2:$A$5001=Schedule!AC$45)*(Results!$B$2:$B$5001=9)*(Results!$G$2:$G$5001)*1),SUMPRODUCT((Results!$A$2:$A$5001=Schedule!AC$45)*(Results!$B$2:$B$5001=10)*(Results!$G$2:$G$5001)*1),SUMPRODUCT((Results!$A$2:$A$5001=Schedule!AC$45)*(Results!$B$2:$B$5001=11)*(Results!$G$2:$G$5001)*1),SUMPRODUCT((Results!$A$2:$A$5001=Schedule!AC$45)*(Results!$B$2:$B$5001=12)*(Results!$G$2:$G$5001)*1),SUMPRODUCT((Results!$A$2:$A$5001=Schedule!AC$45)*(Results!$B$2:$B$5001=13)*(Results!$G$2:$G$5001)*1),SUMPRODUCT((Results!$A$2:$A$5001=Schedule!AC$45)*(Results!$B$2:$B$5001=14)*(Results!$G$2:$G$5001)*1),SUMPRODUCT((Results!$A$2:$A$5001=Schedule!AC$45)*(Results!$B$2:$B$5001=15)*(Results!$G$2:$G$5001)*1),SUMPRODUCT((Results!$A$2:$A$5001=Schedule!AC$45)*(Results!$B$2:$B$5001=16)*(Results!$G$2:$G$5001)*1),SUMPRODUCT((Results!$A$2:$A$5001=Schedule!AC$45)*(Results!$B$2:$B$5001=17)*(Results!$G$2:$G$5001)*1),SUMPRODUCT((Results!$A$2:$A$5001=Schedule!AC$45)*(Results!$B$2:$B$5001=18)*(Results!$G$2:$G$5001)*1),SUMPRODUCT((Results!$A$2:$A$5001=Schedule!AC$45)*(Results!$B$2:$B$5001=19)*(Results!$G$2:$G$5001)*1),SUMPRODUCT((Results!$A$2:$A$5001=Schedule!AC$45)*(Results!$B$2:$B$5001=20)*(Results!$G$2:$G$5001)*1))</f>
        <v>0</v>
      </c>
      <c r="AD73" s="88">
        <f>MAX(SUMPRODUCT((Results!$A$2:$A$5001=Schedule!AD$45)*(Results!$B$2:$B$5001=1)*(Results!$G$2:$G$5001)*1),SUMPRODUCT((Results!$A$2:$A$5001=Schedule!AD$45)*(Results!$B$2:$B$5001=2)*(Results!$G$2:$G$5001)*1),SUMPRODUCT((Results!$A$2:$A$5001=Schedule!AD$45)*(Results!$B$2:$B$5001=3)*(Results!$G$2:$G$5001)*1),SUMPRODUCT((Results!$A$2:$A$5001=Schedule!AD$45)*(Results!$B$2:$B$5001=4)*(Results!$G$2:$G$5001)*1),SUMPRODUCT((Results!$A$2:$A$5001=Schedule!AD$45)*(Results!$B$2:$B$5001=5)*(Results!$G$2:$G$5001)*1),SUMPRODUCT((Results!$A$2:$A$5001=Schedule!AD$45)*(Results!$B$2:$B$5001=6)*(Results!$G$2:$G$5001)*1),SUMPRODUCT((Results!$A$2:$A$5001=Schedule!AD$45)*(Results!$B$2:$B$5001=7)*(Results!$G$2:$G$5001)*1),SUMPRODUCT((Results!$A$2:$A$5001=Schedule!AD$45)*(Results!$B$2:$B$5001=8)*(Results!$G$2:$G$5001)*1),SUMPRODUCT((Results!$A$2:$A$5001=Schedule!AD$45)*(Results!$B$2:$B$5001=9)*(Results!$G$2:$G$5001)*1),SUMPRODUCT((Results!$A$2:$A$5001=Schedule!AD$45)*(Results!$B$2:$B$5001=10)*(Results!$G$2:$G$5001)*1),SUMPRODUCT((Results!$A$2:$A$5001=Schedule!AD$45)*(Results!$B$2:$B$5001=11)*(Results!$G$2:$G$5001)*1),SUMPRODUCT((Results!$A$2:$A$5001=Schedule!AD$45)*(Results!$B$2:$B$5001=12)*(Results!$G$2:$G$5001)*1),SUMPRODUCT((Results!$A$2:$A$5001=Schedule!AD$45)*(Results!$B$2:$B$5001=13)*(Results!$G$2:$G$5001)*1),SUMPRODUCT((Results!$A$2:$A$5001=Schedule!AD$45)*(Results!$B$2:$B$5001=14)*(Results!$G$2:$G$5001)*1),SUMPRODUCT((Results!$A$2:$A$5001=Schedule!AD$45)*(Results!$B$2:$B$5001=15)*(Results!$G$2:$G$5001)*1),SUMPRODUCT((Results!$A$2:$A$5001=Schedule!AD$45)*(Results!$B$2:$B$5001=16)*(Results!$G$2:$G$5001)*1),SUMPRODUCT((Results!$A$2:$A$5001=Schedule!AD$45)*(Results!$B$2:$B$5001=17)*(Results!$G$2:$G$5001)*1),SUMPRODUCT((Results!$A$2:$A$5001=Schedule!AD$45)*(Results!$B$2:$B$5001=18)*(Results!$G$2:$G$5001)*1),SUMPRODUCT((Results!$A$2:$A$5001=Schedule!AD$45)*(Results!$B$2:$B$5001=19)*(Results!$G$2:$G$5001)*1),SUMPRODUCT((Results!$A$2:$A$5001=Schedule!AD$45)*(Results!$B$2:$B$5001=20)*(Results!$G$2:$G$5001)*1))</f>
        <v>0</v>
      </c>
      <c r="AE73" s="88">
        <f>MAX(SUMPRODUCT((Results!$A$2:$A$5001=Schedule!AE$45)*(Results!$B$2:$B$5001=1)*(Results!$G$2:$G$5001)*1),SUMPRODUCT((Results!$A$2:$A$5001=Schedule!AE$45)*(Results!$B$2:$B$5001=2)*(Results!$G$2:$G$5001)*1),SUMPRODUCT((Results!$A$2:$A$5001=Schedule!AE$45)*(Results!$B$2:$B$5001=3)*(Results!$G$2:$G$5001)*1),SUMPRODUCT((Results!$A$2:$A$5001=Schedule!AE$45)*(Results!$B$2:$B$5001=4)*(Results!$G$2:$G$5001)*1),SUMPRODUCT((Results!$A$2:$A$5001=Schedule!AE$45)*(Results!$B$2:$B$5001=5)*(Results!$G$2:$G$5001)*1),SUMPRODUCT((Results!$A$2:$A$5001=Schedule!AE$45)*(Results!$B$2:$B$5001=6)*(Results!$G$2:$G$5001)*1),SUMPRODUCT((Results!$A$2:$A$5001=Schedule!AE$45)*(Results!$B$2:$B$5001=7)*(Results!$G$2:$G$5001)*1),SUMPRODUCT((Results!$A$2:$A$5001=Schedule!AE$45)*(Results!$B$2:$B$5001=8)*(Results!$G$2:$G$5001)*1),SUMPRODUCT((Results!$A$2:$A$5001=Schedule!AE$45)*(Results!$B$2:$B$5001=9)*(Results!$G$2:$G$5001)*1),SUMPRODUCT((Results!$A$2:$A$5001=Schedule!AE$45)*(Results!$B$2:$B$5001=10)*(Results!$G$2:$G$5001)*1),SUMPRODUCT((Results!$A$2:$A$5001=Schedule!AE$45)*(Results!$B$2:$B$5001=11)*(Results!$G$2:$G$5001)*1),SUMPRODUCT((Results!$A$2:$A$5001=Schedule!AE$45)*(Results!$B$2:$B$5001=12)*(Results!$G$2:$G$5001)*1),SUMPRODUCT((Results!$A$2:$A$5001=Schedule!AE$45)*(Results!$B$2:$B$5001=13)*(Results!$G$2:$G$5001)*1),SUMPRODUCT((Results!$A$2:$A$5001=Schedule!AE$45)*(Results!$B$2:$B$5001=14)*(Results!$G$2:$G$5001)*1),SUMPRODUCT((Results!$A$2:$A$5001=Schedule!AE$45)*(Results!$B$2:$B$5001=15)*(Results!$G$2:$G$5001)*1),SUMPRODUCT((Results!$A$2:$A$5001=Schedule!AE$45)*(Results!$B$2:$B$5001=16)*(Results!$G$2:$G$5001)*1),SUMPRODUCT((Results!$A$2:$A$5001=Schedule!AE$45)*(Results!$B$2:$B$5001=17)*(Results!$G$2:$G$5001)*1),SUMPRODUCT((Results!$A$2:$A$5001=Schedule!AE$45)*(Results!$B$2:$B$5001=18)*(Results!$G$2:$G$5001)*1),SUMPRODUCT((Results!$A$2:$A$5001=Schedule!AE$45)*(Results!$B$2:$B$5001=19)*(Results!$G$2:$G$5001)*1),SUMPRODUCT((Results!$A$2:$A$5001=Schedule!AE$45)*(Results!$B$2:$B$5001=20)*(Results!$G$2:$G$5001)*1))</f>
        <v>0</v>
      </c>
      <c r="AF73" s="88">
        <f>MAX(SUMPRODUCT((Results!$A$2:$A$5001=Schedule!AF$45)*(Results!$B$2:$B$5001=1)*(Results!$G$2:$G$5001)*1),SUMPRODUCT((Results!$A$2:$A$5001=Schedule!AF$45)*(Results!$B$2:$B$5001=2)*(Results!$G$2:$G$5001)*1),SUMPRODUCT((Results!$A$2:$A$5001=Schedule!AF$45)*(Results!$B$2:$B$5001=3)*(Results!$G$2:$G$5001)*1),SUMPRODUCT((Results!$A$2:$A$5001=Schedule!AF$45)*(Results!$B$2:$B$5001=4)*(Results!$G$2:$G$5001)*1),SUMPRODUCT((Results!$A$2:$A$5001=Schedule!AF$45)*(Results!$B$2:$B$5001=5)*(Results!$G$2:$G$5001)*1),SUMPRODUCT((Results!$A$2:$A$5001=Schedule!AF$45)*(Results!$B$2:$B$5001=6)*(Results!$G$2:$G$5001)*1),SUMPRODUCT((Results!$A$2:$A$5001=Schedule!AF$45)*(Results!$B$2:$B$5001=7)*(Results!$G$2:$G$5001)*1),SUMPRODUCT((Results!$A$2:$A$5001=Schedule!AF$45)*(Results!$B$2:$B$5001=8)*(Results!$G$2:$G$5001)*1),SUMPRODUCT((Results!$A$2:$A$5001=Schedule!AF$45)*(Results!$B$2:$B$5001=9)*(Results!$G$2:$G$5001)*1),SUMPRODUCT((Results!$A$2:$A$5001=Schedule!AF$45)*(Results!$B$2:$B$5001=10)*(Results!$G$2:$G$5001)*1),SUMPRODUCT((Results!$A$2:$A$5001=Schedule!AF$45)*(Results!$B$2:$B$5001=11)*(Results!$G$2:$G$5001)*1),SUMPRODUCT((Results!$A$2:$A$5001=Schedule!AF$45)*(Results!$B$2:$B$5001=12)*(Results!$G$2:$G$5001)*1),SUMPRODUCT((Results!$A$2:$A$5001=Schedule!AF$45)*(Results!$B$2:$B$5001=13)*(Results!$G$2:$G$5001)*1),SUMPRODUCT((Results!$A$2:$A$5001=Schedule!AF$45)*(Results!$B$2:$B$5001=14)*(Results!$G$2:$G$5001)*1),SUMPRODUCT((Results!$A$2:$A$5001=Schedule!AF$45)*(Results!$B$2:$B$5001=15)*(Results!$G$2:$G$5001)*1),SUMPRODUCT((Results!$A$2:$A$5001=Schedule!AF$45)*(Results!$B$2:$B$5001=16)*(Results!$G$2:$G$5001)*1),SUMPRODUCT((Results!$A$2:$A$5001=Schedule!AF$45)*(Results!$B$2:$B$5001=17)*(Results!$G$2:$G$5001)*1),SUMPRODUCT((Results!$A$2:$A$5001=Schedule!AF$45)*(Results!$B$2:$B$5001=18)*(Results!$G$2:$G$5001)*1),SUMPRODUCT((Results!$A$2:$A$5001=Schedule!AF$45)*(Results!$B$2:$B$5001=19)*(Results!$G$2:$G$5001)*1),SUMPRODUCT((Results!$A$2:$A$5001=Schedule!AF$45)*(Results!$B$2:$B$5001=20)*(Results!$G$2:$G$5001)*1))</f>
        <v>0</v>
      </c>
      <c r="AG73" s="88">
        <f>MAX(SUMPRODUCT((Results!$A$2:$A$5001=Schedule!AG$45)*(Results!$B$2:$B$5001=1)*(Results!$G$2:$G$5001)*1),SUMPRODUCT((Results!$A$2:$A$5001=Schedule!AG$45)*(Results!$B$2:$B$5001=2)*(Results!$G$2:$G$5001)*1),SUMPRODUCT((Results!$A$2:$A$5001=Schedule!AG$45)*(Results!$B$2:$B$5001=3)*(Results!$G$2:$G$5001)*1),SUMPRODUCT((Results!$A$2:$A$5001=Schedule!AG$45)*(Results!$B$2:$B$5001=4)*(Results!$G$2:$G$5001)*1),SUMPRODUCT((Results!$A$2:$A$5001=Schedule!AG$45)*(Results!$B$2:$B$5001=5)*(Results!$G$2:$G$5001)*1),SUMPRODUCT((Results!$A$2:$A$5001=Schedule!AG$45)*(Results!$B$2:$B$5001=6)*(Results!$G$2:$G$5001)*1),SUMPRODUCT((Results!$A$2:$A$5001=Schedule!AG$45)*(Results!$B$2:$B$5001=7)*(Results!$G$2:$G$5001)*1),SUMPRODUCT((Results!$A$2:$A$5001=Schedule!AG$45)*(Results!$B$2:$B$5001=8)*(Results!$G$2:$G$5001)*1),SUMPRODUCT((Results!$A$2:$A$5001=Schedule!AG$45)*(Results!$B$2:$B$5001=9)*(Results!$G$2:$G$5001)*1),SUMPRODUCT((Results!$A$2:$A$5001=Schedule!AG$45)*(Results!$B$2:$B$5001=10)*(Results!$G$2:$G$5001)*1),SUMPRODUCT((Results!$A$2:$A$5001=Schedule!AG$45)*(Results!$B$2:$B$5001=11)*(Results!$G$2:$G$5001)*1),SUMPRODUCT((Results!$A$2:$A$5001=Schedule!AG$45)*(Results!$B$2:$B$5001=12)*(Results!$G$2:$G$5001)*1),SUMPRODUCT((Results!$A$2:$A$5001=Schedule!AG$45)*(Results!$B$2:$B$5001=13)*(Results!$G$2:$G$5001)*1),SUMPRODUCT((Results!$A$2:$A$5001=Schedule!AG$45)*(Results!$B$2:$B$5001=14)*(Results!$G$2:$G$5001)*1),SUMPRODUCT((Results!$A$2:$A$5001=Schedule!AG$45)*(Results!$B$2:$B$5001=15)*(Results!$G$2:$G$5001)*1),SUMPRODUCT((Results!$A$2:$A$5001=Schedule!AG$45)*(Results!$B$2:$B$5001=16)*(Results!$G$2:$G$5001)*1),SUMPRODUCT((Results!$A$2:$A$5001=Schedule!AG$45)*(Results!$B$2:$B$5001=17)*(Results!$G$2:$G$5001)*1),SUMPRODUCT((Results!$A$2:$A$5001=Schedule!AG$45)*(Results!$B$2:$B$5001=18)*(Results!$G$2:$G$5001)*1),SUMPRODUCT((Results!$A$2:$A$5001=Schedule!AG$45)*(Results!$B$2:$B$5001=19)*(Results!$G$2:$G$5001)*1),SUMPRODUCT((Results!$A$2:$A$5001=Schedule!AG$45)*(Results!$B$2:$B$5001=20)*(Results!$G$2:$G$5001)*1))</f>
        <v>0</v>
      </c>
      <c r="AH73" s="88">
        <f>MAX(SUMPRODUCT((Results!$A$2:$A$5001=Schedule!AH$45)*(Results!$B$2:$B$5001=1)*(Results!$G$2:$G$5001)*1),SUMPRODUCT((Results!$A$2:$A$5001=Schedule!AH$45)*(Results!$B$2:$B$5001=2)*(Results!$G$2:$G$5001)*1),SUMPRODUCT((Results!$A$2:$A$5001=Schedule!AH$45)*(Results!$B$2:$B$5001=3)*(Results!$G$2:$G$5001)*1),SUMPRODUCT((Results!$A$2:$A$5001=Schedule!AH$45)*(Results!$B$2:$B$5001=4)*(Results!$G$2:$G$5001)*1),SUMPRODUCT((Results!$A$2:$A$5001=Schedule!AH$45)*(Results!$B$2:$B$5001=5)*(Results!$G$2:$G$5001)*1),SUMPRODUCT((Results!$A$2:$A$5001=Schedule!AH$45)*(Results!$B$2:$B$5001=6)*(Results!$G$2:$G$5001)*1),SUMPRODUCT((Results!$A$2:$A$5001=Schedule!AH$45)*(Results!$B$2:$B$5001=7)*(Results!$G$2:$G$5001)*1),SUMPRODUCT((Results!$A$2:$A$5001=Schedule!AH$45)*(Results!$B$2:$B$5001=8)*(Results!$G$2:$G$5001)*1),SUMPRODUCT((Results!$A$2:$A$5001=Schedule!AH$45)*(Results!$B$2:$B$5001=9)*(Results!$G$2:$G$5001)*1),SUMPRODUCT((Results!$A$2:$A$5001=Schedule!AH$45)*(Results!$B$2:$B$5001=10)*(Results!$G$2:$G$5001)*1),SUMPRODUCT((Results!$A$2:$A$5001=Schedule!AH$45)*(Results!$B$2:$B$5001=11)*(Results!$G$2:$G$5001)*1),SUMPRODUCT((Results!$A$2:$A$5001=Schedule!AH$45)*(Results!$B$2:$B$5001=12)*(Results!$G$2:$G$5001)*1),SUMPRODUCT((Results!$A$2:$A$5001=Schedule!AH$45)*(Results!$B$2:$B$5001=13)*(Results!$G$2:$G$5001)*1),SUMPRODUCT((Results!$A$2:$A$5001=Schedule!AH$45)*(Results!$B$2:$B$5001=14)*(Results!$G$2:$G$5001)*1),SUMPRODUCT((Results!$A$2:$A$5001=Schedule!AH$45)*(Results!$B$2:$B$5001=15)*(Results!$G$2:$G$5001)*1),SUMPRODUCT((Results!$A$2:$A$5001=Schedule!AH$45)*(Results!$B$2:$B$5001=16)*(Results!$G$2:$G$5001)*1),SUMPRODUCT((Results!$A$2:$A$5001=Schedule!AH$45)*(Results!$B$2:$B$5001=17)*(Results!$G$2:$G$5001)*1),SUMPRODUCT((Results!$A$2:$A$5001=Schedule!AH$45)*(Results!$B$2:$B$5001=18)*(Results!$G$2:$G$5001)*1),SUMPRODUCT((Results!$A$2:$A$5001=Schedule!AH$45)*(Results!$B$2:$B$5001=19)*(Results!$G$2:$G$5001)*1),SUMPRODUCT((Results!$A$2:$A$5001=Schedule!AH$45)*(Results!$B$2:$B$5001=20)*(Results!$G$2:$G$5001)*1))</f>
        <v>0</v>
      </c>
      <c r="AI73" s="88">
        <f>MAX(SUMPRODUCT((Results!$A$2:$A$5001=Schedule!AI$45)*(Results!$B$2:$B$5001=1)*(Results!$G$2:$G$5001)*1),SUMPRODUCT((Results!$A$2:$A$5001=Schedule!AI$45)*(Results!$B$2:$B$5001=2)*(Results!$G$2:$G$5001)*1),SUMPRODUCT((Results!$A$2:$A$5001=Schedule!AI$45)*(Results!$B$2:$B$5001=3)*(Results!$G$2:$G$5001)*1),SUMPRODUCT((Results!$A$2:$A$5001=Schedule!AI$45)*(Results!$B$2:$B$5001=4)*(Results!$G$2:$G$5001)*1),SUMPRODUCT((Results!$A$2:$A$5001=Schedule!AI$45)*(Results!$B$2:$B$5001=5)*(Results!$G$2:$G$5001)*1),SUMPRODUCT((Results!$A$2:$A$5001=Schedule!AI$45)*(Results!$B$2:$B$5001=6)*(Results!$G$2:$G$5001)*1),SUMPRODUCT((Results!$A$2:$A$5001=Schedule!AI$45)*(Results!$B$2:$B$5001=7)*(Results!$G$2:$G$5001)*1),SUMPRODUCT((Results!$A$2:$A$5001=Schedule!AI$45)*(Results!$B$2:$B$5001=8)*(Results!$G$2:$G$5001)*1),SUMPRODUCT((Results!$A$2:$A$5001=Schedule!AI$45)*(Results!$B$2:$B$5001=9)*(Results!$G$2:$G$5001)*1),SUMPRODUCT((Results!$A$2:$A$5001=Schedule!AI$45)*(Results!$B$2:$B$5001=10)*(Results!$G$2:$G$5001)*1),SUMPRODUCT((Results!$A$2:$A$5001=Schedule!AI$45)*(Results!$B$2:$B$5001=11)*(Results!$G$2:$G$5001)*1),SUMPRODUCT((Results!$A$2:$A$5001=Schedule!AI$45)*(Results!$B$2:$B$5001=12)*(Results!$G$2:$G$5001)*1),SUMPRODUCT((Results!$A$2:$A$5001=Schedule!AI$45)*(Results!$B$2:$B$5001=13)*(Results!$G$2:$G$5001)*1),SUMPRODUCT((Results!$A$2:$A$5001=Schedule!AI$45)*(Results!$B$2:$B$5001=14)*(Results!$G$2:$G$5001)*1),SUMPRODUCT((Results!$A$2:$A$5001=Schedule!AI$45)*(Results!$B$2:$B$5001=15)*(Results!$G$2:$G$5001)*1),SUMPRODUCT((Results!$A$2:$A$5001=Schedule!AI$45)*(Results!$B$2:$B$5001=16)*(Results!$G$2:$G$5001)*1),SUMPRODUCT((Results!$A$2:$A$5001=Schedule!AI$45)*(Results!$B$2:$B$5001=17)*(Results!$G$2:$G$5001)*1),SUMPRODUCT((Results!$A$2:$A$5001=Schedule!AI$45)*(Results!$B$2:$B$5001=18)*(Results!$G$2:$G$5001)*1),SUMPRODUCT((Results!$A$2:$A$5001=Schedule!AI$45)*(Results!$B$2:$B$5001=19)*(Results!$G$2:$G$5001)*1),SUMPRODUCT((Results!$A$2:$A$5001=Schedule!AI$45)*(Results!$B$2:$B$5001=20)*(Results!$G$2:$G$5001)*1))</f>
        <v>0</v>
      </c>
      <c r="AJ73" s="88">
        <f>MAX(SUMPRODUCT((Results!$A$2:$A$5001=Schedule!AJ$45)*(Results!$B$2:$B$5001=1)*(Results!$G$2:$G$5001)*1),SUMPRODUCT((Results!$A$2:$A$5001=Schedule!AJ$45)*(Results!$B$2:$B$5001=2)*(Results!$G$2:$G$5001)*1),SUMPRODUCT((Results!$A$2:$A$5001=Schedule!AJ$45)*(Results!$B$2:$B$5001=3)*(Results!$G$2:$G$5001)*1),SUMPRODUCT((Results!$A$2:$A$5001=Schedule!AJ$45)*(Results!$B$2:$B$5001=4)*(Results!$G$2:$G$5001)*1),SUMPRODUCT((Results!$A$2:$A$5001=Schedule!AJ$45)*(Results!$B$2:$B$5001=5)*(Results!$G$2:$G$5001)*1),SUMPRODUCT((Results!$A$2:$A$5001=Schedule!AJ$45)*(Results!$B$2:$B$5001=6)*(Results!$G$2:$G$5001)*1),SUMPRODUCT((Results!$A$2:$A$5001=Schedule!AJ$45)*(Results!$B$2:$B$5001=7)*(Results!$G$2:$G$5001)*1),SUMPRODUCT((Results!$A$2:$A$5001=Schedule!AJ$45)*(Results!$B$2:$B$5001=8)*(Results!$G$2:$G$5001)*1),SUMPRODUCT((Results!$A$2:$A$5001=Schedule!AJ$45)*(Results!$B$2:$B$5001=9)*(Results!$G$2:$G$5001)*1),SUMPRODUCT((Results!$A$2:$A$5001=Schedule!AJ$45)*(Results!$B$2:$B$5001=10)*(Results!$G$2:$G$5001)*1),SUMPRODUCT((Results!$A$2:$A$5001=Schedule!AJ$45)*(Results!$B$2:$B$5001=11)*(Results!$G$2:$G$5001)*1),SUMPRODUCT((Results!$A$2:$A$5001=Schedule!AJ$45)*(Results!$B$2:$B$5001=12)*(Results!$G$2:$G$5001)*1),SUMPRODUCT((Results!$A$2:$A$5001=Schedule!AJ$45)*(Results!$B$2:$B$5001=13)*(Results!$G$2:$G$5001)*1),SUMPRODUCT((Results!$A$2:$A$5001=Schedule!AJ$45)*(Results!$B$2:$B$5001=14)*(Results!$G$2:$G$5001)*1),SUMPRODUCT((Results!$A$2:$A$5001=Schedule!AJ$45)*(Results!$B$2:$B$5001=15)*(Results!$G$2:$G$5001)*1),SUMPRODUCT((Results!$A$2:$A$5001=Schedule!AJ$45)*(Results!$B$2:$B$5001=16)*(Results!$G$2:$G$5001)*1),SUMPRODUCT((Results!$A$2:$A$5001=Schedule!AJ$45)*(Results!$B$2:$B$5001=17)*(Results!$G$2:$G$5001)*1),SUMPRODUCT((Results!$A$2:$A$5001=Schedule!AJ$45)*(Results!$B$2:$B$5001=18)*(Results!$G$2:$G$5001)*1),SUMPRODUCT((Results!$A$2:$A$5001=Schedule!AJ$45)*(Results!$B$2:$B$5001=19)*(Results!$G$2:$G$5001)*1),SUMPRODUCT((Results!$A$2:$A$5001=Schedule!AJ$45)*(Results!$B$2:$B$5001=20)*(Results!$G$2:$G$5001)*1))</f>
        <v>0</v>
      </c>
      <c r="AK73" s="88">
        <f>MAX(SUMPRODUCT((Results!$A$2:$A$5001=Schedule!AK$45)*(Results!$B$2:$B$5001=1)*(Results!$G$2:$G$5001)*1),SUMPRODUCT((Results!$A$2:$A$5001=Schedule!AK$45)*(Results!$B$2:$B$5001=2)*(Results!$G$2:$G$5001)*1),SUMPRODUCT((Results!$A$2:$A$5001=Schedule!AK$45)*(Results!$B$2:$B$5001=3)*(Results!$G$2:$G$5001)*1),SUMPRODUCT((Results!$A$2:$A$5001=Schedule!AK$45)*(Results!$B$2:$B$5001=4)*(Results!$G$2:$G$5001)*1),SUMPRODUCT((Results!$A$2:$A$5001=Schedule!AK$45)*(Results!$B$2:$B$5001=5)*(Results!$G$2:$G$5001)*1),SUMPRODUCT((Results!$A$2:$A$5001=Schedule!AK$45)*(Results!$B$2:$B$5001=6)*(Results!$G$2:$G$5001)*1),SUMPRODUCT((Results!$A$2:$A$5001=Schedule!AK$45)*(Results!$B$2:$B$5001=7)*(Results!$G$2:$G$5001)*1),SUMPRODUCT((Results!$A$2:$A$5001=Schedule!AK$45)*(Results!$B$2:$B$5001=8)*(Results!$G$2:$G$5001)*1),SUMPRODUCT((Results!$A$2:$A$5001=Schedule!AK$45)*(Results!$B$2:$B$5001=9)*(Results!$G$2:$G$5001)*1),SUMPRODUCT((Results!$A$2:$A$5001=Schedule!AK$45)*(Results!$B$2:$B$5001=10)*(Results!$G$2:$G$5001)*1),SUMPRODUCT((Results!$A$2:$A$5001=Schedule!AK$45)*(Results!$B$2:$B$5001=11)*(Results!$G$2:$G$5001)*1),SUMPRODUCT((Results!$A$2:$A$5001=Schedule!AK$45)*(Results!$B$2:$B$5001=12)*(Results!$G$2:$G$5001)*1),SUMPRODUCT((Results!$A$2:$A$5001=Schedule!AK$45)*(Results!$B$2:$B$5001=13)*(Results!$G$2:$G$5001)*1),SUMPRODUCT((Results!$A$2:$A$5001=Schedule!AK$45)*(Results!$B$2:$B$5001=14)*(Results!$G$2:$G$5001)*1),SUMPRODUCT((Results!$A$2:$A$5001=Schedule!AK$45)*(Results!$B$2:$B$5001=15)*(Results!$G$2:$G$5001)*1),SUMPRODUCT((Results!$A$2:$A$5001=Schedule!AK$45)*(Results!$B$2:$B$5001=16)*(Results!$G$2:$G$5001)*1),SUMPRODUCT((Results!$A$2:$A$5001=Schedule!AK$45)*(Results!$B$2:$B$5001=17)*(Results!$G$2:$G$5001)*1),SUMPRODUCT((Results!$A$2:$A$5001=Schedule!AK$45)*(Results!$B$2:$B$5001=18)*(Results!$G$2:$G$5001)*1),SUMPRODUCT((Results!$A$2:$A$5001=Schedule!AK$45)*(Results!$B$2:$B$5001=19)*(Results!$G$2:$G$5001)*1),SUMPRODUCT((Results!$A$2:$A$5001=Schedule!AK$45)*(Results!$B$2:$B$5001=20)*(Results!$G$2:$G$5001)*1))</f>
        <v>0</v>
      </c>
      <c r="AL73" s="88">
        <f>MAX(SUMPRODUCT((Results!$A$2:$A$5001=Schedule!AL$45)*(Results!$B$2:$B$5001=1)*(Results!$G$2:$G$5001)*1),SUMPRODUCT((Results!$A$2:$A$5001=Schedule!AL$45)*(Results!$B$2:$B$5001=2)*(Results!$G$2:$G$5001)*1),SUMPRODUCT((Results!$A$2:$A$5001=Schedule!AL$45)*(Results!$B$2:$B$5001=3)*(Results!$G$2:$G$5001)*1),SUMPRODUCT((Results!$A$2:$A$5001=Schedule!AL$45)*(Results!$B$2:$B$5001=4)*(Results!$G$2:$G$5001)*1),SUMPRODUCT((Results!$A$2:$A$5001=Schedule!AL$45)*(Results!$B$2:$B$5001=5)*(Results!$G$2:$G$5001)*1),SUMPRODUCT((Results!$A$2:$A$5001=Schedule!AL$45)*(Results!$B$2:$B$5001=6)*(Results!$G$2:$G$5001)*1),SUMPRODUCT((Results!$A$2:$A$5001=Schedule!AL$45)*(Results!$B$2:$B$5001=7)*(Results!$G$2:$G$5001)*1),SUMPRODUCT((Results!$A$2:$A$5001=Schedule!AL$45)*(Results!$B$2:$B$5001=8)*(Results!$G$2:$G$5001)*1),SUMPRODUCT((Results!$A$2:$A$5001=Schedule!AL$45)*(Results!$B$2:$B$5001=9)*(Results!$G$2:$G$5001)*1),SUMPRODUCT((Results!$A$2:$A$5001=Schedule!AL$45)*(Results!$B$2:$B$5001=10)*(Results!$G$2:$G$5001)*1),SUMPRODUCT((Results!$A$2:$A$5001=Schedule!AL$45)*(Results!$B$2:$B$5001=11)*(Results!$G$2:$G$5001)*1),SUMPRODUCT((Results!$A$2:$A$5001=Schedule!AL$45)*(Results!$B$2:$B$5001=12)*(Results!$G$2:$G$5001)*1),SUMPRODUCT((Results!$A$2:$A$5001=Schedule!AL$45)*(Results!$B$2:$B$5001=13)*(Results!$G$2:$G$5001)*1),SUMPRODUCT((Results!$A$2:$A$5001=Schedule!AL$45)*(Results!$B$2:$B$5001=14)*(Results!$G$2:$G$5001)*1),SUMPRODUCT((Results!$A$2:$A$5001=Schedule!AL$45)*(Results!$B$2:$B$5001=15)*(Results!$G$2:$G$5001)*1),SUMPRODUCT((Results!$A$2:$A$5001=Schedule!AL$45)*(Results!$B$2:$B$5001=16)*(Results!$G$2:$G$5001)*1),SUMPRODUCT((Results!$A$2:$A$5001=Schedule!AL$45)*(Results!$B$2:$B$5001=17)*(Results!$G$2:$G$5001)*1),SUMPRODUCT((Results!$A$2:$A$5001=Schedule!AL$45)*(Results!$B$2:$B$5001=18)*(Results!$G$2:$G$5001)*1),SUMPRODUCT((Results!$A$2:$A$5001=Schedule!AL$45)*(Results!$B$2:$B$5001=19)*(Results!$G$2:$G$5001)*1),SUMPRODUCT((Results!$A$2:$A$5001=Schedule!AL$45)*(Results!$B$2:$B$5001=20)*(Results!$G$2:$G$5001)*1))</f>
        <v>0</v>
      </c>
      <c r="AM73" s="88">
        <f>MAX(SUMPRODUCT((Results!$A$2:$A$5001=Schedule!AM$45)*(Results!$B$2:$B$5001=1)*(Results!$G$2:$G$5001)*1),SUMPRODUCT((Results!$A$2:$A$5001=Schedule!AM$45)*(Results!$B$2:$B$5001=2)*(Results!$G$2:$G$5001)*1),SUMPRODUCT((Results!$A$2:$A$5001=Schedule!AM$45)*(Results!$B$2:$B$5001=3)*(Results!$G$2:$G$5001)*1),SUMPRODUCT((Results!$A$2:$A$5001=Schedule!AM$45)*(Results!$B$2:$B$5001=4)*(Results!$G$2:$G$5001)*1),SUMPRODUCT((Results!$A$2:$A$5001=Schedule!AM$45)*(Results!$B$2:$B$5001=5)*(Results!$G$2:$G$5001)*1),SUMPRODUCT((Results!$A$2:$A$5001=Schedule!AM$45)*(Results!$B$2:$B$5001=6)*(Results!$G$2:$G$5001)*1),SUMPRODUCT((Results!$A$2:$A$5001=Schedule!AM$45)*(Results!$B$2:$B$5001=7)*(Results!$G$2:$G$5001)*1),SUMPRODUCT((Results!$A$2:$A$5001=Schedule!AM$45)*(Results!$B$2:$B$5001=8)*(Results!$G$2:$G$5001)*1),SUMPRODUCT((Results!$A$2:$A$5001=Schedule!AM$45)*(Results!$B$2:$B$5001=9)*(Results!$G$2:$G$5001)*1),SUMPRODUCT((Results!$A$2:$A$5001=Schedule!AM$45)*(Results!$B$2:$B$5001=10)*(Results!$G$2:$G$5001)*1),SUMPRODUCT((Results!$A$2:$A$5001=Schedule!AM$45)*(Results!$B$2:$B$5001=11)*(Results!$G$2:$G$5001)*1),SUMPRODUCT((Results!$A$2:$A$5001=Schedule!AM$45)*(Results!$B$2:$B$5001=12)*(Results!$G$2:$G$5001)*1),SUMPRODUCT((Results!$A$2:$A$5001=Schedule!AM$45)*(Results!$B$2:$B$5001=13)*(Results!$G$2:$G$5001)*1),SUMPRODUCT((Results!$A$2:$A$5001=Schedule!AM$45)*(Results!$B$2:$B$5001=14)*(Results!$G$2:$G$5001)*1),SUMPRODUCT((Results!$A$2:$A$5001=Schedule!AM$45)*(Results!$B$2:$B$5001=15)*(Results!$G$2:$G$5001)*1),SUMPRODUCT((Results!$A$2:$A$5001=Schedule!AM$45)*(Results!$B$2:$B$5001=16)*(Results!$G$2:$G$5001)*1),SUMPRODUCT((Results!$A$2:$A$5001=Schedule!AM$45)*(Results!$B$2:$B$5001=17)*(Results!$G$2:$G$5001)*1),SUMPRODUCT((Results!$A$2:$A$5001=Schedule!AM$45)*(Results!$B$2:$B$5001=18)*(Results!$G$2:$G$5001)*1),SUMPRODUCT((Results!$A$2:$A$5001=Schedule!AM$45)*(Results!$B$2:$B$5001=19)*(Results!$G$2:$G$5001)*1),SUMPRODUCT((Results!$A$2:$A$5001=Schedule!AM$45)*(Results!$B$2:$B$5001=20)*(Results!$G$2:$G$5001)*1))</f>
        <v>0</v>
      </c>
      <c r="AN73" s="88">
        <f>MAX(SUMPRODUCT((Results!$A$2:$A$5001=Schedule!AN$45)*(Results!$B$2:$B$5001=1)*(Results!$G$2:$G$5001)*1),SUMPRODUCT((Results!$A$2:$A$5001=Schedule!AN$45)*(Results!$B$2:$B$5001=2)*(Results!$G$2:$G$5001)*1),SUMPRODUCT((Results!$A$2:$A$5001=Schedule!AN$45)*(Results!$B$2:$B$5001=3)*(Results!$G$2:$G$5001)*1),SUMPRODUCT((Results!$A$2:$A$5001=Schedule!AN$45)*(Results!$B$2:$B$5001=4)*(Results!$G$2:$G$5001)*1),SUMPRODUCT((Results!$A$2:$A$5001=Schedule!AN$45)*(Results!$B$2:$B$5001=5)*(Results!$G$2:$G$5001)*1),SUMPRODUCT((Results!$A$2:$A$5001=Schedule!AN$45)*(Results!$B$2:$B$5001=6)*(Results!$G$2:$G$5001)*1),SUMPRODUCT((Results!$A$2:$A$5001=Schedule!AN$45)*(Results!$B$2:$B$5001=7)*(Results!$G$2:$G$5001)*1),SUMPRODUCT((Results!$A$2:$A$5001=Schedule!AN$45)*(Results!$B$2:$B$5001=8)*(Results!$G$2:$G$5001)*1),SUMPRODUCT((Results!$A$2:$A$5001=Schedule!AN$45)*(Results!$B$2:$B$5001=9)*(Results!$G$2:$G$5001)*1),SUMPRODUCT((Results!$A$2:$A$5001=Schedule!AN$45)*(Results!$B$2:$B$5001=10)*(Results!$G$2:$G$5001)*1),SUMPRODUCT((Results!$A$2:$A$5001=Schedule!AN$45)*(Results!$B$2:$B$5001=11)*(Results!$G$2:$G$5001)*1),SUMPRODUCT((Results!$A$2:$A$5001=Schedule!AN$45)*(Results!$B$2:$B$5001=12)*(Results!$G$2:$G$5001)*1),SUMPRODUCT((Results!$A$2:$A$5001=Schedule!AN$45)*(Results!$B$2:$B$5001=13)*(Results!$G$2:$G$5001)*1),SUMPRODUCT((Results!$A$2:$A$5001=Schedule!AN$45)*(Results!$B$2:$B$5001=14)*(Results!$G$2:$G$5001)*1),SUMPRODUCT((Results!$A$2:$A$5001=Schedule!AN$45)*(Results!$B$2:$B$5001=15)*(Results!$G$2:$G$5001)*1),SUMPRODUCT((Results!$A$2:$A$5001=Schedule!AN$45)*(Results!$B$2:$B$5001=16)*(Results!$G$2:$G$5001)*1),SUMPRODUCT((Results!$A$2:$A$5001=Schedule!AN$45)*(Results!$B$2:$B$5001=17)*(Results!$G$2:$G$5001)*1),SUMPRODUCT((Results!$A$2:$A$5001=Schedule!AN$45)*(Results!$B$2:$B$5001=18)*(Results!$G$2:$G$5001)*1),SUMPRODUCT((Results!$A$2:$A$5001=Schedule!AN$45)*(Results!$B$2:$B$5001=19)*(Results!$G$2:$G$5001)*1),SUMPRODUCT((Results!$A$2:$A$5001=Schedule!AN$45)*(Results!$B$2:$B$5001=20)*(Results!$G$2:$G$5001)*1))</f>
        <v>0</v>
      </c>
      <c r="AO73" s="88">
        <f>MAX(SUMPRODUCT((Results!$A$2:$A$5001=Schedule!AO$45)*(Results!$B$2:$B$5001=1)*(Results!$G$2:$G$5001)*1),SUMPRODUCT((Results!$A$2:$A$5001=Schedule!AO$45)*(Results!$B$2:$B$5001=2)*(Results!$G$2:$G$5001)*1),SUMPRODUCT((Results!$A$2:$A$5001=Schedule!AO$45)*(Results!$B$2:$B$5001=3)*(Results!$G$2:$G$5001)*1),SUMPRODUCT((Results!$A$2:$A$5001=Schedule!AO$45)*(Results!$B$2:$B$5001=4)*(Results!$G$2:$G$5001)*1),SUMPRODUCT((Results!$A$2:$A$5001=Schedule!AO$45)*(Results!$B$2:$B$5001=5)*(Results!$G$2:$G$5001)*1),SUMPRODUCT((Results!$A$2:$A$5001=Schedule!AO$45)*(Results!$B$2:$B$5001=6)*(Results!$G$2:$G$5001)*1),SUMPRODUCT((Results!$A$2:$A$5001=Schedule!AO$45)*(Results!$B$2:$B$5001=7)*(Results!$G$2:$G$5001)*1),SUMPRODUCT((Results!$A$2:$A$5001=Schedule!AO$45)*(Results!$B$2:$B$5001=8)*(Results!$G$2:$G$5001)*1),SUMPRODUCT((Results!$A$2:$A$5001=Schedule!AO$45)*(Results!$B$2:$B$5001=9)*(Results!$G$2:$G$5001)*1),SUMPRODUCT((Results!$A$2:$A$5001=Schedule!AO$45)*(Results!$B$2:$B$5001=10)*(Results!$G$2:$G$5001)*1),SUMPRODUCT((Results!$A$2:$A$5001=Schedule!AO$45)*(Results!$B$2:$B$5001=11)*(Results!$G$2:$G$5001)*1),SUMPRODUCT((Results!$A$2:$A$5001=Schedule!AO$45)*(Results!$B$2:$B$5001=12)*(Results!$G$2:$G$5001)*1),SUMPRODUCT((Results!$A$2:$A$5001=Schedule!AO$45)*(Results!$B$2:$B$5001=13)*(Results!$G$2:$G$5001)*1),SUMPRODUCT((Results!$A$2:$A$5001=Schedule!AO$45)*(Results!$B$2:$B$5001=14)*(Results!$G$2:$G$5001)*1),SUMPRODUCT((Results!$A$2:$A$5001=Schedule!AO$45)*(Results!$B$2:$B$5001=15)*(Results!$G$2:$G$5001)*1),SUMPRODUCT((Results!$A$2:$A$5001=Schedule!AO$45)*(Results!$B$2:$B$5001=16)*(Results!$G$2:$G$5001)*1),SUMPRODUCT((Results!$A$2:$A$5001=Schedule!AO$45)*(Results!$B$2:$B$5001=17)*(Results!$G$2:$G$5001)*1),SUMPRODUCT((Results!$A$2:$A$5001=Schedule!AO$45)*(Results!$B$2:$B$5001=18)*(Results!$G$2:$G$5001)*1),SUMPRODUCT((Results!$A$2:$A$5001=Schedule!AO$45)*(Results!$B$2:$B$5001=19)*(Results!$G$2:$G$5001)*1),SUMPRODUCT((Results!$A$2:$A$5001=Schedule!AO$45)*(Results!$B$2:$B$5001=20)*(Results!$G$2:$G$5001)*1))</f>
        <v>0</v>
      </c>
      <c r="AP73" s="88">
        <f>MAX(SUMPRODUCT((Results!$A$2:$A$5001=Schedule!AP$45)*(Results!$B$2:$B$5001=1)*(Results!$G$2:$G$5001)*1),SUMPRODUCT((Results!$A$2:$A$5001=Schedule!AP$45)*(Results!$B$2:$B$5001=2)*(Results!$G$2:$G$5001)*1),SUMPRODUCT((Results!$A$2:$A$5001=Schedule!AP$45)*(Results!$B$2:$B$5001=3)*(Results!$G$2:$G$5001)*1),SUMPRODUCT((Results!$A$2:$A$5001=Schedule!AP$45)*(Results!$B$2:$B$5001=4)*(Results!$G$2:$G$5001)*1),SUMPRODUCT((Results!$A$2:$A$5001=Schedule!AP$45)*(Results!$B$2:$B$5001=5)*(Results!$G$2:$G$5001)*1),SUMPRODUCT((Results!$A$2:$A$5001=Schedule!AP$45)*(Results!$B$2:$B$5001=6)*(Results!$G$2:$G$5001)*1),SUMPRODUCT((Results!$A$2:$A$5001=Schedule!AP$45)*(Results!$B$2:$B$5001=7)*(Results!$G$2:$G$5001)*1),SUMPRODUCT((Results!$A$2:$A$5001=Schedule!AP$45)*(Results!$B$2:$B$5001=8)*(Results!$G$2:$G$5001)*1),SUMPRODUCT((Results!$A$2:$A$5001=Schedule!AP$45)*(Results!$B$2:$B$5001=9)*(Results!$G$2:$G$5001)*1),SUMPRODUCT((Results!$A$2:$A$5001=Schedule!AP$45)*(Results!$B$2:$B$5001=10)*(Results!$G$2:$G$5001)*1),SUMPRODUCT((Results!$A$2:$A$5001=Schedule!AP$45)*(Results!$B$2:$B$5001=11)*(Results!$G$2:$G$5001)*1),SUMPRODUCT((Results!$A$2:$A$5001=Schedule!AP$45)*(Results!$B$2:$B$5001=12)*(Results!$G$2:$G$5001)*1),SUMPRODUCT((Results!$A$2:$A$5001=Schedule!AP$45)*(Results!$B$2:$B$5001=13)*(Results!$G$2:$G$5001)*1),SUMPRODUCT((Results!$A$2:$A$5001=Schedule!AP$45)*(Results!$B$2:$B$5001=14)*(Results!$G$2:$G$5001)*1),SUMPRODUCT((Results!$A$2:$A$5001=Schedule!AP$45)*(Results!$B$2:$B$5001=15)*(Results!$G$2:$G$5001)*1),SUMPRODUCT((Results!$A$2:$A$5001=Schedule!AP$45)*(Results!$B$2:$B$5001=16)*(Results!$G$2:$G$5001)*1),SUMPRODUCT((Results!$A$2:$A$5001=Schedule!AP$45)*(Results!$B$2:$B$5001=17)*(Results!$G$2:$G$5001)*1),SUMPRODUCT((Results!$A$2:$A$5001=Schedule!AP$45)*(Results!$B$2:$B$5001=18)*(Results!$G$2:$G$5001)*1),SUMPRODUCT((Results!$A$2:$A$5001=Schedule!AP$45)*(Results!$B$2:$B$5001=19)*(Results!$G$2:$G$5001)*1),SUMPRODUCT((Results!$A$2:$A$5001=Schedule!AP$45)*(Results!$B$2:$B$5001=20)*(Results!$G$2:$G$5001)*1))</f>
        <v>0</v>
      </c>
      <c r="AQ73" s="88">
        <f>MAX(SUMPRODUCT((Results!$A$2:$A$5001=Schedule!AQ$45)*(Results!$B$2:$B$5001=1)*(Results!$G$2:$G$5001)*1),SUMPRODUCT((Results!$A$2:$A$5001=Schedule!AQ$45)*(Results!$B$2:$B$5001=2)*(Results!$G$2:$G$5001)*1),SUMPRODUCT((Results!$A$2:$A$5001=Schedule!AQ$45)*(Results!$B$2:$B$5001=3)*(Results!$G$2:$G$5001)*1),SUMPRODUCT((Results!$A$2:$A$5001=Schedule!AQ$45)*(Results!$B$2:$B$5001=4)*(Results!$G$2:$G$5001)*1),SUMPRODUCT((Results!$A$2:$A$5001=Schedule!AQ$45)*(Results!$B$2:$B$5001=5)*(Results!$G$2:$G$5001)*1),SUMPRODUCT((Results!$A$2:$A$5001=Schedule!AQ$45)*(Results!$B$2:$B$5001=6)*(Results!$G$2:$G$5001)*1),SUMPRODUCT((Results!$A$2:$A$5001=Schedule!AQ$45)*(Results!$B$2:$B$5001=7)*(Results!$G$2:$G$5001)*1),SUMPRODUCT((Results!$A$2:$A$5001=Schedule!AQ$45)*(Results!$B$2:$B$5001=8)*(Results!$G$2:$G$5001)*1),SUMPRODUCT((Results!$A$2:$A$5001=Schedule!AQ$45)*(Results!$B$2:$B$5001=9)*(Results!$G$2:$G$5001)*1),SUMPRODUCT((Results!$A$2:$A$5001=Schedule!AQ$45)*(Results!$B$2:$B$5001=10)*(Results!$G$2:$G$5001)*1),SUMPRODUCT((Results!$A$2:$A$5001=Schedule!AQ$45)*(Results!$B$2:$B$5001=11)*(Results!$G$2:$G$5001)*1),SUMPRODUCT((Results!$A$2:$A$5001=Schedule!AQ$45)*(Results!$B$2:$B$5001=12)*(Results!$G$2:$G$5001)*1),SUMPRODUCT((Results!$A$2:$A$5001=Schedule!AQ$45)*(Results!$B$2:$B$5001=13)*(Results!$G$2:$G$5001)*1),SUMPRODUCT((Results!$A$2:$A$5001=Schedule!AQ$45)*(Results!$B$2:$B$5001=14)*(Results!$G$2:$G$5001)*1),SUMPRODUCT((Results!$A$2:$A$5001=Schedule!AQ$45)*(Results!$B$2:$B$5001=15)*(Results!$G$2:$G$5001)*1),SUMPRODUCT((Results!$A$2:$A$5001=Schedule!AQ$45)*(Results!$B$2:$B$5001=16)*(Results!$G$2:$G$5001)*1),SUMPRODUCT((Results!$A$2:$A$5001=Schedule!AQ$45)*(Results!$B$2:$B$5001=17)*(Results!$G$2:$G$5001)*1),SUMPRODUCT((Results!$A$2:$A$5001=Schedule!AQ$45)*(Results!$B$2:$B$5001=18)*(Results!$G$2:$G$5001)*1),SUMPRODUCT((Results!$A$2:$A$5001=Schedule!AQ$45)*(Results!$B$2:$B$5001=19)*(Results!$G$2:$G$5001)*1),SUMPRODUCT((Results!$A$2:$A$5001=Schedule!AQ$45)*(Results!$B$2:$B$5001=20)*(Results!$G$2:$G$5001)*1))</f>
        <v>0</v>
      </c>
      <c r="AR73" s="88">
        <f>MAX(SUMPRODUCT((Results!$A$2:$A$5001=Schedule!AR$45)*(Results!$B$2:$B$5001=1)*(Results!$G$2:$G$5001)*1),SUMPRODUCT((Results!$A$2:$A$5001=Schedule!AR$45)*(Results!$B$2:$B$5001=2)*(Results!$G$2:$G$5001)*1),SUMPRODUCT((Results!$A$2:$A$5001=Schedule!AR$45)*(Results!$B$2:$B$5001=3)*(Results!$G$2:$G$5001)*1),SUMPRODUCT((Results!$A$2:$A$5001=Schedule!AR$45)*(Results!$B$2:$B$5001=4)*(Results!$G$2:$G$5001)*1),SUMPRODUCT((Results!$A$2:$A$5001=Schedule!AR$45)*(Results!$B$2:$B$5001=5)*(Results!$G$2:$G$5001)*1),SUMPRODUCT((Results!$A$2:$A$5001=Schedule!AR$45)*(Results!$B$2:$B$5001=6)*(Results!$G$2:$G$5001)*1),SUMPRODUCT((Results!$A$2:$A$5001=Schedule!AR$45)*(Results!$B$2:$B$5001=7)*(Results!$G$2:$G$5001)*1),SUMPRODUCT((Results!$A$2:$A$5001=Schedule!AR$45)*(Results!$B$2:$B$5001=8)*(Results!$G$2:$G$5001)*1),SUMPRODUCT((Results!$A$2:$A$5001=Schedule!AR$45)*(Results!$B$2:$B$5001=9)*(Results!$G$2:$G$5001)*1),SUMPRODUCT((Results!$A$2:$A$5001=Schedule!AR$45)*(Results!$B$2:$B$5001=10)*(Results!$G$2:$G$5001)*1),SUMPRODUCT((Results!$A$2:$A$5001=Schedule!AR$45)*(Results!$B$2:$B$5001=11)*(Results!$G$2:$G$5001)*1),SUMPRODUCT((Results!$A$2:$A$5001=Schedule!AR$45)*(Results!$B$2:$B$5001=12)*(Results!$G$2:$G$5001)*1),SUMPRODUCT((Results!$A$2:$A$5001=Schedule!AR$45)*(Results!$B$2:$B$5001=13)*(Results!$G$2:$G$5001)*1),SUMPRODUCT((Results!$A$2:$A$5001=Schedule!AR$45)*(Results!$B$2:$B$5001=14)*(Results!$G$2:$G$5001)*1),SUMPRODUCT((Results!$A$2:$A$5001=Schedule!AR$45)*(Results!$B$2:$B$5001=15)*(Results!$G$2:$G$5001)*1),SUMPRODUCT((Results!$A$2:$A$5001=Schedule!AR$45)*(Results!$B$2:$B$5001=16)*(Results!$G$2:$G$5001)*1),SUMPRODUCT((Results!$A$2:$A$5001=Schedule!AR$45)*(Results!$B$2:$B$5001=17)*(Results!$G$2:$G$5001)*1),SUMPRODUCT((Results!$A$2:$A$5001=Schedule!AR$45)*(Results!$B$2:$B$5001=18)*(Results!$G$2:$G$5001)*1),SUMPRODUCT((Results!$A$2:$A$5001=Schedule!AR$45)*(Results!$B$2:$B$5001=19)*(Results!$G$2:$G$5001)*1),SUMPRODUCT((Results!$A$2:$A$5001=Schedule!AR$45)*(Results!$B$2:$B$5001=20)*(Results!$G$2:$G$5001)*1))</f>
        <v>0</v>
      </c>
      <c r="AS73" s="88">
        <f>MAX(SUMPRODUCT((Results!$A$2:$A$5001=Schedule!AS$45)*(Results!$B$2:$B$5001=1)*(Results!$G$2:$G$5001)*1),SUMPRODUCT((Results!$A$2:$A$5001=Schedule!AS$45)*(Results!$B$2:$B$5001=2)*(Results!$G$2:$G$5001)*1),SUMPRODUCT((Results!$A$2:$A$5001=Schedule!AS$45)*(Results!$B$2:$B$5001=3)*(Results!$G$2:$G$5001)*1),SUMPRODUCT((Results!$A$2:$A$5001=Schedule!AS$45)*(Results!$B$2:$B$5001=4)*(Results!$G$2:$G$5001)*1),SUMPRODUCT((Results!$A$2:$A$5001=Schedule!AS$45)*(Results!$B$2:$B$5001=5)*(Results!$G$2:$G$5001)*1),SUMPRODUCT((Results!$A$2:$A$5001=Schedule!AS$45)*(Results!$B$2:$B$5001=6)*(Results!$G$2:$G$5001)*1),SUMPRODUCT((Results!$A$2:$A$5001=Schedule!AS$45)*(Results!$B$2:$B$5001=7)*(Results!$G$2:$G$5001)*1),SUMPRODUCT((Results!$A$2:$A$5001=Schedule!AS$45)*(Results!$B$2:$B$5001=8)*(Results!$G$2:$G$5001)*1),SUMPRODUCT((Results!$A$2:$A$5001=Schedule!AS$45)*(Results!$B$2:$B$5001=9)*(Results!$G$2:$G$5001)*1),SUMPRODUCT((Results!$A$2:$A$5001=Schedule!AS$45)*(Results!$B$2:$B$5001=10)*(Results!$G$2:$G$5001)*1),SUMPRODUCT((Results!$A$2:$A$5001=Schedule!AS$45)*(Results!$B$2:$B$5001=11)*(Results!$G$2:$G$5001)*1),SUMPRODUCT((Results!$A$2:$A$5001=Schedule!AS$45)*(Results!$B$2:$B$5001=12)*(Results!$G$2:$G$5001)*1),SUMPRODUCT((Results!$A$2:$A$5001=Schedule!AS$45)*(Results!$B$2:$B$5001=13)*(Results!$G$2:$G$5001)*1),SUMPRODUCT((Results!$A$2:$A$5001=Schedule!AS$45)*(Results!$B$2:$B$5001=14)*(Results!$G$2:$G$5001)*1),SUMPRODUCT((Results!$A$2:$A$5001=Schedule!AS$45)*(Results!$B$2:$B$5001=15)*(Results!$G$2:$G$5001)*1),SUMPRODUCT((Results!$A$2:$A$5001=Schedule!AS$45)*(Results!$B$2:$B$5001=16)*(Results!$G$2:$G$5001)*1),SUMPRODUCT((Results!$A$2:$A$5001=Schedule!AS$45)*(Results!$B$2:$B$5001=17)*(Results!$G$2:$G$5001)*1),SUMPRODUCT((Results!$A$2:$A$5001=Schedule!AS$45)*(Results!$B$2:$B$5001=18)*(Results!$G$2:$G$5001)*1),SUMPRODUCT((Results!$A$2:$A$5001=Schedule!AS$45)*(Results!$B$2:$B$5001=19)*(Results!$G$2:$G$5001)*1),SUMPRODUCT((Results!$A$2:$A$5001=Schedule!AS$45)*(Results!$B$2:$B$5001=20)*(Results!$G$2:$G$5001)*1))</f>
        <v>0</v>
      </c>
      <c r="AT73" s="88">
        <f>MAX(SUMPRODUCT((Results!$A$2:$A$5001=Schedule!AT$45)*(Results!$B$2:$B$5001=1)*(Results!$G$2:$G$5001)*1),SUMPRODUCT((Results!$A$2:$A$5001=Schedule!AT$45)*(Results!$B$2:$B$5001=2)*(Results!$G$2:$G$5001)*1),SUMPRODUCT((Results!$A$2:$A$5001=Schedule!AT$45)*(Results!$B$2:$B$5001=3)*(Results!$G$2:$G$5001)*1),SUMPRODUCT((Results!$A$2:$A$5001=Schedule!AT$45)*(Results!$B$2:$B$5001=4)*(Results!$G$2:$G$5001)*1),SUMPRODUCT((Results!$A$2:$A$5001=Schedule!AT$45)*(Results!$B$2:$B$5001=5)*(Results!$G$2:$G$5001)*1),SUMPRODUCT((Results!$A$2:$A$5001=Schedule!AT$45)*(Results!$B$2:$B$5001=6)*(Results!$G$2:$G$5001)*1),SUMPRODUCT((Results!$A$2:$A$5001=Schedule!AT$45)*(Results!$B$2:$B$5001=7)*(Results!$G$2:$G$5001)*1),SUMPRODUCT((Results!$A$2:$A$5001=Schedule!AT$45)*(Results!$B$2:$B$5001=8)*(Results!$G$2:$G$5001)*1),SUMPRODUCT((Results!$A$2:$A$5001=Schedule!AT$45)*(Results!$B$2:$B$5001=9)*(Results!$G$2:$G$5001)*1),SUMPRODUCT((Results!$A$2:$A$5001=Schedule!AT$45)*(Results!$B$2:$B$5001=10)*(Results!$G$2:$G$5001)*1),SUMPRODUCT((Results!$A$2:$A$5001=Schedule!AT$45)*(Results!$B$2:$B$5001=11)*(Results!$G$2:$G$5001)*1),SUMPRODUCT((Results!$A$2:$A$5001=Schedule!AT$45)*(Results!$B$2:$B$5001=12)*(Results!$G$2:$G$5001)*1),SUMPRODUCT((Results!$A$2:$A$5001=Schedule!AT$45)*(Results!$B$2:$B$5001=13)*(Results!$G$2:$G$5001)*1),SUMPRODUCT((Results!$A$2:$A$5001=Schedule!AT$45)*(Results!$B$2:$B$5001=14)*(Results!$G$2:$G$5001)*1),SUMPRODUCT((Results!$A$2:$A$5001=Schedule!AT$45)*(Results!$B$2:$B$5001=15)*(Results!$G$2:$G$5001)*1),SUMPRODUCT((Results!$A$2:$A$5001=Schedule!AT$45)*(Results!$B$2:$B$5001=16)*(Results!$G$2:$G$5001)*1),SUMPRODUCT((Results!$A$2:$A$5001=Schedule!AT$45)*(Results!$B$2:$B$5001=17)*(Results!$G$2:$G$5001)*1),SUMPRODUCT((Results!$A$2:$A$5001=Schedule!AT$45)*(Results!$B$2:$B$5001=18)*(Results!$G$2:$G$5001)*1),SUMPRODUCT((Results!$A$2:$A$5001=Schedule!AT$45)*(Results!$B$2:$B$5001=19)*(Results!$G$2:$G$5001)*1),SUMPRODUCT((Results!$A$2:$A$5001=Schedule!AT$45)*(Results!$B$2:$B$5001=20)*(Results!$G$2:$G$5001)*1))</f>
        <v>0</v>
      </c>
      <c r="AU73" s="88">
        <f>MAX(SUMPRODUCT((Results!$A$2:$A$5001=Schedule!AU$45)*(Results!$B$2:$B$5001=1)*(Results!$G$2:$G$5001)*1),SUMPRODUCT((Results!$A$2:$A$5001=Schedule!AU$45)*(Results!$B$2:$B$5001=2)*(Results!$G$2:$G$5001)*1),SUMPRODUCT((Results!$A$2:$A$5001=Schedule!AU$45)*(Results!$B$2:$B$5001=3)*(Results!$G$2:$G$5001)*1),SUMPRODUCT((Results!$A$2:$A$5001=Schedule!AU$45)*(Results!$B$2:$B$5001=4)*(Results!$G$2:$G$5001)*1),SUMPRODUCT((Results!$A$2:$A$5001=Schedule!AU$45)*(Results!$B$2:$B$5001=5)*(Results!$G$2:$G$5001)*1),SUMPRODUCT((Results!$A$2:$A$5001=Schedule!AU$45)*(Results!$B$2:$B$5001=6)*(Results!$G$2:$G$5001)*1),SUMPRODUCT((Results!$A$2:$A$5001=Schedule!AU$45)*(Results!$B$2:$B$5001=7)*(Results!$G$2:$G$5001)*1),SUMPRODUCT((Results!$A$2:$A$5001=Schedule!AU$45)*(Results!$B$2:$B$5001=8)*(Results!$G$2:$G$5001)*1),SUMPRODUCT((Results!$A$2:$A$5001=Schedule!AU$45)*(Results!$B$2:$B$5001=9)*(Results!$G$2:$G$5001)*1),SUMPRODUCT((Results!$A$2:$A$5001=Schedule!AU$45)*(Results!$B$2:$B$5001=10)*(Results!$G$2:$G$5001)*1),SUMPRODUCT((Results!$A$2:$A$5001=Schedule!AU$45)*(Results!$B$2:$B$5001=11)*(Results!$G$2:$G$5001)*1),SUMPRODUCT((Results!$A$2:$A$5001=Schedule!AU$45)*(Results!$B$2:$B$5001=12)*(Results!$G$2:$G$5001)*1),SUMPRODUCT((Results!$A$2:$A$5001=Schedule!AU$45)*(Results!$B$2:$B$5001=13)*(Results!$G$2:$G$5001)*1),SUMPRODUCT((Results!$A$2:$A$5001=Schedule!AU$45)*(Results!$B$2:$B$5001=14)*(Results!$G$2:$G$5001)*1),SUMPRODUCT((Results!$A$2:$A$5001=Schedule!AU$45)*(Results!$B$2:$B$5001=15)*(Results!$G$2:$G$5001)*1),SUMPRODUCT((Results!$A$2:$A$5001=Schedule!AU$45)*(Results!$B$2:$B$5001=16)*(Results!$G$2:$G$5001)*1),SUMPRODUCT((Results!$A$2:$A$5001=Schedule!AU$45)*(Results!$B$2:$B$5001=17)*(Results!$G$2:$G$5001)*1),SUMPRODUCT((Results!$A$2:$A$5001=Schedule!AU$45)*(Results!$B$2:$B$5001=18)*(Results!$G$2:$G$5001)*1),SUMPRODUCT((Results!$A$2:$A$5001=Schedule!AU$45)*(Results!$B$2:$B$5001=19)*(Results!$G$2:$G$5001)*1),SUMPRODUCT((Results!$A$2:$A$5001=Schedule!AU$45)*(Results!$B$2:$B$5001=20)*(Results!$G$2:$G$5001)*1))</f>
        <v>0</v>
      </c>
      <c r="AV73" s="88">
        <f>MAX(SUMPRODUCT((Results!$A$2:$A$5001=Schedule!AV$45)*(Results!$B$2:$B$5001=1)*(Results!$G$2:$G$5001)*1),SUMPRODUCT((Results!$A$2:$A$5001=Schedule!AV$45)*(Results!$B$2:$B$5001=2)*(Results!$G$2:$G$5001)*1),SUMPRODUCT((Results!$A$2:$A$5001=Schedule!AV$45)*(Results!$B$2:$B$5001=3)*(Results!$G$2:$G$5001)*1),SUMPRODUCT((Results!$A$2:$A$5001=Schedule!AV$45)*(Results!$B$2:$B$5001=4)*(Results!$G$2:$G$5001)*1),SUMPRODUCT((Results!$A$2:$A$5001=Schedule!AV$45)*(Results!$B$2:$B$5001=5)*(Results!$G$2:$G$5001)*1),SUMPRODUCT((Results!$A$2:$A$5001=Schedule!AV$45)*(Results!$B$2:$B$5001=6)*(Results!$G$2:$G$5001)*1),SUMPRODUCT((Results!$A$2:$A$5001=Schedule!AV$45)*(Results!$B$2:$B$5001=7)*(Results!$G$2:$G$5001)*1),SUMPRODUCT((Results!$A$2:$A$5001=Schedule!AV$45)*(Results!$B$2:$B$5001=8)*(Results!$G$2:$G$5001)*1),SUMPRODUCT((Results!$A$2:$A$5001=Schedule!AV$45)*(Results!$B$2:$B$5001=9)*(Results!$G$2:$G$5001)*1),SUMPRODUCT((Results!$A$2:$A$5001=Schedule!AV$45)*(Results!$B$2:$B$5001=10)*(Results!$G$2:$G$5001)*1),SUMPRODUCT((Results!$A$2:$A$5001=Schedule!AV$45)*(Results!$B$2:$B$5001=11)*(Results!$G$2:$G$5001)*1),SUMPRODUCT((Results!$A$2:$A$5001=Schedule!AV$45)*(Results!$B$2:$B$5001=12)*(Results!$G$2:$G$5001)*1),SUMPRODUCT((Results!$A$2:$A$5001=Schedule!AV$45)*(Results!$B$2:$B$5001=13)*(Results!$G$2:$G$5001)*1),SUMPRODUCT((Results!$A$2:$A$5001=Schedule!AV$45)*(Results!$B$2:$B$5001=14)*(Results!$G$2:$G$5001)*1),SUMPRODUCT((Results!$A$2:$A$5001=Schedule!AV$45)*(Results!$B$2:$B$5001=15)*(Results!$G$2:$G$5001)*1),SUMPRODUCT((Results!$A$2:$A$5001=Schedule!AV$45)*(Results!$B$2:$B$5001=16)*(Results!$G$2:$G$5001)*1),SUMPRODUCT((Results!$A$2:$A$5001=Schedule!AV$45)*(Results!$B$2:$B$5001=17)*(Results!$G$2:$G$5001)*1),SUMPRODUCT((Results!$A$2:$A$5001=Schedule!AV$45)*(Results!$B$2:$B$5001=18)*(Results!$G$2:$G$5001)*1),SUMPRODUCT((Results!$A$2:$A$5001=Schedule!AV$45)*(Results!$B$2:$B$5001=19)*(Results!$G$2:$G$5001)*1),SUMPRODUCT((Results!$A$2:$A$5001=Schedule!AV$45)*(Results!$B$2:$B$5001=20)*(Results!$G$2:$G$5001)*1))</f>
        <v>0</v>
      </c>
      <c r="AW73" s="88">
        <f>MAX(SUMPRODUCT((Results!$A$2:$A$5001=Schedule!AW$45)*(Results!$B$2:$B$5001=1)*(Results!$G$2:$G$5001)*1),SUMPRODUCT((Results!$A$2:$A$5001=Schedule!AW$45)*(Results!$B$2:$B$5001=2)*(Results!$G$2:$G$5001)*1),SUMPRODUCT((Results!$A$2:$A$5001=Schedule!AW$45)*(Results!$B$2:$B$5001=3)*(Results!$G$2:$G$5001)*1),SUMPRODUCT((Results!$A$2:$A$5001=Schedule!AW$45)*(Results!$B$2:$B$5001=4)*(Results!$G$2:$G$5001)*1),SUMPRODUCT((Results!$A$2:$A$5001=Schedule!AW$45)*(Results!$B$2:$B$5001=5)*(Results!$G$2:$G$5001)*1),SUMPRODUCT((Results!$A$2:$A$5001=Schedule!AW$45)*(Results!$B$2:$B$5001=6)*(Results!$G$2:$G$5001)*1),SUMPRODUCT((Results!$A$2:$A$5001=Schedule!AW$45)*(Results!$B$2:$B$5001=7)*(Results!$G$2:$G$5001)*1),SUMPRODUCT((Results!$A$2:$A$5001=Schedule!AW$45)*(Results!$B$2:$B$5001=8)*(Results!$G$2:$G$5001)*1),SUMPRODUCT((Results!$A$2:$A$5001=Schedule!AW$45)*(Results!$B$2:$B$5001=9)*(Results!$G$2:$G$5001)*1),SUMPRODUCT((Results!$A$2:$A$5001=Schedule!AW$45)*(Results!$B$2:$B$5001=10)*(Results!$G$2:$G$5001)*1),SUMPRODUCT((Results!$A$2:$A$5001=Schedule!AW$45)*(Results!$B$2:$B$5001=11)*(Results!$G$2:$G$5001)*1),SUMPRODUCT((Results!$A$2:$A$5001=Schedule!AW$45)*(Results!$B$2:$B$5001=12)*(Results!$G$2:$G$5001)*1),SUMPRODUCT((Results!$A$2:$A$5001=Schedule!AW$45)*(Results!$B$2:$B$5001=13)*(Results!$G$2:$G$5001)*1),SUMPRODUCT((Results!$A$2:$A$5001=Schedule!AW$45)*(Results!$B$2:$B$5001=14)*(Results!$G$2:$G$5001)*1),SUMPRODUCT((Results!$A$2:$A$5001=Schedule!AW$45)*(Results!$B$2:$B$5001=15)*(Results!$G$2:$G$5001)*1),SUMPRODUCT((Results!$A$2:$A$5001=Schedule!AW$45)*(Results!$B$2:$B$5001=16)*(Results!$G$2:$G$5001)*1),SUMPRODUCT((Results!$A$2:$A$5001=Schedule!AW$45)*(Results!$B$2:$B$5001=17)*(Results!$G$2:$G$5001)*1),SUMPRODUCT((Results!$A$2:$A$5001=Schedule!AW$45)*(Results!$B$2:$B$5001=18)*(Results!$G$2:$G$5001)*1),SUMPRODUCT((Results!$A$2:$A$5001=Schedule!AW$45)*(Results!$B$2:$B$5001=19)*(Results!$G$2:$G$5001)*1),SUMPRODUCT((Results!$A$2:$A$5001=Schedule!AW$45)*(Results!$B$2:$B$5001=20)*(Results!$G$2:$G$5001)*1))</f>
        <v>0</v>
      </c>
      <c r="AX73" s="88">
        <f>MAX(SUMPRODUCT((Results!$A$2:$A$5001=Schedule!AX$45)*(Results!$B$2:$B$5001=1)*(Results!$G$2:$G$5001)*1),SUMPRODUCT((Results!$A$2:$A$5001=Schedule!AX$45)*(Results!$B$2:$B$5001=2)*(Results!$G$2:$G$5001)*1),SUMPRODUCT((Results!$A$2:$A$5001=Schedule!AX$45)*(Results!$B$2:$B$5001=3)*(Results!$G$2:$G$5001)*1),SUMPRODUCT((Results!$A$2:$A$5001=Schedule!AX$45)*(Results!$B$2:$B$5001=4)*(Results!$G$2:$G$5001)*1),SUMPRODUCT((Results!$A$2:$A$5001=Schedule!AX$45)*(Results!$B$2:$B$5001=5)*(Results!$G$2:$G$5001)*1),SUMPRODUCT((Results!$A$2:$A$5001=Schedule!AX$45)*(Results!$B$2:$B$5001=6)*(Results!$G$2:$G$5001)*1),SUMPRODUCT((Results!$A$2:$A$5001=Schedule!AX$45)*(Results!$B$2:$B$5001=7)*(Results!$G$2:$G$5001)*1),SUMPRODUCT((Results!$A$2:$A$5001=Schedule!AX$45)*(Results!$B$2:$B$5001=8)*(Results!$G$2:$G$5001)*1),SUMPRODUCT((Results!$A$2:$A$5001=Schedule!AX$45)*(Results!$B$2:$B$5001=9)*(Results!$G$2:$G$5001)*1),SUMPRODUCT((Results!$A$2:$A$5001=Schedule!AX$45)*(Results!$B$2:$B$5001=10)*(Results!$G$2:$G$5001)*1),SUMPRODUCT((Results!$A$2:$A$5001=Schedule!AX$45)*(Results!$B$2:$B$5001=11)*(Results!$G$2:$G$5001)*1),SUMPRODUCT((Results!$A$2:$A$5001=Schedule!AX$45)*(Results!$B$2:$B$5001=12)*(Results!$G$2:$G$5001)*1),SUMPRODUCT((Results!$A$2:$A$5001=Schedule!AX$45)*(Results!$B$2:$B$5001=13)*(Results!$G$2:$G$5001)*1),SUMPRODUCT((Results!$A$2:$A$5001=Schedule!AX$45)*(Results!$B$2:$B$5001=14)*(Results!$G$2:$G$5001)*1),SUMPRODUCT((Results!$A$2:$A$5001=Schedule!AX$45)*(Results!$B$2:$B$5001=15)*(Results!$G$2:$G$5001)*1),SUMPRODUCT((Results!$A$2:$A$5001=Schedule!AX$45)*(Results!$B$2:$B$5001=16)*(Results!$G$2:$G$5001)*1),SUMPRODUCT((Results!$A$2:$A$5001=Schedule!AX$45)*(Results!$B$2:$B$5001=17)*(Results!$G$2:$G$5001)*1),SUMPRODUCT((Results!$A$2:$A$5001=Schedule!AX$45)*(Results!$B$2:$B$5001=18)*(Results!$G$2:$G$5001)*1),SUMPRODUCT((Results!$A$2:$A$5001=Schedule!AX$45)*(Results!$B$2:$B$5001=19)*(Results!$G$2:$G$5001)*1),SUMPRODUCT((Results!$A$2:$A$5001=Schedule!AX$45)*(Results!$B$2:$B$5001=20)*(Results!$G$2:$G$5001)*1))</f>
        <v>0</v>
      </c>
      <c r="AY73" s="88">
        <f>MAX(SUMPRODUCT((Results!$A$2:$A$5001=Schedule!AY$45)*(Results!$B$2:$B$5001=1)*(Results!$G$2:$G$5001)*1),SUMPRODUCT((Results!$A$2:$A$5001=Schedule!AY$45)*(Results!$B$2:$B$5001=2)*(Results!$G$2:$G$5001)*1),SUMPRODUCT((Results!$A$2:$A$5001=Schedule!AY$45)*(Results!$B$2:$B$5001=3)*(Results!$G$2:$G$5001)*1),SUMPRODUCT((Results!$A$2:$A$5001=Schedule!AY$45)*(Results!$B$2:$B$5001=4)*(Results!$G$2:$G$5001)*1),SUMPRODUCT((Results!$A$2:$A$5001=Schedule!AY$45)*(Results!$B$2:$B$5001=5)*(Results!$G$2:$G$5001)*1),SUMPRODUCT((Results!$A$2:$A$5001=Schedule!AY$45)*(Results!$B$2:$B$5001=6)*(Results!$G$2:$G$5001)*1),SUMPRODUCT((Results!$A$2:$A$5001=Schedule!AY$45)*(Results!$B$2:$B$5001=7)*(Results!$G$2:$G$5001)*1),SUMPRODUCT((Results!$A$2:$A$5001=Schedule!AY$45)*(Results!$B$2:$B$5001=8)*(Results!$G$2:$G$5001)*1),SUMPRODUCT((Results!$A$2:$A$5001=Schedule!AY$45)*(Results!$B$2:$B$5001=9)*(Results!$G$2:$G$5001)*1),SUMPRODUCT((Results!$A$2:$A$5001=Schedule!AY$45)*(Results!$B$2:$B$5001=10)*(Results!$G$2:$G$5001)*1),SUMPRODUCT((Results!$A$2:$A$5001=Schedule!AY$45)*(Results!$B$2:$B$5001=11)*(Results!$G$2:$G$5001)*1),SUMPRODUCT((Results!$A$2:$A$5001=Schedule!AY$45)*(Results!$B$2:$B$5001=12)*(Results!$G$2:$G$5001)*1),SUMPRODUCT((Results!$A$2:$A$5001=Schedule!AY$45)*(Results!$B$2:$B$5001=13)*(Results!$G$2:$G$5001)*1),SUMPRODUCT((Results!$A$2:$A$5001=Schedule!AY$45)*(Results!$B$2:$B$5001=14)*(Results!$G$2:$G$5001)*1),SUMPRODUCT((Results!$A$2:$A$5001=Schedule!AY$45)*(Results!$B$2:$B$5001=15)*(Results!$G$2:$G$5001)*1),SUMPRODUCT((Results!$A$2:$A$5001=Schedule!AY$45)*(Results!$B$2:$B$5001=16)*(Results!$G$2:$G$5001)*1),SUMPRODUCT((Results!$A$2:$A$5001=Schedule!AY$45)*(Results!$B$2:$B$5001=17)*(Results!$G$2:$G$5001)*1),SUMPRODUCT((Results!$A$2:$A$5001=Schedule!AY$45)*(Results!$B$2:$B$5001=18)*(Results!$G$2:$G$5001)*1),SUMPRODUCT((Results!$A$2:$A$5001=Schedule!AY$45)*(Results!$B$2:$B$5001=19)*(Results!$G$2:$G$5001)*1),SUMPRODUCT((Results!$A$2:$A$5001=Schedule!AY$45)*(Results!$B$2:$B$5001=20)*(Results!$G$2:$G$5001)*1))</f>
        <v>0</v>
      </c>
      <c r="AZ73" s="88">
        <f>MAX(SUMPRODUCT((Results!$A$2:$A$5001=Schedule!AZ$45)*(Results!$B$2:$B$5001=1)*(Results!$G$2:$G$5001)*1),SUMPRODUCT((Results!$A$2:$A$5001=Schedule!AZ$45)*(Results!$B$2:$B$5001=2)*(Results!$G$2:$G$5001)*1),SUMPRODUCT((Results!$A$2:$A$5001=Schedule!AZ$45)*(Results!$B$2:$B$5001=3)*(Results!$G$2:$G$5001)*1),SUMPRODUCT((Results!$A$2:$A$5001=Schedule!AZ$45)*(Results!$B$2:$B$5001=4)*(Results!$G$2:$G$5001)*1),SUMPRODUCT((Results!$A$2:$A$5001=Schedule!AZ$45)*(Results!$B$2:$B$5001=5)*(Results!$G$2:$G$5001)*1),SUMPRODUCT((Results!$A$2:$A$5001=Schedule!AZ$45)*(Results!$B$2:$B$5001=6)*(Results!$G$2:$G$5001)*1),SUMPRODUCT((Results!$A$2:$A$5001=Schedule!AZ$45)*(Results!$B$2:$B$5001=7)*(Results!$G$2:$G$5001)*1),SUMPRODUCT((Results!$A$2:$A$5001=Schedule!AZ$45)*(Results!$B$2:$B$5001=8)*(Results!$G$2:$G$5001)*1),SUMPRODUCT((Results!$A$2:$A$5001=Schedule!AZ$45)*(Results!$B$2:$B$5001=9)*(Results!$G$2:$G$5001)*1),SUMPRODUCT((Results!$A$2:$A$5001=Schedule!AZ$45)*(Results!$B$2:$B$5001=10)*(Results!$G$2:$G$5001)*1),SUMPRODUCT((Results!$A$2:$A$5001=Schedule!AZ$45)*(Results!$B$2:$B$5001=11)*(Results!$G$2:$G$5001)*1),SUMPRODUCT((Results!$A$2:$A$5001=Schedule!AZ$45)*(Results!$B$2:$B$5001=12)*(Results!$G$2:$G$5001)*1),SUMPRODUCT((Results!$A$2:$A$5001=Schedule!AZ$45)*(Results!$B$2:$B$5001=13)*(Results!$G$2:$G$5001)*1),SUMPRODUCT((Results!$A$2:$A$5001=Schedule!AZ$45)*(Results!$B$2:$B$5001=14)*(Results!$G$2:$G$5001)*1),SUMPRODUCT((Results!$A$2:$A$5001=Schedule!AZ$45)*(Results!$B$2:$B$5001=15)*(Results!$G$2:$G$5001)*1),SUMPRODUCT((Results!$A$2:$A$5001=Schedule!AZ$45)*(Results!$B$2:$B$5001=16)*(Results!$G$2:$G$5001)*1),SUMPRODUCT((Results!$A$2:$A$5001=Schedule!AZ$45)*(Results!$B$2:$B$5001=17)*(Results!$G$2:$G$5001)*1),SUMPRODUCT((Results!$A$2:$A$5001=Schedule!AZ$45)*(Results!$B$2:$B$5001=18)*(Results!$G$2:$G$5001)*1),SUMPRODUCT((Results!$A$2:$A$5001=Schedule!AZ$45)*(Results!$B$2:$B$5001=19)*(Results!$G$2:$G$5001)*1),SUMPRODUCT((Results!$A$2:$A$5001=Schedule!AZ$45)*(Results!$B$2:$B$5001=20)*(Results!$G$2:$G$5001)*1))</f>
        <v>0</v>
      </c>
      <c r="BA73" s="88">
        <f>MAX(SUMPRODUCT((Results!$A$2:$A$5001=Schedule!BA$45)*(Results!$B$2:$B$5001=1)*(Results!$G$2:$G$5001)*1),SUMPRODUCT((Results!$A$2:$A$5001=Schedule!BA$45)*(Results!$B$2:$B$5001=2)*(Results!$G$2:$G$5001)*1),SUMPRODUCT((Results!$A$2:$A$5001=Schedule!BA$45)*(Results!$B$2:$B$5001=3)*(Results!$G$2:$G$5001)*1),SUMPRODUCT((Results!$A$2:$A$5001=Schedule!BA$45)*(Results!$B$2:$B$5001=4)*(Results!$G$2:$G$5001)*1),SUMPRODUCT((Results!$A$2:$A$5001=Schedule!BA$45)*(Results!$B$2:$B$5001=5)*(Results!$G$2:$G$5001)*1),SUMPRODUCT((Results!$A$2:$A$5001=Schedule!BA$45)*(Results!$B$2:$B$5001=6)*(Results!$G$2:$G$5001)*1),SUMPRODUCT((Results!$A$2:$A$5001=Schedule!BA$45)*(Results!$B$2:$B$5001=7)*(Results!$G$2:$G$5001)*1),SUMPRODUCT((Results!$A$2:$A$5001=Schedule!BA$45)*(Results!$B$2:$B$5001=8)*(Results!$G$2:$G$5001)*1),SUMPRODUCT((Results!$A$2:$A$5001=Schedule!BA$45)*(Results!$B$2:$B$5001=9)*(Results!$G$2:$G$5001)*1),SUMPRODUCT((Results!$A$2:$A$5001=Schedule!BA$45)*(Results!$B$2:$B$5001=10)*(Results!$G$2:$G$5001)*1),SUMPRODUCT((Results!$A$2:$A$5001=Schedule!BA$45)*(Results!$B$2:$B$5001=11)*(Results!$G$2:$G$5001)*1),SUMPRODUCT((Results!$A$2:$A$5001=Schedule!BA$45)*(Results!$B$2:$B$5001=12)*(Results!$G$2:$G$5001)*1),SUMPRODUCT((Results!$A$2:$A$5001=Schedule!BA$45)*(Results!$B$2:$B$5001=13)*(Results!$G$2:$G$5001)*1),SUMPRODUCT((Results!$A$2:$A$5001=Schedule!BA$45)*(Results!$B$2:$B$5001=14)*(Results!$G$2:$G$5001)*1),SUMPRODUCT((Results!$A$2:$A$5001=Schedule!BA$45)*(Results!$B$2:$B$5001=15)*(Results!$G$2:$G$5001)*1),SUMPRODUCT((Results!$A$2:$A$5001=Schedule!BA$45)*(Results!$B$2:$B$5001=16)*(Results!$G$2:$G$5001)*1),SUMPRODUCT((Results!$A$2:$A$5001=Schedule!BA$45)*(Results!$B$2:$B$5001=17)*(Results!$G$2:$G$5001)*1),SUMPRODUCT((Results!$A$2:$A$5001=Schedule!BA$45)*(Results!$B$2:$B$5001=18)*(Results!$G$2:$G$5001)*1),SUMPRODUCT((Results!$A$2:$A$5001=Schedule!BA$45)*(Results!$B$2:$B$5001=19)*(Results!$G$2:$G$5001)*1),SUMPRODUCT((Results!$A$2:$A$5001=Schedule!BA$45)*(Results!$B$2:$B$5001=20)*(Results!$G$2:$G$5001)*1))</f>
        <v>0</v>
      </c>
      <c r="BB73" s="88">
        <f>MAX(SUMPRODUCT((Results!$A$2:$A$5001=Schedule!BB$45)*(Results!$B$2:$B$5001=1)*(Results!$G$2:$G$5001)*1),SUMPRODUCT((Results!$A$2:$A$5001=Schedule!BB$45)*(Results!$B$2:$B$5001=2)*(Results!$G$2:$G$5001)*1),SUMPRODUCT((Results!$A$2:$A$5001=Schedule!BB$45)*(Results!$B$2:$B$5001=3)*(Results!$G$2:$G$5001)*1),SUMPRODUCT((Results!$A$2:$A$5001=Schedule!BB$45)*(Results!$B$2:$B$5001=4)*(Results!$G$2:$G$5001)*1),SUMPRODUCT((Results!$A$2:$A$5001=Schedule!BB$45)*(Results!$B$2:$B$5001=5)*(Results!$G$2:$G$5001)*1),SUMPRODUCT((Results!$A$2:$A$5001=Schedule!BB$45)*(Results!$B$2:$B$5001=6)*(Results!$G$2:$G$5001)*1),SUMPRODUCT((Results!$A$2:$A$5001=Schedule!BB$45)*(Results!$B$2:$B$5001=7)*(Results!$G$2:$G$5001)*1),SUMPRODUCT((Results!$A$2:$A$5001=Schedule!BB$45)*(Results!$B$2:$B$5001=8)*(Results!$G$2:$G$5001)*1),SUMPRODUCT((Results!$A$2:$A$5001=Schedule!BB$45)*(Results!$B$2:$B$5001=9)*(Results!$G$2:$G$5001)*1),SUMPRODUCT((Results!$A$2:$A$5001=Schedule!BB$45)*(Results!$B$2:$B$5001=10)*(Results!$G$2:$G$5001)*1),SUMPRODUCT((Results!$A$2:$A$5001=Schedule!BB$45)*(Results!$B$2:$B$5001=11)*(Results!$G$2:$G$5001)*1),SUMPRODUCT((Results!$A$2:$A$5001=Schedule!BB$45)*(Results!$B$2:$B$5001=12)*(Results!$G$2:$G$5001)*1),SUMPRODUCT((Results!$A$2:$A$5001=Schedule!BB$45)*(Results!$B$2:$B$5001=13)*(Results!$G$2:$G$5001)*1),SUMPRODUCT((Results!$A$2:$A$5001=Schedule!BB$45)*(Results!$B$2:$B$5001=14)*(Results!$G$2:$G$5001)*1),SUMPRODUCT((Results!$A$2:$A$5001=Schedule!BB$45)*(Results!$B$2:$B$5001=15)*(Results!$G$2:$G$5001)*1),SUMPRODUCT((Results!$A$2:$A$5001=Schedule!BB$45)*(Results!$B$2:$B$5001=16)*(Results!$G$2:$G$5001)*1),SUMPRODUCT((Results!$A$2:$A$5001=Schedule!BB$45)*(Results!$B$2:$B$5001=17)*(Results!$G$2:$G$5001)*1),SUMPRODUCT((Results!$A$2:$A$5001=Schedule!BB$45)*(Results!$B$2:$B$5001=18)*(Results!$G$2:$G$5001)*1),SUMPRODUCT((Results!$A$2:$A$5001=Schedule!BB$45)*(Results!$B$2:$B$5001=19)*(Results!$G$2:$G$5001)*1),SUMPRODUCT((Results!$A$2:$A$5001=Schedule!BB$45)*(Results!$B$2:$B$5001=20)*(Results!$G$2:$G$5001)*1))</f>
        <v>0</v>
      </c>
      <c r="BC73" s="88">
        <f>MAX(SUMPRODUCT((Results!$A$2:$A$5001=Schedule!BC$45)*(Results!$B$2:$B$5001=1)*(Results!$G$2:$G$5001)*1),SUMPRODUCT((Results!$A$2:$A$5001=Schedule!BC$45)*(Results!$B$2:$B$5001=2)*(Results!$G$2:$G$5001)*1),SUMPRODUCT((Results!$A$2:$A$5001=Schedule!BC$45)*(Results!$B$2:$B$5001=3)*(Results!$G$2:$G$5001)*1),SUMPRODUCT((Results!$A$2:$A$5001=Schedule!BC$45)*(Results!$B$2:$B$5001=4)*(Results!$G$2:$G$5001)*1),SUMPRODUCT((Results!$A$2:$A$5001=Schedule!BC$45)*(Results!$B$2:$B$5001=5)*(Results!$G$2:$G$5001)*1),SUMPRODUCT((Results!$A$2:$A$5001=Schedule!BC$45)*(Results!$B$2:$B$5001=6)*(Results!$G$2:$G$5001)*1),SUMPRODUCT((Results!$A$2:$A$5001=Schedule!BC$45)*(Results!$B$2:$B$5001=7)*(Results!$G$2:$G$5001)*1),SUMPRODUCT((Results!$A$2:$A$5001=Schedule!BC$45)*(Results!$B$2:$B$5001=8)*(Results!$G$2:$G$5001)*1),SUMPRODUCT((Results!$A$2:$A$5001=Schedule!BC$45)*(Results!$B$2:$B$5001=9)*(Results!$G$2:$G$5001)*1),SUMPRODUCT((Results!$A$2:$A$5001=Schedule!BC$45)*(Results!$B$2:$B$5001=10)*(Results!$G$2:$G$5001)*1),SUMPRODUCT((Results!$A$2:$A$5001=Schedule!BC$45)*(Results!$B$2:$B$5001=11)*(Results!$G$2:$G$5001)*1),SUMPRODUCT((Results!$A$2:$A$5001=Schedule!BC$45)*(Results!$B$2:$B$5001=12)*(Results!$G$2:$G$5001)*1),SUMPRODUCT((Results!$A$2:$A$5001=Schedule!BC$45)*(Results!$B$2:$B$5001=13)*(Results!$G$2:$G$5001)*1),SUMPRODUCT((Results!$A$2:$A$5001=Schedule!BC$45)*(Results!$B$2:$B$5001=14)*(Results!$G$2:$G$5001)*1),SUMPRODUCT((Results!$A$2:$A$5001=Schedule!BC$45)*(Results!$B$2:$B$5001=15)*(Results!$G$2:$G$5001)*1),SUMPRODUCT((Results!$A$2:$A$5001=Schedule!BC$45)*(Results!$B$2:$B$5001=16)*(Results!$G$2:$G$5001)*1),SUMPRODUCT((Results!$A$2:$A$5001=Schedule!BC$45)*(Results!$B$2:$B$5001=17)*(Results!$G$2:$G$5001)*1),SUMPRODUCT((Results!$A$2:$A$5001=Schedule!BC$45)*(Results!$B$2:$B$5001=18)*(Results!$G$2:$G$5001)*1),SUMPRODUCT((Results!$A$2:$A$5001=Schedule!BC$45)*(Results!$B$2:$B$5001=19)*(Results!$G$2:$G$5001)*1),SUMPRODUCT((Results!$A$2:$A$5001=Schedule!BC$45)*(Results!$B$2:$B$5001=20)*(Results!$G$2:$G$5001)*1))</f>
        <v>0</v>
      </c>
      <c r="BD73" s="88">
        <f>MAX(SUMPRODUCT((Results!$A$2:$A$5001=Schedule!BD$45)*(Results!$B$2:$B$5001=1)*(Results!$G$2:$G$5001)*1),SUMPRODUCT((Results!$A$2:$A$5001=Schedule!BD$45)*(Results!$B$2:$B$5001=2)*(Results!$G$2:$G$5001)*1),SUMPRODUCT((Results!$A$2:$A$5001=Schedule!BD$45)*(Results!$B$2:$B$5001=3)*(Results!$G$2:$G$5001)*1),SUMPRODUCT((Results!$A$2:$A$5001=Schedule!BD$45)*(Results!$B$2:$B$5001=4)*(Results!$G$2:$G$5001)*1),SUMPRODUCT((Results!$A$2:$A$5001=Schedule!BD$45)*(Results!$B$2:$B$5001=5)*(Results!$G$2:$G$5001)*1),SUMPRODUCT((Results!$A$2:$A$5001=Schedule!BD$45)*(Results!$B$2:$B$5001=6)*(Results!$G$2:$G$5001)*1),SUMPRODUCT((Results!$A$2:$A$5001=Schedule!BD$45)*(Results!$B$2:$B$5001=7)*(Results!$G$2:$G$5001)*1),SUMPRODUCT((Results!$A$2:$A$5001=Schedule!BD$45)*(Results!$B$2:$B$5001=8)*(Results!$G$2:$G$5001)*1),SUMPRODUCT((Results!$A$2:$A$5001=Schedule!BD$45)*(Results!$B$2:$B$5001=9)*(Results!$G$2:$G$5001)*1),SUMPRODUCT((Results!$A$2:$A$5001=Schedule!BD$45)*(Results!$B$2:$B$5001=10)*(Results!$G$2:$G$5001)*1),SUMPRODUCT((Results!$A$2:$A$5001=Schedule!BD$45)*(Results!$B$2:$B$5001=11)*(Results!$G$2:$G$5001)*1),SUMPRODUCT((Results!$A$2:$A$5001=Schedule!BD$45)*(Results!$B$2:$B$5001=12)*(Results!$G$2:$G$5001)*1),SUMPRODUCT((Results!$A$2:$A$5001=Schedule!BD$45)*(Results!$B$2:$B$5001=13)*(Results!$G$2:$G$5001)*1),SUMPRODUCT((Results!$A$2:$A$5001=Schedule!BD$45)*(Results!$B$2:$B$5001=14)*(Results!$G$2:$G$5001)*1),SUMPRODUCT((Results!$A$2:$A$5001=Schedule!BD$45)*(Results!$B$2:$B$5001=15)*(Results!$G$2:$G$5001)*1),SUMPRODUCT((Results!$A$2:$A$5001=Schedule!BD$45)*(Results!$B$2:$B$5001=16)*(Results!$G$2:$G$5001)*1),SUMPRODUCT((Results!$A$2:$A$5001=Schedule!BD$45)*(Results!$B$2:$B$5001=17)*(Results!$G$2:$G$5001)*1),SUMPRODUCT((Results!$A$2:$A$5001=Schedule!BD$45)*(Results!$B$2:$B$5001=18)*(Results!$G$2:$G$5001)*1),SUMPRODUCT((Results!$A$2:$A$5001=Schedule!BD$45)*(Results!$B$2:$B$5001=19)*(Results!$G$2:$G$5001)*1),SUMPRODUCT((Results!$A$2:$A$5001=Schedule!BD$45)*(Results!$B$2:$B$5001=20)*(Results!$G$2:$G$5001)*1))</f>
        <v>0</v>
      </c>
      <c r="BE73" s="88">
        <f>MAX(SUMPRODUCT((Results!$A$2:$A$5001=Schedule!BE$45)*(Results!$B$2:$B$5001=1)*(Results!$G$2:$G$5001)*1),SUMPRODUCT((Results!$A$2:$A$5001=Schedule!BE$45)*(Results!$B$2:$B$5001=2)*(Results!$G$2:$G$5001)*1),SUMPRODUCT((Results!$A$2:$A$5001=Schedule!BE$45)*(Results!$B$2:$B$5001=3)*(Results!$G$2:$G$5001)*1),SUMPRODUCT((Results!$A$2:$A$5001=Schedule!BE$45)*(Results!$B$2:$B$5001=4)*(Results!$G$2:$G$5001)*1),SUMPRODUCT((Results!$A$2:$A$5001=Schedule!BE$45)*(Results!$B$2:$B$5001=5)*(Results!$G$2:$G$5001)*1),SUMPRODUCT((Results!$A$2:$A$5001=Schedule!BE$45)*(Results!$B$2:$B$5001=6)*(Results!$G$2:$G$5001)*1),SUMPRODUCT((Results!$A$2:$A$5001=Schedule!BE$45)*(Results!$B$2:$B$5001=7)*(Results!$G$2:$G$5001)*1),SUMPRODUCT((Results!$A$2:$A$5001=Schedule!BE$45)*(Results!$B$2:$B$5001=8)*(Results!$G$2:$G$5001)*1),SUMPRODUCT((Results!$A$2:$A$5001=Schedule!BE$45)*(Results!$B$2:$B$5001=9)*(Results!$G$2:$G$5001)*1),SUMPRODUCT((Results!$A$2:$A$5001=Schedule!BE$45)*(Results!$B$2:$B$5001=10)*(Results!$G$2:$G$5001)*1),SUMPRODUCT((Results!$A$2:$A$5001=Schedule!BE$45)*(Results!$B$2:$B$5001=11)*(Results!$G$2:$G$5001)*1),SUMPRODUCT((Results!$A$2:$A$5001=Schedule!BE$45)*(Results!$B$2:$B$5001=12)*(Results!$G$2:$G$5001)*1),SUMPRODUCT((Results!$A$2:$A$5001=Schedule!BE$45)*(Results!$B$2:$B$5001=13)*(Results!$G$2:$G$5001)*1),SUMPRODUCT((Results!$A$2:$A$5001=Schedule!BE$45)*(Results!$B$2:$B$5001=14)*(Results!$G$2:$G$5001)*1),SUMPRODUCT((Results!$A$2:$A$5001=Schedule!BE$45)*(Results!$B$2:$B$5001=15)*(Results!$G$2:$G$5001)*1),SUMPRODUCT((Results!$A$2:$A$5001=Schedule!BE$45)*(Results!$B$2:$B$5001=16)*(Results!$G$2:$G$5001)*1),SUMPRODUCT((Results!$A$2:$A$5001=Schedule!BE$45)*(Results!$B$2:$B$5001=17)*(Results!$G$2:$G$5001)*1),SUMPRODUCT((Results!$A$2:$A$5001=Schedule!BE$45)*(Results!$B$2:$B$5001=18)*(Results!$G$2:$G$5001)*1),SUMPRODUCT((Results!$A$2:$A$5001=Schedule!BE$45)*(Results!$B$2:$B$5001=19)*(Results!$G$2:$G$5001)*1),SUMPRODUCT((Results!$A$2:$A$5001=Schedule!BE$45)*(Results!$B$2:$B$5001=20)*(Results!$G$2:$G$5001)*1))</f>
        <v>0</v>
      </c>
      <c r="BF73" s="88">
        <f>MAX(SUMPRODUCT((Results!$A$2:$A$5001=Schedule!BF$45)*(Results!$B$2:$B$5001=1)*(Results!$G$2:$G$5001)*1),SUMPRODUCT((Results!$A$2:$A$5001=Schedule!BF$45)*(Results!$B$2:$B$5001=2)*(Results!$G$2:$G$5001)*1),SUMPRODUCT((Results!$A$2:$A$5001=Schedule!BF$45)*(Results!$B$2:$B$5001=3)*(Results!$G$2:$G$5001)*1),SUMPRODUCT((Results!$A$2:$A$5001=Schedule!BF$45)*(Results!$B$2:$B$5001=4)*(Results!$G$2:$G$5001)*1),SUMPRODUCT((Results!$A$2:$A$5001=Schedule!BF$45)*(Results!$B$2:$B$5001=5)*(Results!$G$2:$G$5001)*1),SUMPRODUCT((Results!$A$2:$A$5001=Schedule!BF$45)*(Results!$B$2:$B$5001=6)*(Results!$G$2:$G$5001)*1),SUMPRODUCT((Results!$A$2:$A$5001=Schedule!BF$45)*(Results!$B$2:$B$5001=7)*(Results!$G$2:$G$5001)*1),SUMPRODUCT((Results!$A$2:$A$5001=Schedule!BF$45)*(Results!$B$2:$B$5001=8)*(Results!$G$2:$G$5001)*1),SUMPRODUCT((Results!$A$2:$A$5001=Schedule!BF$45)*(Results!$B$2:$B$5001=9)*(Results!$G$2:$G$5001)*1),SUMPRODUCT((Results!$A$2:$A$5001=Schedule!BF$45)*(Results!$B$2:$B$5001=10)*(Results!$G$2:$G$5001)*1),SUMPRODUCT((Results!$A$2:$A$5001=Schedule!BF$45)*(Results!$B$2:$B$5001=11)*(Results!$G$2:$G$5001)*1),SUMPRODUCT((Results!$A$2:$A$5001=Schedule!BF$45)*(Results!$B$2:$B$5001=12)*(Results!$G$2:$G$5001)*1),SUMPRODUCT((Results!$A$2:$A$5001=Schedule!BF$45)*(Results!$B$2:$B$5001=13)*(Results!$G$2:$G$5001)*1),SUMPRODUCT((Results!$A$2:$A$5001=Schedule!BF$45)*(Results!$B$2:$B$5001=14)*(Results!$G$2:$G$5001)*1),SUMPRODUCT((Results!$A$2:$A$5001=Schedule!BF$45)*(Results!$B$2:$B$5001=15)*(Results!$G$2:$G$5001)*1),SUMPRODUCT((Results!$A$2:$A$5001=Schedule!BF$45)*(Results!$B$2:$B$5001=16)*(Results!$G$2:$G$5001)*1),SUMPRODUCT((Results!$A$2:$A$5001=Schedule!BF$45)*(Results!$B$2:$B$5001=17)*(Results!$G$2:$G$5001)*1),SUMPRODUCT((Results!$A$2:$A$5001=Schedule!BF$45)*(Results!$B$2:$B$5001=18)*(Results!$G$2:$G$5001)*1),SUMPRODUCT((Results!$A$2:$A$5001=Schedule!BF$45)*(Results!$B$2:$B$5001=19)*(Results!$G$2:$G$5001)*1),SUMPRODUCT((Results!$A$2:$A$5001=Schedule!BF$45)*(Results!$B$2:$B$5001=20)*(Results!$G$2:$G$5001)*1))</f>
        <v>0</v>
      </c>
      <c r="BG73" s="88">
        <f>MAX(SUMPRODUCT((Results!$A$2:$A$5001=Schedule!BG$45)*(Results!$B$2:$B$5001=1)*(Results!$G$2:$G$5001)*1),SUMPRODUCT((Results!$A$2:$A$5001=Schedule!BG$45)*(Results!$B$2:$B$5001=2)*(Results!$G$2:$G$5001)*1),SUMPRODUCT((Results!$A$2:$A$5001=Schedule!BG$45)*(Results!$B$2:$B$5001=3)*(Results!$G$2:$G$5001)*1),SUMPRODUCT((Results!$A$2:$A$5001=Schedule!BG$45)*(Results!$B$2:$B$5001=4)*(Results!$G$2:$G$5001)*1),SUMPRODUCT((Results!$A$2:$A$5001=Schedule!BG$45)*(Results!$B$2:$B$5001=5)*(Results!$G$2:$G$5001)*1),SUMPRODUCT((Results!$A$2:$A$5001=Schedule!BG$45)*(Results!$B$2:$B$5001=6)*(Results!$G$2:$G$5001)*1),SUMPRODUCT((Results!$A$2:$A$5001=Schedule!BG$45)*(Results!$B$2:$B$5001=7)*(Results!$G$2:$G$5001)*1),SUMPRODUCT((Results!$A$2:$A$5001=Schedule!BG$45)*(Results!$B$2:$B$5001=8)*(Results!$G$2:$G$5001)*1),SUMPRODUCT((Results!$A$2:$A$5001=Schedule!BG$45)*(Results!$B$2:$B$5001=9)*(Results!$G$2:$G$5001)*1),SUMPRODUCT((Results!$A$2:$A$5001=Schedule!BG$45)*(Results!$B$2:$B$5001=10)*(Results!$G$2:$G$5001)*1),SUMPRODUCT((Results!$A$2:$A$5001=Schedule!BG$45)*(Results!$B$2:$B$5001=11)*(Results!$G$2:$G$5001)*1),SUMPRODUCT((Results!$A$2:$A$5001=Schedule!BG$45)*(Results!$B$2:$B$5001=12)*(Results!$G$2:$G$5001)*1),SUMPRODUCT((Results!$A$2:$A$5001=Schedule!BG$45)*(Results!$B$2:$B$5001=13)*(Results!$G$2:$G$5001)*1),SUMPRODUCT((Results!$A$2:$A$5001=Schedule!BG$45)*(Results!$B$2:$B$5001=14)*(Results!$G$2:$G$5001)*1),SUMPRODUCT((Results!$A$2:$A$5001=Schedule!BG$45)*(Results!$B$2:$B$5001=15)*(Results!$G$2:$G$5001)*1),SUMPRODUCT((Results!$A$2:$A$5001=Schedule!BG$45)*(Results!$B$2:$B$5001=16)*(Results!$G$2:$G$5001)*1),SUMPRODUCT((Results!$A$2:$A$5001=Schedule!BG$45)*(Results!$B$2:$B$5001=17)*(Results!$G$2:$G$5001)*1),SUMPRODUCT((Results!$A$2:$A$5001=Schedule!BG$45)*(Results!$B$2:$B$5001=18)*(Results!$G$2:$G$5001)*1),SUMPRODUCT((Results!$A$2:$A$5001=Schedule!BG$45)*(Results!$B$2:$B$5001=19)*(Results!$G$2:$G$5001)*1),SUMPRODUCT((Results!$A$2:$A$5001=Schedule!BG$45)*(Results!$B$2:$B$5001=20)*(Results!$G$2:$G$5001)*1))</f>
        <v>0</v>
      </c>
      <c r="BH73" s="88">
        <f>MAX(SUMPRODUCT((Results!$A$2:$A$5001=Schedule!BH$45)*(Results!$B$2:$B$5001=1)*(Results!$G$2:$G$5001)*1),SUMPRODUCT((Results!$A$2:$A$5001=Schedule!BH$45)*(Results!$B$2:$B$5001=2)*(Results!$G$2:$G$5001)*1),SUMPRODUCT((Results!$A$2:$A$5001=Schedule!BH$45)*(Results!$B$2:$B$5001=3)*(Results!$G$2:$G$5001)*1),SUMPRODUCT((Results!$A$2:$A$5001=Schedule!BH$45)*(Results!$B$2:$B$5001=4)*(Results!$G$2:$G$5001)*1),SUMPRODUCT((Results!$A$2:$A$5001=Schedule!BH$45)*(Results!$B$2:$B$5001=5)*(Results!$G$2:$G$5001)*1),SUMPRODUCT((Results!$A$2:$A$5001=Schedule!BH$45)*(Results!$B$2:$B$5001=6)*(Results!$G$2:$G$5001)*1),SUMPRODUCT((Results!$A$2:$A$5001=Schedule!BH$45)*(Results!$B$2:$B$5001=7)*(Results!$G$2:$G$5001)*1),SUMPRODUCT((Results!$A$2:$A$5001=Schedule!BH$45)*(Results!$B$2:$B$5001=8)*(Results!$G$2:$G$5001)*1),SUMPRODUCT((Results!$A$2:$A$5001=Schedule!BH$45)*(Results!$B$2:$B$5001=9)*(Results!$G$2:$G$5001)*1),SUMPRODUCT((Results!$A$2:$A$5001=Schedule!BH$45)*(Results!$B$2:$B$5001=10)*(Results!$G$2:$G$5001)*1),SUMPRODUCT((Results!$A$2:$A$5001=Schedule!BH$45)*(Results!$B$2:$B$5001=11)*(Results!$G$2:$G$5001)*1),SUMPRODUCT((Results!$A$2:$A$5001=Schedule!BH$45)*(Results!$B$2:$B$5001=12)*(Results!$G$2:$G$5001)*1),SUMPRODUCT((Results!$A$2:$A$5001=Schedule!BH$45)*(Results!$B$2:$B$5001=13)*(Results!$G$2:$G$5001)*1),SUMPRODUCT((Results!$A$2:$A$5001=Schedule!BH$45)*(Results!$B$2:$B$5001=14)*(Results!$G$2:$G$5001)*1),SUMPRODUCT((Results!$A$2:$A$5001=Schedule!BH$45)*(Results!$B$2:$B$5001=15)*(Results!$G$2:$G$5001)*1),SUMPRODUCT((Results!$A$2:$A$5001=Schedule!BH$45)*(Results!$B$2:$B$5001=16)*(Results!$G$2:$G$5001)*1),SUMPRODUCT((Results!$A$2:$A$5001=Schedule!BH$45)*(Results!$B$2:$B$5001=17)*(Results!$G$2:$G$5001)*1),SUMPRODUCT((Results!$A$2:$A$5001=Schedule!BH$45)*(Results!$B$2:$B$5001=18)*(Results!$G$2:$G$5001)*1),SUMPRODUCT((Results!$A$2:$A$5001=Schedule!BH$45)*(Results!$B$2:$B$5001=19)*(Results!$G$2:$G$5001)*1),SUMPRODUCT((Results!$A$2:$A$5001=Schedule!BH$45)*(Results!$B$2:$B$5001=20)*(Results!$G$2:$G$5001)*1))</f>
        <v>0</v>
      </c>
      <c r="BI73" s="88">
        <f>MAX(SUMPRODUCT((Results!$A$2:$A$5001=Schedule!BI$45)*(Results!$B$2:$B$5001=1)*(Results!$G$2:$G$5001)*1),SUMPRODUCT((Results!$A$2:$A$5001=Schedule!BI$45)*(Results!$B$2:$B$5001=2)*(Results!$G$2:$G$5001)*1),SUMPRODUCT((Results!$A$2:$A$5001=Schedule!BI$45)*(Results!$B$2:$B$5001=3)*(Results!$G$2:$G$5001)*1),SUMPRODUCT((Results!$A$2:$A$5001=Schedule!BI$45)*(Results!$B$2:$B$5001=4)*(Results!$G$2:$G$5001)*1),SUMPRODUCT((Results!$A$2:$A$5001=Schedule!BI$45)*(Results!$B$2:$B$5001=5)*(Results!$G$2:$G$5001)*1),SUMPRODUCT((Results!$A$2:$A$5001=Schedule!BI$45)*(Results!$B$2:$B$5001=6)*(Results!$G$2:$G$5001)*1),SUMPRODUCT((Results!$A$2:$A$5001=Schedule!BI$45)*(Results!$B$2:$B$5001=7)*(Results!$G$2:$G$5001)*1),SUMPRODUCT((Results!$A$2:$A$5001=Schedule!BI$45)*(Results!$B$2:$B$5001=8)*(Results!$G$2:$G$5001)*1),SUMPRODUCT((Results!$A$2:$A$5001=Schedule!BI$45)*(Results!$B$2:$B$5001=9)*(Results!$G$2:$G$5001)*1),SUMPRODUCT((Results!$A$2:$A$5001=Schedule!BI$45)*(Results!$B$2:$B$5001=10)*(Results!$G$2:$G$5001)*1),SUMPRODUCT((Results!$A$2:$A$5001=Schedule!BI$45)*(Results!$B$2:$B$5001=11)*(Results!$G$2:$G$5001)*1),SUMPRODUCT((Results!$A$2:$A$5001=Schedule!BI$45)*(Results!$B$2:$B$5001=12)*(Results!$G$2:$G$5001)*1),SUMPRODUCT((Results!$A$2:$A$5001=Schedule!BI$45)*(Results!$B$2:$B$5001=13)*(Results!$G$2:$G$5001)*1),SUMPRODUCT((Results!$A$2:$A$5001=Schedule!BI$45)*(Results!$B$2:$B$5001=14)*(Results!$G$2:$G$5001)*1),SUMPRODUCT((Results!$A$2:$A$5001=Schedule!BI$45)*(Results!$B$2:$B$5001=15)*(Results!$G$2:$G$5001)*1),SUMPRODUCT((Results!$A$2:$A$5001=Schedule!BI$45)*(Results!$B$2:$B$5001=16)*(Results!$G$2:$G$5001)*1),SUMPRODUCT((Results!$A$2:$A$5001=Schedule!BI$45)*(Results!$B$2:$B$5001=17)*(Results!$G$2:$G$5001)*1),SUMPRODUCT((Results!$A$2:$A$5001=Schedule!BI$45)*(Results!$B$2:$B$5001=18)*(Results!$G$2:$G$5001)*1),SUMPRODUCT((Results!$A$2:$A$5001=Schedule!BI$45)*(Results!$B$2:$B$5001=19)*(Results!$G$2:$G$5001)*1),SUMPRODUCT((Results!$A$2:$A$5001=Schedule!BI$45)*(Results!$B$2:$B$5001=20)*(Results!$G$2:$G$5001)*1))</f>
        <v>0</v>
      </c>
      <c r="BJ73" s="88">
        <f>MAX(SUMPRODUCT((Results!$A$2:$A$5001=Schedule!BJ$45)*(Results!$B$2:$B$5001=1)*(Results!$G$2:$G$5001)*1),SUMPRODUCT((Results!$A$2:$A$5001=Schedule!BJ$45)*(Results!$B$2:$B$5001=2)*(Results!$G$2:$G$5001)*1),SUMPRODUCT((Results!$A$2:$A$5001=Schedule!BJ$45)*(Results!$B$2:$B$5001=3)*(Results!$G$2:$G$5001)*1),SUMPRODUCT((Results!$A$2:$A$5001=Schedule!BJ$45)*(Results!$B$2:$B$5001=4)*(Results!$G$2:$G$5001)*1),SUMPRODUCT((Results!$A$2:$A$5001=Schedule!BJ$45)*(Results!$B$2:$B$5001=5)*(Results!$G$2:$G$5001)*1),SUMPRODUCT((Results!$A$2:$A$5001=Schedule!BJ$45)*(Results!$B$2:$B$5001=6)*(Results!$G$2:$G$5001)*1),SUMPRODUCT((Results!$A$2:$A$5001=Schedule!BJ$45)*(Results!$B$2:$B$5001=7)*(Results!$G$2:$G$5001)*1),SUMPRODUCT((Results!$A$2:$A$5001=Schedule!BJ$45)*(Results!$B$2:$B$5001=8)*(Results!$G$2:$G$5001)*1),SUMPRODUCT((Results!$A$2:$A$5001=Schedule!BJ$45)*(Results!$B$2:$B$5001=9)*(Results!$G$2:$G$5001)*1),SUMPRODUCT((Results!$A$2:$A$5001=Schedule!BJ$45)*(Results!$B$2:$B$5001=10)*(Results!$G$2:$G$5001)*1),SUMPRODUCT((Results!$A$2:$A$5001=Schedule!BJ$45)*(Results!$B$2:$B$5001=11)*(Results!$G$2:$G$5001)*1),SUMPRODUCT((Results!$A$2:$A$5001=Schedule!BJ$45)*(Results!$B$2:$B$5001=12)*(Results!$G$2:$G$5001)*1),SUMPRODUCT((Results!$A$2:$A$5001=Schedule!BJ$45)*(Results!$B$2:$B$5001=13)*(Results!$G$2:$G$5001)*1),SUMPRODUCT((Results!$A$2:$A$5001=Schedule!BJ$45)*(Results!$B$2:$B$5001=14)*(Results!$G$2:$G$5001)*1),SUMPRODUCT((Results!$A$2:$A$5001=Schedule!BJ$45)*(Results!$B$2:$B$5001=15)*(Results!$G$2:$G$5001)*1),SUMPRODUCT((Results!$A$2:$A$5001=Schedule!BJ$45)*(Results!$B$2:$B$5001=16)*(Results!$G$2:$G$5001)*1),SUMPRODUCT((Results!$A$2:$A$5001=Schedule!BJ$45)*(Results!$B$2:$B$5001=17)*(Results!$G$2:$G$5001)*1),SUMPRODUCT((Results!$A$2:$A$5001=Schedule!BJ$45)*(Results!$B$2:$B$5001=18)*(Results!$G$2:$G$5001)*1),SUMPRODUCT((Results!$A$2:$A$5001=Schedule!BJ$45)*(Results!$B$2:$B$5001=19)*(Results!$G$2:$G$5001)*1),SUMPRODUCT((Results!$A$2:$A$5001=Schedule!BJ$45)*(Results!$B$2:$B$5001=20)*(Results!$G$2:$G$5001)*1))</f>
        <v>0</v>
      </c>
      <c r="BK73" s="88">
        <f>MAX(SUMPRODUCT((Results!$A$2:$A$5001=Schedule!BK$45)*(Results!$B$2:$B$5001=1)*(Results!$G$2:$G$5001)*1),SUMPRODUCT((Results!$A$2:$A$5001=Schedule!BK$45)*(Results!$B$2:$B$5001=2)*(Results!$G$2:$G$5001)*1),SUMPRODUCT((Results!$A$2:$A$5001=Schedule!BK$45)*(Results!$B$2:$B$5001=3)*(Results!$G$2:$G$5001)*1),SUMPRODUCT((Results!$A$2:$A$5001=Schedule!BK$45)*(Results!$B$2:$B$5001=4)*(Results!$G$2:$G$5001)*1),SUMPRODUCT((Results!$A$2:$A$5001=Schedule!BK$45)*(Results!$B$2:$B$5001=5)*(Results!$G$2:$G$5001)*1),SUMPRODUCT((Results!$A$2:$A$5001=Schedule!BK$45)*(Results!$B$2:$B$5001=6)*(Results!$G$2:$G$5001)*1),SUMPRODUCT((Results!$A$2:$A$5001=Schedule!BK$45)*(Results!$B$2:$B$5001=7)*(Results!$G$2:$G$5001)*1),SUMPRODUCT((Results!$A$2:$A$5001=Schedule!BK$45)*(Results!$B$2:$B$5001=8)*(Results!$G$2:$G$5001)*1),SUMPRODUCT((Results!$A$2:$A$5001=Schedule!BK$45)*(Results!$B$2:$B$5001=9)*(Results!$G$2:$G$5001)*1),SUMPRODUCT((Results!$A$2:$A$5001=Schedule!BK$45)*(Results!$B$2:$B$5001=10)*(Results!$G$2:$G$5001)*1),SUMPRODUCT((Results!$A$2:$A$5001=Schedule!BK$45)*(Results!$B$2:$B$5001=11)*(Results!$G$2:$G$5001)*1),SUMPRODUCT((Results!$A$2:$A$5001=Schedule!BK$45)*(Results!$B$2:$B$5001=12)*(Results!$G$2:$G$5001)*1),SUMPRODUCT((Results!$A$2:$A$5001=Schedule!BK$45)*(Results!$B$2:$B$5001=13)*(Results!$G$2:$G$5001)*1),SUMPRODUCT((Results!$A$2:$A$5001=Schedule!BK$45)*(Results!$B$2:$B$5001=14)*(Results!$G$2:$G$5001)*1),SUMPRODUCT((Results!$A$2:$A$5001=Schedule!BK$45)*(Results!$B$2:$B$5001=15)*(Results!$G$2:$G$5001)*1),SUMPRODUCT((Results!$A$2:$A$5001=Schedule!BK$45)*(Results!$B$2:$B$5001=16)*(Results!$G$2:$G$5001)*1),SUMPRODUCT((Results!$A$2:$A$5001=Schedule!BK$45)*(Results!$B$2:$B$5001=17)*(Results!$G$2:$G$5001)*1),SUMPRODUCT((Results!$A$2:$A$5001=Schedule!BK$45)*(Results!$B$2:$B$5001=18)*(Results!$G$2:$G$5001)*1),SUMPRODUCT((Results!$A$2:$A$5001=Schedule!BK$45)*(Results!$B$2:$B$5001=19)*(Results!$G$2:$G$5001)*1),SUMPRODUCT((Results!$A$2:$A$5001=Schedule!BK$45)*(Results!$B$2:$B$5001=20)*(Results!$G$2:$G$5001)*1))</f>
        <v>0</v>
      </c>
      <c r="BL73" s="88">
        <f>MAX(SUMPRODUCT((Results!$A$2:$A$5001=Schedule!BL$45)*(Results!$B$2:$B$5001=1)*(Results!$G$2:$G$5001)*1),SUMPRODUCT((Results!$A$2:$A$5001=Schedule!BL$45)*(Results!$B$2:$B$5001=2)*(Results!$G$2:$G$5001)*1),SUMPRODUCT((Results!$A$2:$A$5001=Schedule!BL$45)*(Results!$B$2:$B$5001=3)*(Results!$G$2:$G$5001)*1),SUMPRODUCT((Results!$A$2:$A$5001=Schedule!BL$45)*(Results!$B$2:$B$5001=4)*(Results!$G$2:$G$5001)*1),SUMPRODUCT((Results!$A$2:$A$5001=Schedule!BL$45)*(Results!$B$2:$B$5001=5)*(Results!$G$2:$G$5001)*1),SUMPRODUCT((Results!$A$2:$A$5001=Schedule!BL$45)*(Results!$B$2:$B$5001=6)*(Results!$G$2:$G$5001)*1),SUMPRODUCT((Results!$A$2:$A$5001=Schedule!BL$45)*(Results!$B$2:$B$5001=7)*(Results!$G$2:$G$5001)*1),SUMPRODUCT((Results!$A$2:$A$5001=Schedule!BL$45)*(Results!$B$2:$B$5001=8)*(Results!$G$2:$G$5001)*1),SUMPRODUCT((Results!$A$2:$A$5001=Schedule!BL$45)*(Results!$B$2:$B$5001=9)*(Results!$G$2:$G$5001)*1),SUMPRODUCT((Results!$A$2:$A$5001=Schedule!BL$45)*(Results!$B$2:$B$5001=10)*(Results!$G$2:$G$5001)*1),SUMPRODUCT((Results!$A$2:$A$5001=Schedule!BL$45)*(Results!$B$2:$B$5001=11)*(Results!$G$2:$G$5001)*1),SUMPRODUCT((Results!$A$2:$A$5001=Schedule!BL$45)*(Results!$B$2:$B$5001=12)*(Results!$G$2:$G$5001)*1),SUMPRODUCT((Results!$A$2:$A$5001=Schedule!BL$45)*(Results!$B$2:$B$5001=13)*(Results!$G$2:$G$5001)*1),SUMPRODUCT((Results!$A$2:$A$5001=Schedule!BL$45)*(Results!$B$2:$B$5001=14)*(Results!$G$2:$G$5001)*1),SUMPRODUCT((Results!$A$2:$A$5001=Schedule!BL$45)*(Results!$B$2:$B$5001=15)*(Results!$G$2:$G$5001)*1),SUMPRODUCT((Results!$A$2:$A$5001=Schedule!BL$45)*(Results!$B$2:$B$5001=16)*(Results!$G$2:$G$5001)*1),SUMPRODUCT((Results!$A$2:$A$5001=Schedule!BL$45)*(Results!$B$2:$B$5001=17)*(Results!$G$2:$G$5001)*1),SUMPRODUCT((Results!$A$2:$A$5001=Schedule!BL$45)*(Results!$B$2:$B$5001=18)*(Results!$G$2:$G$5001)*1),SUMPRODUCT((Results!$A$2:$A$5001=Schedule!BL$45)*(Results!$B$2:$B$5001=19)*(Results!$G$2:$G$5001)*1),SUMPRODUCT((Results!$A$2:$A$5001=Schedule!BL$45)*(Results!$B$2:$B$5001=20)*(Results!$G$2:$G$5001)*1))</f>
        <v>0</v>
      </c>
      <c r="BM73" s="88">
        <f>MAX(SUMPRODUCT((Results!$A$2:$A$5001=Schedule!BM$45)*(Results!$B$2:$B$5001=1)*(Results!$G$2:$G$5001)*1),SUMPRODUCT((Results!$A$2:$A$5001=Schedule!BM$45)*(Results!$B$2:$B$5001=2)*(Results!$G$2:$G$5001)*1),SUMPRODUCT((Results!$A$2:$A$5001=Schedule!BM$45)*(Results!$B$2:$B$5001=3)*(Results!$G$2:$G$5001)*1),SUMPRODUCT((Results!$A$2:$A$5001=Schedule!BM$45)*(Results!$B$2:$B$5001=4)*(Results!$G$2:$G$5001)*1),SUMPRODUCT((Results!$A$2:$A$5001=Schedule!BM$45)*(Results!$B$2:$B$5001=5)*(Results!$G$2:$G$5001)*1),SUMPRODUCT((Results!$A$2:$A$5001=Schedule!BM$45)*(Results!$B$2:$B$5001=6)*(Results!$G$2:$G$5001)*1),SUMPRODUCT((Results!$A$2:$A$5001=Schedule!BM$45)*(Results!$B$2:$B$5001=7)*(Results!$G$2:$G$5001)*1),SUMPRODUCT((Results!$A$2:$A$5001=Schedule!BM$45)*(Results!$B$2:$B$5001=8)*(Results!$G$2:$G$5001)*1),SUMPRODUCT((Results!$A$2:$A$5001=Schedule!BM$45)*(Results!$B$2:$B$5001=9)*(Results!$G$2:$G$5001)*1),SUMPRODUCT((Results!$A$2:$A$5001=Schedule!BM$45)*(Results!$B$2:$B$5001=10)*(Results!$G$2:$G$5001)*1),SUMPRODUCT((Results!$A$2:$A$5001=Schedule!BM$45)*(Results!$B$2:$B$5001=11)*(Results!$G$2:$G$5001)*1),SUMPRODUCT((Results!$A$2:$A$5001=Schedule!BM$45)*(Results!$B$2:$B$5001=12)*(Results!$G$2:$G$5001)*1),SUMPRODUCT((Results!$A$2:$A$5001=Schedule!BM$45)*(Results!$B$2:$B$5001=13)*(Results!$G$2:$G$5001)*1),SUMPRODUCT((Results!$A$2:$A$5001=Schedule!BM$45)*(Results!$B$2:$B$5001=14)*(Results!$G$2:$G$5001)*1),SUMPRODUCT((Results!$A$2:$A$5001=Schedule!BM$45)*(Results!$B$2:$B$5001=15)*(Results!$G$2:$G$5001)*1),SUMPRODUCT((Results!$A$2:$A$5001=Schedule!BM$45)*(Results!$B$2:$B$5001=16)*(Results!$G$2:$G$5001)*1),SUMPRODUCT((Results!$A$2:$A$5001=Schedule!BM$45)*(Results!$B$2:$B$5001=17)*(Results!$G$2:$G$5001)*1),SUMPRODUCT((Results!$A$2:$A$5001=Schedule!BM$45)*(Results!$B$2:$B$5001=18)*(Results!$G$2:$G$5001)*1),SUMPRODUCT((Results!$A$2:$A$5001=Schedule!BM$45)*(Results!$B$2:$B$5001=19)*(Results!$G$2:$G$5001)*1),SUMPRODUCT((Results!$A$2:$A$5001=Schedule!BM$45)*(Results!$B$2:$B$5001=20)*(Results!$G$2:$G$5001)*1))</f>
        <v>0</v>
      </c>
      <c r="BN73" s="88">
        <f>MAX(SUMPRODUCT((Results!$A$2:$A$5001=Schedule!BN$45)*(Results!$B$2:$B$5001=1)*(Results!$G$2:$G$5001)*1),SUMPRODUCT((Results!$A$2:$A$5001=Schedule!BN$45)*(Results!$B$2:$B$5001=2)*(Results!$G$2:$G$5001)*1),SUMPRODUCT((Results!$A$2:$A$5001=Schedule!BN$45)*(Results!$B$2:$B$5001=3)*(Results!$G$2:$G$5001)*1),SUMPRODUCT((Results!$A$2:$A$5001=Schedule!BN$45)*(Results!$B$2:$B$5001=4)*(Results!$G$2:$G$5001)*1),SUMPRODUCT((Results!$A$2:$A$5001=Schedule!BN$45)*(Results!$B$2:$B$5001=5)*(Results!$G$2:$G$5001)*1),SUMPRODUCT((Results!$A$2:$A$5001=Schedule!BN$45)*(Results!$B$2:$B$5001=6)*(Results!$G$2:$G$5001)*1),SUMPRODUCT((Results!$A$2:$A$5001=Schedule!BN$45)*(Results!$B$2:$B$5001=7)*(Results!$G$2:$G$5001)*1),SUMPRODUCT((Results!$A$2:$A$5001=Schedule!BN$45)*(Results!$B$2:$B$5001=8)*(Results!$G$2:$G$5001)*1),SUMPRODUCT((Results!$A$2:$A$5001=Schedule!BN$45)*(Results!$B$2:$B$5001=9)*(Results!$G$2:$G$5001)*1),SUMPRODUCT((Results!$A$2:$A$5001=Schedule!BN$45)*(Results!$B$2:$B$5001=10)*(Results!$G$2:$G$5001)*1),SUMPRODUCT((Results!$A$2:$A$5001=Schedule!BN$45)*(Results!$B$2:$B$5001=11)*(Results!$G$2:$G$5001)*1),SUMPRODUCT((Results!$A$2:$A$5001=Schedule!BN$45)*(Results!$B$2:$B$5001=12)*(Results!$G$2:$G$5001)*1),SUMPRODUCT((Results!$A$2:$A$5001=Schedule!BN$45)*(Results!$B$2:$B$5001=13)*(Results!$G$2:$G$5001)*1),SUMPRODUCT((Results!$A$2:$A$5001=Schedule!BN$45)*(Results!$B$2:$B$5001=14)*(Results!$G$2:$G$5001)*1),SUMPRODUCT((Results!$A$2:$A$5001=Schedule!BN$45)*(Results!$B$2:$B$5001=15)*(Results!$G$2:$G$5001)*1),SUMPRODUCT((Results!$A$2:$A$5001=Schedule!BN$45)*(Results!$B$2:$B$5001=16)*(Results!$G$2:$G$5001)*1),SUMPRODUCT((Results!$A$2:$A$5001=Schedule!BN$45)*(Results!$B$2:$B$5001=17)*(Results!$G$2:$G$5001)*1),SUMPRODUCT((Results!$A$2:$A$5001=Schedule!BN$45)*(Results!$B$2:$B$5001=18)*(Results!$G$2:$G$5001)*1),SUMPRODUCT((Results!$A$2:$A$5001=Schedule!BN$45)*(Results!$B$2:$B$5001=19)*(Results!$G$2:$G$5001)*1),SUMPRODUCT((Results!$A$2:$A$5001=Schedule!BN$45)*(Results!$B$2:$B$5001=20)*(Results!$G$2:$G$5001)*1))</f>
        <v>0</v>
      </c>
      <c r="BO73" s="88">
        <f>MAX(SUMPRODUCT((Results!$A$2:$A$5001=Schedule!BO$45)*(Results!$B$2:$B$5001=1)*(Results!$G$2:$G$5001)*1),SUMPRODUCT((Results!$A$2:$A$5001=Schedule!BO$45)*(Results!$B$2:$B$5001=2)*(Results!$G$2:$G$5001)*1),SUMPRODUCT((Results!$A$2:$A$5001=Schedule!BO$45)*(Results!$B$2:$B$5001=3)*(Results!$G$2:$G$5001)*1),SUMPRODUCT((Results!$A$2:$A$5001=Schedule!BO$45)*(Results!$B$2:$B$5001=4)*(Results!$G$2:$G$5001)*1),SUMPRODUCT((Results!$A$2:$A$5001=Schedule!BO$45)*(Results!$B$2:$B$5001=5)*(Results!$G$2:$G$5001)*1),SUMPRODUCT((Results!$A$2:$A$5001=Schedule!BO$45)*(Results!$B$2:$B$5001=6)*(Results!$G$2:$G$5001)*1),SUMPRODUCT((Results!$A$2:$A$5001=Schedule!BO$45)*(Results!$B$2:$B$5001=7)*(Results!$G$2:$G$5001)*1),SUMPRODUCT((Results!$A$2:$A$5001=Schedule!BO$45)*(Results!$B$2:$B$5001=8)*(Results!$G$2:$G$5001)*1),SUMPRODUCT((Results!$A$2:$A$5001=Schedule!BO$45)*(Results!$B$2:$B$5001=9)*(Results!$G$2:$G$5001)*1),SUMPRODUCT((Results!$A$2:$A$5001=Schedule!BO$45)*(Results!$B$2:$B$5001=10)*(Results!$G$2:$G$5001)*1),SUMPRODUCT((Results!$A$2:$A$5001=Schedule!BO$45)*(Results!$B$2:$B$5001=11)*(Results!$G$2:$G$5001)*1),SUMPRODUCT((Results!$A$2:$A$5001=Schedule!BO$45)*(Results!$B$2:$B$5001=12)*(Results!$G$2:$G$5001)*1),SUMPRODUCT((Results!$A$2:$A$5001=Schedule!BO$45)*(Results!$B$2:$B$5001=13)*(Results!$G$2:$G$5001)*1),SUMPRODUCT((Results!$A$2:$A$5001=Schedule!BO$45)*(Results!$B$2:$B$5001=14)*(Results!$G$2:$G$5001)*1),SUMPRODUCT((Results!$A$2:$A$5001=Schedule!BO$45)*(Results!$B$2:$B$5001=15)*(Results!$G$2:$G$5001)*1),SUMPRODUCT((Results!$A$2:$A$5001=Schedule!BO$45)*(Results!$B$2:$B$5001=16)*(Results!$G$2:$G$5001)*1),SUMPRODUCT((Results!$A$2:$A$5001=Schedule!BO$45)*(Results!$B$2:$B$5001=17)*(Results!$G$2:$G$5001)*1),SUMPRODUCT((Results!$A$2:$A$5001=Schedule!BO$45)*(Results!$B$2:$B$5001=18)*(Results!$G$2:$G$5001)*1),SUMPRODUCT((Results!$A$2:$A$5001=Schedule!BO$45)*(Results!$B$2:$B$5001=19)*(Results!$G$2:$G$5001)*1),SUMPRODUCT((Results!$A$2:$A$5001=Schedule!BO$45)*(Results!$B$2:$B$5001=20)*(Results!$G$2:$G$5001)*1))</f>
        <v>0</v>
      </c>
      <c r="BP73" s="88">
        <f>MAX(SUMPRODUCT((Results!$A$2:$A$5001=Schedule!BP$45)*(Results!$B$2:$B$5001=1)*(Results!$G$2:$G$5001)*1),SUMPRODUCT((Results!$A$2:$A$5001=Schedule!BP$45)*(Results!$B$2:$B$5001=2)*(Results!$G$2:$G$5001)*1),SUMPRODUCT((Results!$A$2:$A$5001=Schedule!BP$45)*(Results!$B$2:$B$5001=3)*(Results!$G$2:$G$5001)*1),SUMPRODUCT((Results!$A$2:$A$5001=Schedule!BP$45)*(Results!$B$2:$B$5001=4)*(Results!$G$2:$G$5001)*1),SUMPRODUCT((Results!$A$2:$A$5001=Schedule!BP$45)*(Results!$B$2:$B$5001=5)*(Results!$G$2:$G$5001)*1),SUMPRODUCT((Results!$A$2:$A$5001=Schedule!BP$45)*(Results!$B$2:$B$5001=6)*(Results!$G$2:$G$5001)*1),SUMPRODUCT((Results!$A$2:$A$5001=Schedule!BP$45)*(Results!$B$2:$B$5001=7)*(Results!$G$2:$G$5001)*1),SUMPRODUCT((Results!$A$2:$A$5001=Schedule!BP$45)*(Results!$B$2:$B$5001=8)*(Results!$G$2:$G$5001)*1),SUMPRODUCT((Results!$A$2:$A$5001=Schedule!BP$45)*(Results!$B$2:$B$5001=9)*(Results!$G$2:$G$5001)*1),SUMPRODUCT((Results!$A$2:$A$5001=Schedule!BP$45)*(Results!$B$2:$B$5001=10)*(Results!$G$2:$G$5001)*1),SUMPRODUCT((Results!$A$2:$A$5001=Schedule!BP$45)*(Results!$B$2:$B$5001=11)*(Results!$G$2:$G$5001)*1),SUMPRODUCT((Results!$A$2:$A$5001=Schedule!BP$45)*(Results!$B$2:$B$5001=12)*(Results!$G$2:$G$5001)*1),SUMPRODUCT((Results!$A$2:$A$5001=Schedule!BP$45)*(Results!$B$2:$B$5001=13)*(Results!$G$2:$G$5001)*1),SUMPRODUCT((Results!$A$2:$A$5001=Schedule!BP$45)*(Results!$B$2:$B$5001=14)*(Results!$G$2:$G$5001)*1),SUMPRODUCT((Results!$A$2:$A$5001=Schedule!BP$45)*(Results!$B$2:$B$5001=15)*(Results!$G$2:$G$5001)*1),SUMPRODUCT((Results!$A$2:$A$5001=Schedule!BP$45)*(Results!$B$2:$B$5001=16)*(Results!$G$2:$G$5001)*1),SUMPRODUCT((Results!$A$2:$A$5001=Schedule!BP$45)*(Results!$B$2:$B$5001=17)*(Results!$G$2:$G$5001)*1),SUMPRODUCT((Results!$A$2:$A$5001=Schedule!BP$45)*(Results!$B$2:$B$5001=18)*(Results!$G$2:$G$5001)*1),SUMPRODUCT((Results!$A$2:$A$5001=Schedule!BP$45)*(Results!$B$2:$B$5001=19)*(Results!$G$2:$G$5001)*1),SUMPRODUCT((Results!$A$2:$A$5001=Schedule!BP$45)*(Results!$B$2:$B$5001=20)*(Results!$G$2:$G$5001)*1))</f>
        <v>0</v>
      </c>
      <c r="BQ73" s="88">
        <f>MAX(SUMPRODUCT((Results!$A$2:$A$5001=Schedule!BQ$45)*(Results!$B$2:$B$5001=1)*(Results!$G$2:$G$5001)*1),SUMPRODUCT((Results!$A$2:$A$5001=Schedule!BQ$45)*(Results!$B$2:$B$5001=2)*(Results!$G$2:$G$5001)*1),SUMPRODUCT((Results!$A$2:$A$5001=Schedule!BQ$45)*(Results!$B$2:$B$5001=3)*(Results!$G$2:$G$5001)*1),SUMPRODUCT((Results!$A$2:$A$5001=Schedule!BQ$45)*(Results!$B$2:$B$5001=4)*(Results!$G$2:$G$5001)*1),SUMPRODUCT((Results!$A$2:$A$5001=Schedule!BQ$45)*(Results!$B$2:$B$5001=5)*(Results!$G$2:$G$5001)*1),SUMPRODUCT((Results!$A$2:$A$5001=Schedule!BQ$45)*(Results!$B$2:$B$5001=6)*(Results!$G$2:$G$5001)*1),SUMPRODUCT((Results!$A$2:$A$5001=Schedule!BQ$45)*(Results!$B$2:$B$5001=7)*(Results!$G$2:$G$5001)*1),SUMPRODUCT((Results!$A$2:$A$5001=Schedule!BQ$45)*(Results!$B$2:$B$5001=8)*(Results!$G$2:$G$5001)*1),SUMPRODUCT((Results!$A$2:$A$5001=Schedule!BQ$45)*(Results!$B$2:$B$5001=9)*(Results!$G$2:$G$5001)*1),SUMPRODUCT((Results!$A$2:$A$5001=Schedule!BQ$45)*(Results!$B$2:$B$5001=10)*(Results!$G$2:$G$5001)*1),SUMPRODUCT((Results!$A$2:$A$5001=Schedule!BQ$45)*(Results!$B$2:$B$5001=11)*(Results!$G$2:$G$5001)*1),SUMPRODUCT((Results!$A$2:$A$5001=Schedule!BQ$45)*(Results!$B$2:$B$5001=12)*(Results!$G$2:$G$5001)*1),SUMPRODUCT((Results!$A$2:$A$5001=Schedule!BQ$45)*(Results!$B$2:$B$5001=13)*(Results!$G$2:$G$5001)*1),SUMPRODUCT((Results!$A$2:$A$5001=Schedule!BQ$45)*(Results!$B$2:$B$5001=14)*(Results!$G$2:$G$5001)*1),SUMPRODUCT((Results!$A$2:$A$5001=Schedule!BQ$45)*(Results!$B$2:$B$5001=15)*(Results!$G$2:$G$5001)*1),SUMPRODUCT((Results!$A$2:$A$5001=Schedule!BQ$45)*(Results!$B$2:$B$5001=16)*(Results!$G$2:$G$5001)*1),SUMPRODUCT((Results!$A$2:$A$5001=Schedule!BQ$45)*(Results!$B$2:$B$5001=17)*(Results!$G$2:$G$5001)*1),SUMPRODUCT((Results!$A$2:$A$5001=Schedule!BQ$45)*(Results!$B$2:$B$5001=18)*(Results!$G$2:$G$5001)*1),SUMPRODUCT((Results!$A$2:$A$5001=Schedule!BQ$45)*(Results!$B$2:$B$5001=19)*(Results!$G$2:$G$5001)*1),SUMPRODUCT((Results!$A$2:$A$5001=Schedule!BQ$45)*(Results!$B$2:$B$5001=20)*(Results!$G$2:$G$5001)*1))</f>
        <v>0</v>
      </c>
      <c r="BR73" s="88">
        <f>MAX(SUMPRODUCT((Results!$A$2:$A$5001=Schedule!BR$45)*(Results!$B$2:$B$5001=1)*(Results!$G$2:$G$5001)*1),SUMPRODUCT((Results!$A$2:$A$5001=Schedule!BR$45)*(Results!$B$2:$B$5001=2)*(Results!$G$2:$G$5001)*1),SUMPRODUCT((Results!$A$2:$A$5001=Schedule!BR$45)*(Results!$B$2:$B$5001=3)*(Results!$G$2:$G$5001)*1),SUMPRODUCT((Results!$A$2:$A$5001=Schedule!BR$45)*(Results!$B$2:$B$5001=4)*(Results!$G$2:$G$5001)*1),SUMPRODUCT((Results!$A$2:$A$5001=Schedule!BR$45)*(Results!$B$2:$B$5001=5)*(Results!$G$2:$G$5001)*1),SUMPRODUCT((Results!$A$2:$A$5001=Schedule!BR$45)*(Results!$B$2:$B$5001=6)*(Results!$G$2:$G$5001)*1),SUMPRODUCT((Results!$A$2:$A$5001=Schedule!BR$45)*(Results!$B$2:$B$5001=7)*(Results!$G$2:$G$5001)*1),SUMPRODUCT((Results!$A$2:$A$5001=Schedule!BR$45)*(Results!$B$2:$B$5001=8)*(Results!$G$2:$G$5001)*1),SUMPRODUCT((Results!$A$2:$A$5001=Schedule!BR$45)*(Results!$B$2:$B$5001=9)*(Results!$G$2:$G$5001)*1),SUMPRODUCT((Results!$A$2:$A$5001=Schedule!BR$45)*(Results!$B$2:$B$5001=10)*(Results!$G$2:$G$5001)*1),SUMPRODUCT((Results!$A$2:$A$5001=Schedule!BR$45)*(Results!$B$2:$B$5001=11)*(Results!$G$2:$G$5001)*1),SUMPRODUCT((Results!$A$2:$A$5001=Schedule!BR$45)*(Results!$B$2:$B$5001=12)*(Results!$G$2:$G$5001)*1),SUMPRODUCT((Results!$A$2:$A$5001=Schedule!BR$45)*(Results!$B$2:$B$5001=13)*(Results!$G$2:$G$5001)*1),SUMPRODUCT((Results!$A$2:$A$5001=Schedule!BR$45)*(Results!$B$2:$B$5001=14)*(Results!$G$2:$G$5001)*1),SUMPRODUCT((Results!$A$2:$A$5001=Schedule!BR$45)*(Results!$B$2:$B$5001=15)*(Results!$G$2:$G$5001)*1),SUMPRODUCT((Results!$A$2:$A$5001=Schedule!BR$45)*(Results!$B$2:$B$5001=16)*(Results!$G$2:$G$5001)*1),SUMPRODUCT((Results!$A$2:$A$5001=Schedule!BR$45)*(Results!$B$2:$B$5001=17)*(Results!$G$2:$G$5001)*1),SUMPRODUCT((Results!$A$2:$A$5001=Schedule!BR$45)*(Results!$B$2:$B$5001=18)*(Results!$G$2:$G$5001)*1),SUMPRODUCT((Results!$A$2:$A$5001=Schedule!BR$45)*(Results!$B$2:$B$5001=19)*(Results!$G$2:$G$5001)*1),SUMPRODUCT((Results!$A$2:$A$5001=Schedule!BR$45)*(Results!$B$2:$B$5001=20)*(Results!$G$2:$G$5001)*1))</f>
        <v>0</v>
      </c>
      <c r="BS73" s="88">
        <f>MAX(SUMPRODUCT((Results!$A$2:$A$5001=Schedule!BS$45)*(Results!$B$2:$B$5001=1)*(Results!$G$2:$G$5001)*1),SUMPRODUCT((Results!$A$2:$A$5001=Schedule!BS$45)*(Results!$B$2:$B$5001=2)*(Results!$G$2:$G$5001)*1),SUMPRODUCT((Results!$A$2:$A$5001=Schedule!BS$45)*(Results!$B$2:$B$5001=3)*(Results!$G$2:$G$5001)*1),SUMPRODUCT((Results!$A$2:$A$5001=Schedule!BS$45)*(Results!$B$2:$B$5001=4)*(Results!$G$2:$G$5001)*1),SUMPRODUCT((Results!$A$2:$A$5001=Schedule!BS$45)*(Results!$B$2:$B$5001=5)*(Results!$G$2:$G$5001)*1),SUMPRODUCT((Results!$A$2:$A$5001=Schedule!BS$45)*(Results!$B$2:$B$5001=6)*(Results!$G$2:$G$5001)*1),SUMPRODUCT((Results!$A$2:$A$5001=Schedule!BS$45)*(Results!$B$2:$B$5001=7)*(Results!$G$2:$G$5001)*1),SUMPRODUCT((Results!$A$2:$A$5001=Schedule!BS$45)*(Results!$B$2:$B$5001=8)*(Results!$G$2:$G$5001)*1),SUMPRODUCT((Results!$A$2:$A$5001=Schedule!BS$45)*(Results!$B$2:$B$5001=9)*(Results!$G$2:$G$5001)*1),SUMPRODUCT((Results!$A$2:$A$5001=Schedule!BS$45)*(Results!$B$2:$B$5001=10)*(Results!$G$2:$G$5001)*1),SUMPRODUCT((Results!$A$2:$A$5001=Schedule!BS$45)*(Results!$B$2:$B$5001=11)*(Results!$G$2:$G$5001)*1),SUMPRODUCT((Results!$A$2:$A$5001=Schedule!BS$45)*(Results!$B$2:$B$5001=12)*(Results!$G$2:$G$5001)*1),SUMPRODUCT((Results!$A$2:$A$5001=Schedule!BS$45)*(Results!$B$2:$B$5001=13)*(Results!$G$2:$G$5001)*1),SUMPRODUCT((Results!$A$2:$A$5001=Schedule!BS$45)*(Results!$B$2:$B$5001=14)*(Results!$G$2:$G$5001)*1),SUMPRODUCT((Results!$A$2:$A$5001=Schedule!BS$45)*(Results!$B$2:$B$5001=15)*(Results!$G$2:$G$5001)*1),SUMPRODUCT((Results!$A$2:$A$5001=Schedule!BS$45)*(Results!$B$2:$B$5001=16)*(Results!$G$2:$G$5001)*1),SUMPRODUCT((Results!$A$2:$A$5001=Schedule!BS$45)*(Results!$B$2:$B$5001=17)*(Results!$G$2:$G$5001)*1),SUMPRODUCT((Results!$A$2:$A$5001=Schedule!BS$45)*(Results!$B$2:$B$5001=18)*(Results!$G$2:$G$5001)*1),SUMPRODUCT((Results!$A$2:$A$5001=Schedule!BS$45)*(Results!$B$2:$B$5001=19)*(Results!$G$2:$G$5001)*1),SUMPRODUCT((Results!$A$2:$A$5001=Schedule!BS$45)*(Results!$B$2:$B$5001=20)*(Results!$G$2:$G$5001)*1))</f>
        <v>0</v>
      </c>
      <c r="BT73" s="88">
        <f>MAX(SUMPRODUCT((Results!$A$2:$A$5001=Schedule!BT$45)*(Results!$B$2:$B$5001=1)*(Results!$G$2:$G$5001)*1),SUMPRODUCT((Results!$A$2:$A$5001=Schedule!BT$45)*(Results!$B$2:$B$5001=2)*(Results!$G$2:$G$5001)*1),SUMPRODUCT((Results!$A$2:$A$5001=Schedule!BT$45)*(Results!$B$2:$B$5001=3)*(Results!$G$2:$G$5001)*1),SUMPRODUCT((Results!$A$2:$A$5001=Schedule!BT$45)*(Results!$B$2:$B$5001=4)*(Results!$G$2:$G$5001)*1),SUMPRODUCT((Results!$A$2:$A$5001=Schedule!BT$45)*(Results!$B$2:$B$5001=5)*(Results!$G$2:$G$5001)*1),SUMPRODUCT((Results!$A$2:$A$5001=Schedule!BT$45)*(Results!$B$2:$B$5001=6)*(Results!$G$2:$G$5001)*1),SUMPRODUCT((Results!$A$2:$A$5001=Schedule!BT$45)*(Results!$B$2:$B$5001=7)*(Results!$G$2:$G$5001)*1),SUMPRODUCT((Results!$A$2:$A$5001=Schedule!BT$45)*(Results!$B$2:$B$5001=8)*(Results!$G$2:$G$5001)*1),SUMPRODUCT((Results!$A$2:$A$5001=Schedule!BT$45)*(Results!$B$2:$B$5001=9)*(Results!$G$2:$G$5001)*1),SUMPRODUCT((Results!$A$2:$A$5001=Schedule!BT$45)*(Results!$B$2:$B$5001=10)*(Results!$G$2:$G$5001)*1),SUMPRODUCT((Results!$A$2:$A$5001=Schedule!BT$45)*(Results!$B$2:$B$5001=11)*(Results!$G$2:$G$5001)*1),SUMPRODUCT((Results!$A$2:$A$5001=Schedule!BT$45)*(Results!$B$2:$B$5001=12)*(Results!$G$2:$G$5001)*1),SUMPRODUCT((Results!$A$2:$A$5001=Schedule!BT$45)*(Results!$B$2:$B$5001=13)*(Results!$G$2:$G$5001)*1),SUMPRODUCT((Results!$A$2:$A$5001=Schedule!BT$45)*(Results!$B$2:$B$5001=14)*(Results!$G$2:$G$5001)*1),SUMPRODUCT((Results!$A$2:$A$5001=Schedule!BT$45)*(Results!$B$2:$B$5001=15)*(Results!$G$2:$G$5001)*1),SUMPRODUCT((Results!$A$2:$A$5001=Schedule!BT$45)*(Results!$B$2:$B$5001=16)*(Results!$G$2:$G$5001)*1),SUMPRODUCT((Results!$A$2:$A$5001=Schedule!BT$45)*(Results!$B$2:$B$5001=17)*(Results!$G$2:$G$5001)*1),SUMPRODUCT((Results!$A$2:$A$5001=Schedule!BT$45)*(Results!$B$2:$B$5001=18)*(Results!$G$2:$G$5001)*1),SUMPRODUCT((Results!$A$2:$A$5001=Schedule!BT$45)*(Results!$B$2:$B$5001=19)*(Results!$G$2:$G$5001)*1),SUMPRODUCT((Results!$A$2:$A$5001=Schedule!BT$45)*(Results!$B$2:$B$5001=20)*(Results!$G$2:$G$5001)*1))</f>
        <v>0</v>
      </c>
      <c r="BU73" s="88">
        <f>MAX(SUMPRODUCT((Results!$A$2:$A$5001=Schedule!BU$45)*(Results!$B$2:$B$5001=1)*(Results!$G$2:$G$5001)*1),SUMPRODUCT((Results!$A$2:$A$5001=Schedule!BU$45)*(Results!$B$2:$B$5001=2)*(Results!$G$2:$G$5001)*1),SUMPRODUCT((Results!$A$2:$A$5001=Schedule!BU$45)*(Results!$B$2:$B$5001=3)*(Results!$G$2:$G$5001)*1),SUMPRODUCT((Results!$A$2:$A$5001=Schedule!BU$45)*(Results!$B$2:$B$5001=4)*(Results!$G$2:$G$5001)*1),SUMPRODUCT((Results!$A$2:$A$5001=Schedule!BU$45)*(Results!$B$2:$B$5001=5)*(Results!$G$2:$G$5001)*1),SUMPRODUCT((Results!$A$2:$A$5001=Schedule!BU$45)*(Results!$B$2:$B$5001=6)*(Results!$G$2:$G$5001)*1),SUMPRODUCT((Results!$A$2:$A$5001=Schedule!BU$45)*(Results!$B$2:$B$5001=7)*(Results!$G$2:$G$5001)*1),SUMPRODUCT((Results!$A$2:$A$5001=Schedule!BU$45)*(Results!$B$2:$B$5001=8)*(Results!$G$2:$G$5001)*1),SUMPRODUCT((Results!$A$2:$A$5001=Schedule!BU$45)*(Results!$B$2:$B$5001=9)*(Results!$G$2:$G$5001)*1),SUMPRODUCT((Results!$A$2:$A$5001=Schedule!BU$45)*(Results!$B$2:$B$5001=10)*(Results!$G$2:$G$5001)*1),SUMPRODUCT((Results!$A$2:$A$5001=Schedule!BU$45)*(Results!$B$2:$B$5001=11)*(Results!$G$2:$G$5001)*1),SUMPRODUCT((Results!$A$2:$A$5001=Schedule!BU$45)*(Results!$B$2:$B$5001=12)*(Results!$G$2:$G$5001)*1),SUMPRODUCT((Results!$A$2:$A$5001=Schedule!BU$45)*(Results!$B$2:$B$5001=13)*(Results!$G$2:$G$5001)*1),SUMPRODUCT((Results!$A$2:$A$5001=Schedule!BU$45)*(Results!$B$2:$B$5001=14)*(Results!$G$2:$G$5001)*1),SUMPRODUCT((Results!$A$2:$A$5001=Schedule!BU$45)*(Results!$B$2:$B$5001=15)*(Results!$G$2:$G$5001)*1),SUMPRODUCT((Results!$A$2:$A$5001=Schedule!BU$45)*(Results!$B$2:$B$5001=16)*(Results!$G$2:$G$5001)*1),SUMPRODUCT((Results!$A$2:$A$5001=Schedule!BU$45)*(Results!$B$2:$B$5001=17)*(Results!$G$2:$G$5001)*1),SUMPRODUCT((Results!$A$2:$A$5001=Schedule!BU$45)*(Results!$B$2:$B$5001=18)*(Results!$G$2:$G$5001)*1),SUMPRODUCT((Results!$A$2:$A$5001=Schedule!BU$45)*(Results!$B$2:$B$5001=19)*(Results!$G$2:$G$5001)*1),SUMPRODUCT((Results!$A$2:$A$5001=Schedule!BU$45)*(Results!$B$2:$B$5001=20)*(Results!$G$2:$G$5001)*1))</f>
        <v>0</v>
      </c>
      <c r="BV73" s="88">
        <f>MAX(SUMPRODUCT((Results!$A$2:$A$5001=Schedule!BV$45)*(Results!$B$2:$B$5001=1)*(Results!$G$2:$G$5001)*1),SUMPRODUCT((Results!$A$2:$A$5001=Schedule!BV$45)*(Results!$B$2:$B$5001=2)*(Results!$G$2:$G$5001)*1),SUMPRODUCT((Results!$A$2:$A$5001=Schedule!BV$45)*(Results!$B$2:$B$5001=3)*(Results!$G$2:$G$5001)*1),SUMPRODUCT((Results!$A$2:$A$5001=Schedule!BV$45)*(Results!$B$2:$B$5001=4)*(Results!$G$2:$G$5001)*1),SUMPRODUCT((Results!$A$2:$A$5001=Schedule!BV$45)*(Results!$B$2:$B$5001=5)*(Results!$G$2:$G$5001)*1),SUMPRODUCT((Results!$A$2:$A$5001=Schedule!BV$45)*(Results!$B$2:$B$5001=6)*(Results!$G$2:$G$5001)*1),SUMPRODUCT((Results!$A$2:$A$5001=Schedule!BV$45)*(Results!$B$2:$B$5001=7)*(Results!$G$2:$G$5001)*1),SUMPRODUCT((Results!$A$2:$A$5001=Schedule!BV$45)*(Results!$B$2:$B$5001=8)*(Results!$G$2:$G$5001)*1),SUMPRODUCT((Results!$A$2:$A$5001=Schedule!BV$45)*(Results!$B$2:$B$5001=9)*(Results!$G$2:$G$5001)*1),SUMPRODUCT((Results!$A$2:$A$5001=Schedule!BV$45)*(Results!$B$2:$B$5001=10)*(Results!$G$2:$G$5001)*1),SUMPRODUCT((Results!$A$2:$A$5001=Schedule!BV$45)*(Results!$B$2:$B$5001=11)*(Results!$G$2:$G$5001)*1),SUMPRODUCT((Results!$A$2:$A$5001=Schedule!BV$45)*(Results!$B$2:$B$5001=12)*(Results!$G$2:$G$5001)*1),SUMPRODUCT((Results!$A$2:$A$5001=Schedule!BV$45)*(Results!$B$2:$B$5001=13)*(Results!$G$2:$G$5001)*1),SUMPRODUCT((Results!$A$2:$A$5001=Schedule!BV$45)*(Results!$B$2:$B$5001=14)*(Results!$G$2:$G$5001)*1),SUMPRODUCT((Results!$A$2:$A$5001=Schedule!BV$45)*(Results!$B$2:$B$5001=15)*(Results!$G$2:$G$5001)*1),SUMPRODUCT((Results!$A$2:$A$5001=Schedule!BV$45)*(Results!$B$2:$B$5001=16)*(Results!$G$2:$G$5001)*1),SUMPRODUCT((Results!$A$2:$A$5001=Schedule!BV$45)*(Results!$B$2:$B$5001=17)*(Results!$G$2:$G$5001)*1),SUMPRODUCT((Results!$A$2:$A$5001=Schedule!BV$45)*(Results!$B$2:$B$5001=18)*(Results!$G$2:$G$5001)*1),SUMPRODUCT((Results!$A$2:$A$5001=Schedule!BV$45)*(Results!$B$2:$B$5001=19)*(Results!$G$2:$G$5001)*1),SUMPRODUCT((Results!$A$2:$A$5001=Schedule!BV$45)*(Results!$B$2:$B$5001=20)*(Results!$G$2:$G$5001)*1))</f>
        <v>0</v>
      </c>
      <c r="BW73" s="88">
        <f>MAX(SUMPRODUCT((Results!$A$2:$A$5001=Schedule!BW$45)*(Results!$B$2:$B$5001=1)*(Results!$G$2:$G$5001)*1),SUMPRODUCT((Results!$A$2:$A$5001=Schedule!BW$45)*(Results!$B$2:$B$5001=2)*(Results!$G$2:$G$5001)*1),SUMPRODUCT((Results!$A$2:$A$5001=Schedule!BW$45)*(Results!$B$2:$B$5001=3)*(Results!$G$2:$G$5001)*1),SUMPRODUCT((Results!$A$2:$A$5001=Schedule!BW$45)*(Results!$B$2:$B$5001=4)*(Results!$G$2:$G$5001)*1),SUMPRODUCT((Results!$A$2:$A$5001=Schedule!BW$45)*(Results!$B$2:$B$5001=5)*(Results!$G$2:$G$5001)*1),SUMPRODUCT((Results!$A$2:$A$5001=Schedule!BW$45)*(Results!$B$2:$B$5001=6)*(Results!$G$2:$G$5001)*1),SUMPRODUCT((Results!$A$2:$A$5001=Schedule!BW$45)*(Results!$B$2:$B$5001=7)*(Results!$G$2:$G$5001)*1),SUMPRODUCT((Results!$A$2:$A$5001=Schedule!BW$45)*(Results!$B$2:$B$5001=8)*(Results!$G$2:$G$5001)*1),SUMPRODUCT((Results!$A$2:$A$5001=Schedule!BW$45)*(Results!$B$2:$B$5001=9)*(Results!$G$2:$G$5001)*1),SUMPRODUCT((Results!$A$2:$A$5001=Schedule!BW$45)*(Results!$B$2:$B$5001=10)*(Results!$G$2:$G$5001)*1),SUMPRODUCT((Results!$A$2:$A$5001=Schedule!BW$45)*(Results!$B$2:$B$5001=11)*(Results!$G$2:$G$5001)*1),SUMPRODUCT((Results!$A$2:$A$5001=Schedule!BW$45)*(Results!$B$2:$B$5001=12)*(Results!$G$2:$G$5001)*1),SUMPRODUCT((Results!$A$2:$A$5001=Schedule!BW$45)*(Results!$B$2:$B$5001=13)*(Results!$G$2:$G$5001)*1),SUMPRODUCT((Results!$A$2:$A$5001=Schedule!BW$45)*(Results!$B$2:$B$5001=14)*(Results!$G$2:$G$5001)*1),SUMPRODUCT((Results!$A$2:$A$5001=Schedule!BW$45)*(Results!$B$2:$B$5001=15)*(Results!$G$2:$G$5001)*1),SUMPRODUCT((Results!$A$2:$A$5001=Schedule!BW$45)*(Results!$B$2:$B$5001=16)*(Results!$G$2:$G$5001)*1),SUMPRODUCT((Results!$A$2:$A$5001=Schedule!BW$45)*(Results!$B$2:$B$5001=17)*(Results!$G$2:$G$5001)*1),SUMPRODUCT((Results!$A$2:$A$5001=Schedule!BW$45)*(Results!$B$2:$B$5001=18)*(Results!$G$2:$G$5001)*1),SUMPRODUCT((Results!$A$2:$A$5001=Schedule!BW$45)*(Results!$B$2:$B$5001=19)*(Results!$G$2:$G$5001)*1),SUMPRODUCT((Results!$A$2:$A$5001=Schedule!BW$45)*(Results!$B$2:$B$5001=20)*(Results!$G$2:$G$5001)*1))</f>
        <v>0</v>
      </c>
      <c r="BX73" s="88">
        <f>MAX(SUMPRODUCT((Results!$A$2:$A$5001=Schedule!BX$45)*(Results!$B$2:$B$5001=1)*(Results!$G$2:$G$5001)*1),SUMPRODUCT((Results!$A$2:$A$5001=Schedule!BX$45)*(Results!$B$2:$B$5001=2)*(Results!$G$2:$G$5001)*1),SUMPRODUCT((Results!$A$2:$A$5001=Schedule!BX$45)*(Results!$B$2:$B$5001=3)*(Results!$G$2:$G$5001)*1),SUMPRODUCT((Results!$A$2:$A$5001=Schedule!BX$45)*(Results!$B$2:$B$5001=4)*(Results!$G$2:$G$5001)*1),SUMPRODUCT((Results!$A$2:$A$5001=Schedule!BX$45)*(Results!$B$2:$B$5001=5)*(Results!$G$2:$G$5001)*1),SUMPRODUCT((Results!$A$2:$A$5001=Schedule!BX$45)*(Results!$B$2:$B$5001=6)*(Results!$G$2:$G$5001)*1),SUMPRODUCT((Results!$A$2:$A$5001=Schedule!BX$45)*(Results!$B$2:$B$5001=7)*(Results!$G$2:$G$5001)*1),SUMPRODUCT((Results!$A$2:$A$5001=Schedule!BX$45)*(Results!$B$2:$B$5001=8)*(Results!$G$2:$G$5001)*1),SUMPRODUCT((Results!$A$2:$A$5001=Schedule!BX$45)*(Results!$B$2:$B$5001=9)*(Results!$G$2:$G$5001)*1),SUMPRODUCT((Results!$A$2:$A$5001=Schedule!BX$45)*(Results!$B$2:$B$5001=10)*(Results!$G$2:$G$5001)*1),SUMPRODUCT((Results!$A$2:$A$5001=Schedule!BX$45)*(Results!$B$2:$B$5001=11)*(Results!$G$2:$G$5001)*1),SUMPRODUCT((Results!$A$2:$A$5001=Schedule!BX$45)*(Results!$B$2:$B$5001=12)*(Results!$G$2:$G$5001)*1),SUMPRODUCT((Results!$A$2:$A$5001=Schedule!BX$45)*(Results!$B$2:$B$5001=13)*(Results!$G$2:$G$5001)*1),SUMPRODUCT((Results!$A$2:$A$5001=Schedule!BX$45)*(Results!$B$2:$B$5001=14)*(Results!$G$2:$G$5001)*1),SUMPRODUCT((Results!$A$2:$A$5001=Schedule!BX$45)*(Results!$B$2:$B$5001=15)*(Results!$G$2:$G$5001)*1),SUMPRODUCT((Results!$A$2:$A$5001=Schedule!BX$45)*(Results!$B$2:$B$5001=16)*(Results!$G$2:$G$5001)*1),SUMPRODUCT((Results!$A$2:$A$5001=Schedule!BX$45)*(Results!$B$2:$B$5001=17)*(Results!$G$2:$G$5001)*1),SUMPRODUCT((Results!$A$2:$A$5001=Schedule!BX$45)*(Results!$B$2:$B$5001=18)*(Results!$G$2:$G$5001)*1),SUMPRODUCT((Results!$A$2:$A$5001=Schedule!BX$45)*(Results!$B$2:$B$5001=19)*(Results!$G$2:$G$5001)*1),SUMPRODUCT((Results!$A$2:$A$5001=Schedule!BX$45)*(Results!$B$2:$B$5001=20)*(Results!$G$2:$G$5001)*1))</f>
        <v>0</v>
      </c>
      <c r="BY73" s="88">
        <f>MAX(SUMPRODUCT((Results!$A$2:$A$5001=Schedule!BY$45)*(Results!$B$2:$B$5001=1)*(Results!$G$2:$G$5001)*1),SUMPRODUCT((Results!$A$2:$A$5001=Schedule!BY$45)*(Results!$B$2:$B$5001=2)*(Results!$G$2:$G$5001)*1),SUMPRODUCT((Results!$A$2:$A$5001=Schedule!BY$45)*(Results!$B$2:$B$5001=3)*(Results!$G$2:$G$5001)*1),SUMPRODUCT((Results!$A$2:$A$5001=Schedule!BY$45)*(Results!$B$2:$B$5001=4)*(Results!$G$2:$G$5001)*1),SUMPRODUCT((Results!$A$2:$A$5001=Schedule!BY$45)*(Results!$B$2:$B$5001=5)*(Results!$G$2:$G$5001)*1),SUMPRODUCT((Results!$A$2:$A$5001=Schedule!BY$45)*(Results!$B$2:$B$5001=6)*(Results!$G$2:$G$5001)*1),SUMPRODUCT((Results!$A$2:$A$5001=Schedule!BY$45)*(Results!$B$2:$B$5001=7)*(Results!$G$2:$G$5001)*1),SUMPRODUCT((Results!$A$2:$A$5001=Schedule!BY$45)*(Results!$B$2:$B$5001=8)*(Results!$G$2:$G$5001)*1),SUMPRODUCT((Results!$A$2:$A$5001=Schedule!BY$45)*(Results!$B$2:$B$5001=9)*(Results!$G$2:$G$5001)*1),SUMPRODUCT((Results!$A$2:$A$5001=Schedule!BY$45)*(Results!$B$2:$B$5001=10)*(Results!$G$2:$G$5001)*1),SUMPRODUCT((Results!$A$2:$A$5001=Schedule!BY$45)*(Results!$B$2:$B$5001=11)*(Results!$G$2:$G$5001)*1),SUMPRODUCT((Results!$A$2:$A$5001=Schedule!BY$45)*(Results!$B$2:$B$5001=12)*(Results!$G$2:$G$5001)*1),SUMPRODUCT((Results!$A$2:$A$5001=Schedule!BY$45)*(Results!$B$2:$B$5001=13)*(Results!$G$2:$G$5001)*1),SUMPRODUCT((Results!$A$2:$A$5001=Schedule!BY$45)*(Results!$B$2:$B$5001=14)*(Results!$G$2:$G$5001)*1),SUMPRODUCT((Results!$A$2:$A$5001=Schedule!BY$45)*(Results!$B$2:$B$5001=15)*(Results!$G$2:$G$5001)*1),SUMPRODUCT((Results!$A$2:$A$5001=Schedule!BY$45)*(Results!$B$2:$B$5001=16)*(Results!$G$2:$G$5001)*1),SUMPRODUCT((Results!$A$2:$A$5001=Schedule!BY$45)*(Results!$B$2:$B$5001=17)*(Results!$G$2:$G$5001)*1),SUMPRODUCT((Results!$A$2:$A$5001=Schedule!BY$45)*(Results!$B$2:$B$5001=18)*(Results!$G$2:$G$5001)*1),SUMPRODUCT((Results!$A$2:$A$5001=Schedule!BY$45)*(Results!$B$2:$B$5001=19)*(Results!$G$2:$G$5001)*1),SUMPRODUCT((Results!$A$2:$A$5001=Schedule!BY$45)*(Results!$B$2:$B$5001=20)*(Results!$G$2:$G$5001)*1))</f>
        <v>0</v>
      </c>
      <c r="BZ73" s="88">
        <f>MAX(SUMPRODUCT((Results!$A$2:$A$5001=Schedule!BZ$45)*(Results!$B$2:$B$5001=1)*(Results!$G$2:$G$5001)*1),SUMPRODUCT((Results!$A$2:$A$5001=Schedule!BZ$45)*(Results!$B$2:$B$5001=2)*(Results!$G$2:$G$5001)*1),SUMPRODUCT((Results!$A$2:$A$5001=Schedule!BZ$45)*(Results!$B$2:$B$5001=3)*(Results!$G$2:$G$5001)*1),SUMPRODUCT((Results!$A$2:$A$5001=Schedule!BZ$45)*(Results!$B$2:$B$5001=4)*(Results!$G$2:$G$5001)*1),SUMPRODUCT((Results!$A$2:$A$5001=Schedule!BZ$45)*(Results!$B$2:$B$5001=5)*(Results!$G$2:$G$5001)*1),SUMPRODUCT((Results!$A$2:$A$5001=Schedule!BZ$45)*(Results!$B$2:$B$5001=6)*(Results!$G$2:$G$5001)*1),SUMPRODUCT((Results!$A$2:$A$5001=Schedule!BZ$45)*(Results!$B$2:$B$5001=7)*(Results!$G$2:$G$5001)*1),SUMPRODUCT((Results!$A$2:$A$5001=Schedule!BZ$45)*(Results!$B$2:$B$5001=8)*(Results!$G$2:$G$5001)*1),SUMPRODUCT((Results!$A$2:$A$5001=Schedule!BZ$45)*(Results!$B$2:$B$5001=9)*(Results!$G$2:$G$5001)*1),SUMPRODUCT((Results!$A$2:$A$5001=Schedule!BZ$45)*(Results!$B$2:$B$5001=10)*(Results!$G$2:$G$5001)*1),SUMPRODUCT((Results!$A$2:$A$5001=Schedule!BZ$45)*(Results!$B$2:$B$5001=11)*(Results!$G$2:$G$5001)*1),SUMPRODUCT((Results!$A$2:$A$5001=Schedule!BZ$45)*(Results!$B$2:$B$5001=12)*(Results!$G$2:$G$5001)*1),SUMPRODUCT((Results!$A$2:$A$5001=Schedule!BZ$45)*(Results!$B$2:$B$5001=13)*(Results!$G$2:$G$5001)*1),SUMPRODUCT((Results!$A$2:$A$5001=Schedule!BZ$45)*(Results!$B$2:$B$5001=14)*(Results!$G$2:$G$5001)*1),SUMPRODUCT((Results!$A$2:$A$5001=Schedule!BZ$45)*(Results!$B$2:$B$5001=15)*(Results!$G$2:$G$5001)*1),SUMPRODUCT((Results!$A$2:$A$5001=Schedule!BZ$45)*(Results!$B$2:$B$5001=16)*(Results!$G$2:$G$5001)*1),SUMPRODUCT((Results!$A$2:$A$5001=Schedule!BZ$45)*(Results!$B$2:$B$5001=17)*(Results!$G$2:$G$5001)*1),SUMPRODUCT((Results!$A$2:$A$5001=Schedule!BZ$45)*(Results!$B$2:$B$5001=18)*(Results!$G$2:$G$5001)*1),SUMPRODUCT((Results!$A$2:$A$5001=Schedule!BZ$45)*(Results!$B$2:$B$5001=19)*(Results!$G$2:$G$5001)*1),SUMPRODUCT((Results!$A$2:$A$5001=Schedule!BZ$45)*(Results!$B$2:$B$5001=20)*(Results!$G$2:$G$5001)*1))</f>
        <v>0</v>
      </c>
      <c r="CA73" s="88">
        <f>MAX(SUMPRODUCT((Results!$A$2:$A$5001=Schedule!CA$45)*(Results!$B$2:$B$5001=1)*(Results!$G$2:$G$5001)*1),SUMPRODUCT((Results!$A$2:$A$5001=Schedule!CA$45)*(Results!$B$2:$B$5001=2)*(Results!$G$2:$G$5001)*1),SUMPRODUCT((Results!$A$2:$A$5001=Schedule!CA$45)*(Results!$B$2:$B$5001=3)*(Results!$G$2:$G$5001)*1),SUMPRODUCT((Results!$A$2:$A$5001=Schedule!CA$45)*(Results!$B$2:$B$5001=4)*(Results!$G$2:$G$5001)*1),SUMPRODUCT((Results!$A$2:$A$5001=Schedule!CA$45)*(Results!$B$2:$B$5001=5)*(Results!$G$2:$G$5001)*1),SUMPRODUCT((Results!$A$2:$A$5001=Schedule!CA$45)*(Results!$B$2:$B$5001=6)*(Results!$G$2:$G$5001)*1),SUMPRODUCT((Results!$A$2:$A$5001=Schedule!CA$45)*(Results!$B$2:$B$5001=7)*(Results!$G$2:$G$5001)*1),SUMPRODUCT((Results!$A$2:$A$5001=Schedule!CA$45)*(Results!$B$2:$B$5001=8)*(Results!$G$2:$G$5001)*1),SUMPRODUCT((Results!$A$2:$A$5001=Schedule!CA$45)*(Results!$B$2:$B$5001=9)*(Results!$G$2:$G$5001)*1),SUMPRODUCT((Results!$A$2:$A$5001=Schedule!CA$45)*(Results!$B$2:$B$5001=10)*(Results!$G$2:$G$5001)*1),SUMPRODUCT((Results!$A$2:$A$5001=Schedule!CA$45)*(Results!$B$2:$B$5001=11)*(Results!$G$2:$G$5001)*1),SUMPRODUCT((Results!$A$2:$A$5001=Schedule!CA$45)*(Results!$B$2:$B$5001=12)*(Results!$G$2:$G$5001)*1),SUMPRODUCT((Results!$A$2:$A$5001=Schedule!CA$45)*(Results!$B$2:$B$5001=13)*(Results!$G$2:$G$5001)*1),SUMPRODUCT((Results!$A$2:$A$5001=Schedule!CA$45)*(Results!$B$2:$B$5001=14)*(Results!$G$2:$G$5001)*1),SUMPRODUCT((Results!$A$2:$A$5001=Schedule!CA$45)*(Results!$B$2:$B$5001=15)*(Results!$G$2:$G$5001)*1),SUMPRODUCT((Results!$A$2:$A$5001=Schedule!CA$45)*(Results!$B$2:$B$5001=16)*(Results!$G$2:$G$5001)*1),SUMPRODUCT((Results!$A$2:$A$5001=Schedule!CA$45)*(Results!$B$2:$B$5001=17)*(Results!$G$2:$G$5001)*1),SUMPRODUCT((Results!$A$2:$A$5001=Schedule!CA$45)*(Results!$B$2:$B$5001=18)*(Results!$G$2:$G$5001)*1),SUMPRODUCT((Results!$A$2:$A$5001=Schedule!CA$45)*(Results!$B$2:$B$5001=19)*(Results!$G$2:$G$5001)*1),SUMPRODUCT((Results!$A$2:$A$5001=Schedule!CA$45)*(Results!$B$2:$B$5001=20)*(Results!$G$2:$G$5001)*1))</f>
        <v>0</v>
      </c>
      <c r="CB73" s="88">
        <f>MAX(SUMPRODUCT((Results!$A$2:$A$5001=Schedule!CB$45)*(Results!$B$2:$B$5001=1)*(Results!$G$2:$G$5001)*1),SUMPRODUCT((Results!$A$2:$A$5001=Schedule!CB$45)*(Results!$B$2:$B$5001=2)*(Results!$G$2:$G$5001)*1),SUMPRODUCT((Results!$A$2:$A$5001=Schedule!CB$45)*(Results!$B$2:$B$5001=3)*(Results!$G$2:$G$5001)*1),SUMPRODUCT((Results!$A$2:$A$5001=Schedule!CB$45)*(Results!$B$2:$B$5001=4)*(Results!$G$2:$G$5001)*1),SUMPRODUCT((Results!$A$2:$A$5001=Schedule!CB$45)*(Results!$B$2:$B$5001=5)*(Results!$G$2:$G$5001)*1),SUMPRODUCT((Results!$A$2:$A$5001=Schedule!CB$45)*(Results!$B$2:$B$5001=6)*(Results!$G$2:$G$5001)*1),SUMPRODUCT((Results!$A$2:$A$5001=Schedule!CB$45)*(Results!$B$2:$B$5001=7)*(Results!$G$2:$G$5001)*1),SUMPRODUCT((Results!$A$2:$A$5001=Schedule!CB$45)*(Results!$B$2:$B$5001=8)*(Results!$G$2:$G$5001)*1),SUMPRODUCT((Results!$A$2:$A$5001=Schedule!CB$45)*(Results!$B$2:$B$5001=9)*(Results!$G$2:$G$5001)*1),SUMPRODUCT((Results!$A$2:$A$5001=Schedule!CB$45)*(Results!$B$2:$B$5001=10)*(Results!$G$2:$G$5001)*1),SUMPRODUCT((Results!$A$2:$A$5001=Schedule!CB$45)*(Results!$B$2:$B$5001=11)*(Results!$G$2:$G$5001)*1),SUMPRODUCT((Results!$A$2:$A$5001=Schedule!CB$45)*(Results!$B$2:$B$5001=12)*(Results!$G$2:$G$5001)*1),SUMPRODUCT((Results!$A$2:$A$5001=Schedule!CB$45)*(Results!$B$2:$B$5001=13)*(Results!$G$2:$G$5001)*1),SUMPRODUCT((Results!$A$2:$A$5001=Schedule!CB$45)*(Results!$B$2:$B$5001=14)*(Results!$G$2:$G$5001)*1),SUMPRODUCT((Results!$A$2:$A$5001=Schedule!CB$45)*(Results!$B$2:$B$5001=15)*(Results!$G$2:$G$5001)*1),SUMPRODUCT((Results!$A$2:$A$5001=Schedule!CB$45)*(Results!$B$2:$B$5001=16)*(Results!$G$2:$G$5001)*1),SUMPRODUCT((Results!$A$2:$A$5001=Schedule!CB$45)*(Results!$B$2:$B$5001=17)*(Results!$G$2:$G$5001)*1),SUMPRODUCT((Results!$A$2:$A$5001=Schedule!CB$45)*(Results!$B$2:$B$5001=18)*(Results!$G$2:$G$5001)*1),SUMPRODUCT((Results!$A$2:$A$5001=Schedule!CB$45)*(Results!$B$2:$B$5001=19)*(Results!$G$2:$G$5001)*1),SUMPRODUCT((Results!$A$2:$A$5001=Schedule!CB$45)*(Results!$B$2:$B$5001=20)*(Results!$G$2:$G$5001)*1))</f>
        <v>0</v>
      </c>
      <c r="CC73" s="88">
        <f>MAX(SUMPRODUCT((Results!$A$2:$A$5001=Schedule!CC$45)*(Results!$B$2:$B$5001=1)*(Results!$G$2:$G$5001)*1),SUMPRODUCT((Results!$A$2:$A$5001=Schedule!CC$45)*(Results!$B$2:$B$5001=2)*(Results!$G$2:$G$5001)*1),SUMPRODUCT((Results!$A$2:$A$5001=Schedule!CC$45)*(Results!$B$2:$B$5001=3)*(Results!$G$2:$G$5001)*1),SUMPRODUCT((Results!$A$2:$A$5001=Schedule!CC$45)*(Results!$B$2:$B$5001=4)*(Results!$G$2:$G$5001)*1),SUMPRODUCT((Results!$A$2:$A$5001=Schedule!CC$45)*(Results!$B$2:$B$5001=5)*(Results!$G$2:$G$5001)*1),SUMPRODUCT((Results!$A$2:$A$5001=Schedule!CC$45)*(Results!$B$2:$B$5001=6)*(Results!$G$2:$G$5001)*1),SUMPRODUCT((Results!$A$2:$A$5001=Schedule!CC$45)*(Results!$B$2:$B$5001=7)*(Results!$G$2:$G$5001)*1),SUMPRODUCT((Results!$A$2:$A$5001=Schedule!CC$45)*(Results!$B$2:$B$5001=8)*(Results!$G$2:$G$5001)*1),SUMPRODUCT((Results!$A$2:$A$5001=Schedule!CC$45)*(Results!$B$2:$B$5001=9)*(Results!$G$2:$G$5001)*1),SUMPRODUCT((Results!$A$2:$A$5001=Schedule!CC$45)*(Results!$B$2:$B$5001=10)*(Results!$G$2:$G$5001)*1),SUMPRODUCT((Results!$A$2:$A$5001=Schedule!CC$45)*(Results!$B$2:$B$5001=11)*(Results!$G$2:$G$5001)*1),SUMPRODUCT((Results!$A$2:$A$5001=Schedule!CC$45)*(Results!$B$2:$B$5001=12)*(Results!$G$2:$G$5001)*1),SUMPRODUCT((Results!$A$2:$A$5001=Schedule!CC$45)*(Results!$B$2:$B$5001=13)*(Results!$G$2:$G$5001)*1),SUMPRODUCT((Results!$A$2:$A$5001=Schedule!CC$45)*(Results!$B$2:$B$5001=14)*(Results!$G$2:$G$5001)*1),SUMPRODUCT((Results!$A$2:$A$5001=Schedule!CC$45)*(Results!$B$2:$B$5001=15)*(Results!$G$2:$G$5001)*1),SUMPRODUCT((Results!$A$2:$A$5001=Schedule!CC$45)*(Results!$B$2:$B$5001=16)*(Results!$G$2:$G$5001)*1),SUMPRODUCT((Results!$A$2:$A$5001=Schedule!CC$45)*(Results!$B$2:$B$5001=17)*(Results!$G$2:$G$5001)*1),SUMPRODUCT((Results!$A$2:$A$5001=Schedule!CC$45)*(Results!$B$2:$B$5001=18)*(Results!$G$2:$G$5001)*1),SUMPRODUCT((Results!$A$2:$A$5001=Schedule!CC$45)*(Results!$B$2:$B$5001=19)*(Results!$G$2:$G$5001)*1),SUMPRODUCT((Results!$A$2:$A$5001=Schedule!CC$45)*(Results!$B$2:$B$5001=20)*(Results!$G$2:$G$5001)*1))</f>
        <v>0</v>
      </c>
      <c r="CD73" s="88">
        <f>MAX(SUMPRODUCT((Results!$A$2:$A$5001=Schedule!CD$45)*(Results!$B$2:$B$5001=1)*(Results!$G$2:$G$5001)*1),SUMPRODUCT((Results!$A$2:$A$5001=Schedule!CD$45)*(Results!$B$2:$B$5001=2)*(Results!$G$2:$G$5001)*1),SUMPRODUCT((Results!$A$2:$A$5001=Schedule!CD$45)*(Results!$B$2:$B$5001=3)*(Results!$G$2:$G$5001)*1),SUMPRODUCT((Results!$A$2:$A$5001=Schedule!CD$45)*(Results!$B$2:$B$5001=4)*(Results!$G$2:$G$5001)*1),SUMPRODUCT((Results!$A$2:$A$5001=Schedule!CD$45)*(Results!$B$2:$B$5001=5)*(Results!$G$2:$G$5001)*1),SUMPRODUCT((Results!$A$2:$A$5001=Schedule!CD$45)*(Results!$B$2:$B$5001=6)*(Results!$G$2:$G$5001)*1),SUMPRODUCT((Results!$A$2:$A$5001=Schedule!CD$45)*(Results!$B$2:$B$5001=7)*(Results!$G$2:$G$5001)*1),SUMPRODUCT((Results!$A$2:$A$5001=Schedule!CD$45)*(Results!$B$2:$B$5001=8)*(Results!$G$2:$G$5001)*1),SUMPRODUCT((Results!$A$2:$A$5001=Schedule!CD$45)*(Results!$B$2:$B$5001=9)*(Results!$G$2:$G$5001)*1),SUMPRODUCT((Results!$A$2:$A$5001=Schedule!CD$45)*(Results!$B$2:$B$5001=10)*(Results!$G$2:$G$5001)*1),SUMPRODUCT((Results!$A$2:$A$5001=Schedule!CD$45)*(Results!$B$2:$B$5001=11)*(Results!$G$2:$G$5001)*1),SUMPRODUCT((Results!$A$2:$A$5001=Schedule!CD$45)*(Results!$B$2:$B$5001=12)*(Results!$G$2:$G$5001)*1),SUMPRODUCT((Results!$A$2:$A$5001=Schedule!CD$45)*(Results!$B$2:$B$5001=13)*(Results!$G$2:$G$5001)*1),SUMPRODUCT((Results!$A$2:$A$5001=Schedule!CD$45)*(Results!$B$2:$B$5001=14)*(Results!$G$2:$G$5001)*1),SUMPRODUCT((Results!$A$2:$A$5001=Schedule!CD$45)*(Results!$B$2:$B$5001=15)*(Results!$G$2:$G$5001)*1),SUMPRODUCT((Results!$A$2:$A$5001=Schedule!CD$45)*(Results!$B$2:$B$5001=16)*(Results!$G$2:$G$5001)*1),SUMPRODUCT((Results!$A$2:$A$5001=Schedule!CD$45)*(Results!$B$2:$B$5001=17)*(Results!$G$2:$G$5001)*1),SUMPRODUCT((Results!$A$2:$A$5001=Schedule!CD$45)*(Results!$B$2:$B$5001=18)*(Results!$G$2:$G$5001)*1),SUMPRODUCT((Results!$A$2:$A$5001=Schedule!CD$45)*(Results!$B$2:$B$5001=19)*(Results!$G$2:$G$5001)*1),SUMPRODUCT((Results!$A$2:$A$5001=Schedule!CD$45)*(Results!$B$2:$B$5001=20)*(Results!$G$2:$G$5001)*1))</f>
        <v>0</v>
      </c>
      <c r="CE73" s="88">
        <f>MAX(SUMPRODUCT((Results!$A$2:$A$5001=Schedule!CE$45)*(Results!$B$2:$B$5001=1)*(Results!$G$2:$G$5001)*1),SUMPRODUCT((Results!$A$2:$A$5001=Schedule!CE$45)*(Results!$B$2:$B$5001=2)*(Results!$G$2:$G$5001)*1),SUMPRODUCT((Results!$A$2:$A$5001=Schedule!CE$45)*(Results!$B$2:$B$5001=3)*(Results!$G$2:$G$5001)*1),SUMPRODUCT((Results!$A$2:$A$5001=Schedule!CE$45)*(Results!$B$2:$B$5001=4)*(Results!$G$2:$G$5001)*1),SUMPRODUCT((Results!$A$2:$A$5001=Schedule!CE$45)*(Results!$B$2:$B$5001=5)*(Results!$G$2:$G$5001)*1),SUMPRODUCT((Results!$A$2:$A$5001=Schedule!CE$45)*(Results!$B$2:$B$5001=6)*(Results!$G$2:$G$5001)*1),SUMPRODUCT((Results!$A$2:$A$5001=Schedule!CE$45)*(Results!$B$2:$B$5001=7)*(Results!$G$2:$G$5001)*1),SUMPRODUCT((Results!$A$2:$A$5001=Schedule!CE$45)*(Results!$B$2:$B$5001=8)*(Results!$G$2:$G$5001)*1),SUMPRODUCT((Results!$A$2:$A$5001=Schedule!CE$45)*(Results!$B$2:$B$5001=9)*(Results!$G$2:$G$5001)*1),SUMPRODUCT((Results!$A$2:$A$5001=Schedule!CE$45)*(Results!$B$2:$B$5001=10)*(Results!$G$2:$G$5001)*1),SUMPRODUCT((Results!$A$2:$A$5001=Schedule!CE$45)*(Results!$B$2:$B$5001=11)*(Results!$G$2:$G$5001)*1),SUMPRODUCT((Results!$A$2:$A$5001=Schedule!CE$45)*(Results!$B$2:$B$5001=12)*(Results!$G$2:$G$5001)*1),SUMPRODUCT((Results!$A$2:$A$5001=Schedule!CE$45)*(Results!$B$2:$B$5001=13)*(Results!$G$2:$G$5001)*1),SUMPRODUCT((Results!$A$2:$A$5001=Schedule!CE$45)*(Results!$B$2:$B$5001=14)*(Results!$G$2:$G$5001)*1),SUMPRODUCT((Results!$A$2:$A$5001=Schedule!CE$45)*(Results!$B$2:$B$5001=15)*(Results!$G$2:$G$5001)*1),SUMPRODUCT((Results!$A$2:$A$5001=Schedule!CE$45)*(Results!$B$2:$B$5001=16)*(Results!$G$2:$G$5001)*1),SUMPRODUCT((Results!$A$2:$A$5001=Schedule!CE$45)*(Results!$B$2:$B$5001=17)*(Results!$G$2:$G$5001)*1),SUMPRODUCT((Results!$A$2:$A$5001=Schedule!CE$45)*(Results!$B$2:$B$5001=18)*(Results!$G$2:$G$5001)*1),SUMPRODUCT((Results!$A$2:$A$5001=Schedule!CE$45)*(Results!$B$2:$B$5001=19)*(Results!$G$2:$G$5001)*1),SUMPRODUCT((Results!$A$2:$A$5001=Schedule!CE$45)*(Results!$B$2:$B$5001=20)*(Results!$G$2:$G$5001)*1))</f>
        <v>0</v>
      </c>
      <c r="CF73" s="88">
        <f>MAX(SUMPRODUCT((Results!$A$2:$A$5001=Schedule!CF$45)*(Results!$B$2:$B$5001=1)*(Results!$G$2:$G$5001)*1),SUMPRODUCT((Results!$A$2:$A$5001=Schedule!CF$45)*(Results!$B$2:$B$5001=2)*(Results!$G$2:$G$5001)*1),SUMPRODUCT((Results!$A$2:$A$5001=Schedule!CF$45)*(Results!$B$2:$B$5001=3)*(Results!$G$2:$G$5001)*1),SUMPRODUCT((Results!$A$2:$A$5001=Schedule!CF$45)*(Results!$B$2:$B$5001=4)*(Results!$G$2:$G$5001)*1),SUMPRODUCT((Results!$A$2:$A$5001=Schedule!CF$45)*(Results!$B$2:$B$5001=5)*(Results!$G$2:$G$5001)*1),SUMPRODUCT((Results!$A$2:$A$5001=Schedule!CF$45)*(Results!$B$2:$B$5001=6)*(Results!$G$2:$G$5001)*1),SUMPRODUCT((Results!$A$2:$A$5001=Schedule!CF$45)*(Results!$B$2:$B$5001=7)*(Results!$G$2:$G$5001)*1),SUMPRODUCT((Results!$A$2:$A$5001=Schedule!CF$45)*(Results!$B$2:$B$5001=8)*(Results!$G$2:$G$5001)*1),SUMPRODUCT((Results!$A$2:$A$5001=Schedule!CF$45)*(Results!$B$2:$B$5001=9)*(Results!$G$2:$G$5001)*1),SUMPRODUCT((Results!$A$2:$A$5001=Schedule!CF$45)*(Results!$B$2:$B$5001=10)*(Results!$G$2:$G$5001)*1),SUMPRODUCT((Results!$A$2:$A$5001=Schedule!CF$45)*(Results!$B$2:$B$5001=11)*(Results!$G$2:$G$5001)*1),SUMPRODUCT((Results!$A$2:$A$5001=Schedule!CF$45)*(Results!$B$2:$B$5001=12)*(Results!$G$2:$G$5001)*1),SUMPRODUCT((Results!$A$2:$A$5001=Schedule!CF$45)*(Results!$B$2:$B$5001=13)*(Results!$G$2:$G$5001)*1),SUMPRODUCT((Results!$A$2:$A$5001=Schedule!CF$45)*(Results!$B$2:$B$5001=14)*(Results!$G$2:$G$5001)*1),SUMPRODUCT((Results!$A$2:$A$5001=Schedule!CF$45)*(Results!$B$2:$B$5001=15)*(Results!$G$2:$G$5001)*1),SUMPRODUCT((Results!$A$2:$A$5001=Schedule!CF$45)*(Results!$B$2:$B$5001=16)*(Results!$G$2:$G$5001)*1),SUMPRODUCT((Results!$A$2:$A$5001=Schedule!CF$45)*(Results!$B$2:$B$5001=17)*(Results!$G$2:$G$5001)*1),SUMPRODUCT((Results!$A$2:$A$5001=Schedule!CF$45)*(Results!$B$2:$B$5001=18)*(Results!$G$2:$G$5001)*1),SUMPRODUCT((Results!$A$2:$A$5001=Schedule!CF$45)*(Results!$B$2:$B$5001=19)*(Results!$G$2:$G$5001)*1),SUMPRODUCT((Results!$A$2:$A$5001=Schedule!CF$45)*(Results!$B$2:$B$5001=20)*(Results!$G$2:$G$5001)*1))</f>
        <v>0</v>
      </c>
      <c r="CG73" s="88">
        <f>MAX(SUMPRODUCT((Results!$A$2:$A$5001=Schedule!CG$45)*(Results!$B$2:$B$5001=1)*(Results!$G$2:$G$5001)*1),SUMPRODUCT((Results!$A$2:$A$5001=Schedule!CG$45)*(Results!$B$2:$B$5001=2)*(Results!$G$2:$G$5001)*1),SUMPRODUCT((Results!$A$2:$A$5001=Schedule!CG$45)*(Results!$B$2:$B$5001=3)*(Results!$G$2:$G$5001)*1),SUMPRODUCT((Results!$A$2:$A$5001=Schedule!CG$45)*(Results!$B$2:$B$5001=4)*(Results!$G$2:$G$5001)*1),SUMPRODUCT((Results!$A$2:$A$5001=Schedule!CG$45)*(Results!$B$2:$B$5001=5)*(Results!$G$2:$G$5001)*1),SUMPRODUCT((Results!$A$2:$A$5001=Schedule!CG$45)*(Results!$B$2:$B$5001=6)*(Results!$G$2:$G$5001)*1),SUMPRODUCT((Results!$A$2:$A$5001=Schedule!CG$45)*(Results!$B$2:$B$5001=7)*(Results!$G$2:$G$5001)*1),SUMPRODUCT((Results!$A$2:$A$5001=Schedule!CG$45)*(Results!$B$2:$B$5001=8)*(Results!$G$2:$G$5001)*1),SUMPRODUCT((Results!$A$2:$A$5001=Schedule!CG$45)*(Results!$B$2:$B$5001=9)*(Results!$G$2:$G$5001)*1),SUMPRODUCT((Results!$A$2:$A$5001=Schedule!CG$45)*(Results!$B$2:$B$5001=10)*(Results!$G$2:$G$5001)*1),SUMPRODUCT((Results!$A$2:$A$5001=Schedule!CG$45)*(Results!$B$2:$B$5001=11)*(Results!$G$2:$G$5001)*1),SUMPRODUCT((Results!$A$2:$A$5001=Schedule!CG$45)*(Results!$B$2:$B$5001=12)*(Results!$G$2:$G$5001)*1),SUMPRODUCT((Results!$A$2:$A$5001=Schedule!CG$45)*(Results!$B$2:$B$5001=13)*(Results!$G$2:$G$5001)*1),SUMPRODUCT((Results!$A$2:$A$5001=Schedule!CG$45)*(Results!$B$2:$B$5001=14)*(Results!$G$2:$G$5001)*1),SUMPRODUCT((Results!$A$2:$A$5001=Schedule!CG$45)*(Results!$B$2:$B$5001=15)*(Results!$G$2:$G$5001)*1),SUMPRODUCT((Results!$A$2:$A$5001=Schedule!CG$45)*(Results!$B$2:$B$5001=16)*(Results!$G$2:$G$5001)*1),SUMPRODUCT((Results!$A$2:$A$5001=Schedule!CG$45)*(Results!$B$2:$B$5001=17)*(Results!$G$2:$G$5001)*1),SUMPRODUCT((Results!$A$2:$A$5001=Schedule!CG$45)*(Results!$B$2:$B$5001=18)*(Results!$G$2:$G$5001)*1),SUMPRODUCT((Results!$A$2:$A$5001=Schedule!CG$45)*(Results!$B$2:$B$5001=19)*(Results!$G$2:$G$5001)*1),SUMPRODUCT((Results!$A$2:$A$5001=Schedule!CG$45)*(Results!$B$2:$B$5001=20)*(Results!$G$2:$G$5001)*1))</f>
        <v>0</v>
      </c>
      <c r="CH73" s="88">
        <f>MAX(SUMPRODUCT((Results!$A$2:$A$5001=Schedule!CH$45)*(Results!$B$2:$B$5001=1)*(Results!$G$2:$G$5001)*1),SUMPRODUCT((Results!$A$2:$A$5001=Schedule!CH$45)*(Results!$B$2:$B$5001=2)*(Results!$G$2:$G$5001)*1),SUMPRODUCT((Results!$A$2:$A$5001=Schedule!CH$45)*(Results!$B$2:$B$5001=3)*(Results!$G$2:$G$5001)*1),SUMPRODUCT((Results!$A$2:$A$5001=Schedule!CH$45)*(Results!$B$2:$B$5001=4)*(Results!$G$2:$G$5001)*1),SUMPRODUCT((Results!$A$2:$A$5001=Schedule!CH$45)*(Results!$B$2:$B$5001=5)*(Results!$G$2:$G$5001)*1),SUMPRODUCT((Results!$A$2:$A$5001=Schedule!CH$45)*(Results!$B$2:$B$5001=6)*(Results!$G$2:$G$5001)*1),SUMPRODUCT((Results!$A$2:$A$5001=Schedule!CH$45)*(Results!$B$2:$B$5001=7)*(Results!$G$2:$G$5001)*1),SUMPRODUCT((Results!$A$2:$A$5001=Schedule!CH$45)*(Results!$B$2:$B$5001=8)*(Results!$G$2:$G$5001)*1),SUMPRODUCT((Results!$A$2:$A$5001=Schedule!CH$45)*(Results!$B$2:$B$5001=9)*(Results!$G$2:$G$5001)*1),SUMPRODUCT((Results!$A$2:$A$5001=Schedule!CH$45)*(Results!$B$2:$B$5001=10)*(Results!$G$2:$G$5001)*1),SUMPRODUCT((Results!$A$2:$A$5001=Schedule!CH$45)*(Results!$B$2:$B$5001=11)*(Results!$G$2:$G$5001)*1),SUMPRODUCT((Results!$A$2:$A$5001=Schedule!CH$45)*(Results!$B$2:$B$5001=12)*(Results!$G$2:$G$5001)*1),SUMPRODUCT((Results!$A$2:$A$5001=Schedule!CH$45)*(Results!$B$2:$B$5001=13)*(Results!$G$2:$G$5001)*1),SUMPRODUCT((Results!$A$2:$A$5001=Schedule!CH$45)*(Results!$B$2:$B$5001=14)*(Results!$G$2:$G$5001)*1),SUMPRODUCT((Results!$A$2:$A$5001=Schedule!CH$45)*(Results!$B$2:$B$5001=15)*(Results!$G$2:$G$5001)*1),SUMPRODUCT((Results!$A$2:$A$5001=Schedule!CH$45)*(Results!$B$2:$B$5001=16)*(Results!$G$2:$G$5001)*1),SUMPRODUCT((Results!$A$2:$A$5001=Schedule!CH$45)*(Results!$B$2:$B$5001=17)*(Results!$G$2:$G$5001)*1),SUMPRODUCT((Results!$A$2:$A$5001=Schedule!CH$45)*(Results!$B$2:$B$5001=18)*(Results!$G$2:$G$5001)*1),SUMPRODUCT((Results!$A$2:$A$5001=Schedule!CH$45)*(Results!$B$2:$B$5001=19)*(Results!$G$2:$G$5001)*1),SUMPRODUCT((Results!$A$2:$A$5001=Schedule!CH$45)*(Results!$B$2:$B$5001=20)*(Results!$G$2:$G$5001)*1))</f>
        <v>0</v>
      </c>
      <c r="CI73" s="88">
        <f>MAX(SUMPRODUCT((Results!$A$2:$A$5001=Schedule!CI$45)*(Results!$B$2:$B$5001=1)*(Results!$G$2:$G$5001)*1),SUMPRODUCT((Results!$A$2:$A$5001=Schedule!CI$45)*(Results!$B$2:$B$5001=2)*(Results!$G$2:$G$5001)*1),SUMPRODUCT((Results!$A$2:$A$5001=Schedule!CI$45)*(Results!$B$2:$B$5001=3)*(Results!$G$2:$G$5001)*1),SUMPRODUCT((Results!$A$2:$A$5001=Schedule!CI$45)*(Results!$B$2:$B$5001=4)*(Results!$G$2:$G$5001)*1),SUMPRODUCT((Results!$A$2:$A$5001=Schedule!CI$45)*(Results!$B$2:$B$5001=5)*(Results!$G$2:$G$5001)*1),SUMPRODUCT((Results!$A$2:$A$5001=Schedule!CI$45)*(Results!$B$2:$B$5001=6)*(Results!$G$2:$G$5001)*1),SUMPRODUCT((Results!$A$2:$A$5001=Schedule!CI$45)*(Results!$B$2:$B$5001=7)*(Results!$G$2:$G$5001)*1),SUMPRODUCT((Results!$A$2:$A$5001=Schedule!CI$45)*(Results!$B$2:$B$5001=8)*(Results!$G$2:$G$5001)*1),SUMPRODUCT((Results!$A$2:$A$5001=Schedule!CI$45)*(Results!$B$2:$B$5001=9)*(Results!$G$2:$G$5001)*1),SUMPRODUCT((Results!$A$2:$A$5001=Schedule!CI$45)*(Results!$B$2:$B$5001=10)*(Results!$G$2:$G$5001)*1),SUMPRODUCT((Results!$A$2:$A$5001=Schedule!CI$45)*(Results!$B$2:$B$5001=11)*(Results!$G$2:$G$5001)*1),SUMPRODUCT((Results!$A$2:$A$5001=Schedule!CI$45)*(Results!$B$2:$B$5001=12)*(Results!$G$2:$G$5001)*1),SUMPRODUCT((Results!$A$2:$A$5001=Schedule!CI$45)*(Results!$B$2:$B$5001=13)*(Results!$G$2:$G$5001)*1),SUMPRODUCT((Results!$A$2:$A$5001=Schedule!CI$45)*(Results!$B$2:$B$5001=14)*(Results!$G$2:$G$5001)*1),SUMPRODUCT((Results!$A$2:$A$5001=Schedule!CI$45)*(Results!$B$2:$B$5001=15)*(Results!$G$2:$G$5001)*1),SUMPRODUCT((Results!$A$2:$A$5001=Schedule!CI$45)*(Results!$B$2:$B$5001=16)*(Results!$G$2:$G$5001)*1),SUMPRODUCT((Results!$A$2:$A$5001=Schedule!CI$45)*(Results!$B$2:$B$5001=17)*(Results!$G$2:$G$5001)*1),SUMPRODUCT((Results!$A$2:$A$5001=Schedule!CI$45)*(Results!$B$2:$B$5001=18)*(Results!$G$2:$G$5001)*1),SUMPRODUCT((Results!$A$2:$A$5001=Schedule!CI$45)*(Results!$B$2:$B$5001=19)*(Results!$G$2:$G$5001)*1),SUMPRODUCT((Results!$A$2:$A$5001=Schedule!CI$45)*(Results!$B$2:$B$5001=20)*(Results!$G$2:$G$5001)*1))</f>
        <v>0</v>
      </c>
      <c r="CJ73" s="88">
        <f>MAX(SUMPRODUCT((Results!$A$2:$A$5001=Schedule!CJ$45)*(Results!$B$2:$B$5001=1)*(Results!$G$2:$G$5001)*1),SUMPRODUCT((Results!$A$2:$A$5001=Schedule!CJ$45)*(Results!$B$2:$B$5001=2)*(Results!$G$2:$G$5001)*1),SUMPRODUCT((Results!$A$2:$A$5001=Schedule!CJ$45)*(Results!$B$2:$B$5001=3)*(Results!$G$2:$G$5001)*1),SUMPRODUCT((Results!$A$2:$A$5001=Schedule!CJ$45)*(Results!$B$2:$B$5001=4)*(Results!$G$2:$G$5001)*1),SUMPRODUCT((Results!$A$2:$A$5001=Schedule!CJ$45)*(Results!$B$2:$B$5001=5)*(Results!$G$2:$G$5001)*1),SUMPRODUCT((Results!$A$2:$A$5001=Schedule!CJ$45)*(Results!$B$2:$B$5001=6)*(Results!$G$2:$G$5001)*1),SUMPRODUCT((Results!$A$2:$A$5001=Schedule!CJ$45)*(Results!$B$2:$B$5001=7)*(Results!$G$2:$G$5001)*1),SUMPRODUCT((Results!$A$2:$A$5001=Schedule!CJ$45)*(Results!$B$2:$B$5001=8)*(Results!$G$2:$G$5001)*1),SUMPRODUCT((Results!$A$2:$A$5001=Schedule!CJ$45)*(Results!$B$2:$B$5001=9)*(Results!$G$2:$G$5001)*1),SUMPRODUCT((Results!$A$2:$A$5001=Schedule!CJ$45)*(Results!$B$2:$B$5001=10)*(Results!$G$2:$G$5001)*1),SUMPRODUCT((Results!$A$2:$A$5001=Schedule!CJ$45)*(Results!$B$2:$B$5001=11)*(Results!$G$2:$G$5001)*1),SUMPRODUCT((Results!$A$2:$A$5001=Schedule!CJ$45)*(Results!$B$2:$B$5001=12)*(Results!$G$2:$G$5001)*1),SUMPRODUCT((Results!$A$2:$A$5001=Schedule!CJ$45)*(Results!$B$2:$B$5001=13)*(Results!$G$2:$G$5001)*1),SUMPRODUCT((Results!$A$2:$A$5001=Schedule!CJ$45)*(Results!$B$2:$B$5001=14)*(Results!$G$2:$G$5001)*1),SUMPRODUCT((Results!$A$2:$A$5001=Schedule!CJ$45)*(Results!$B$2:$B$5001=15)*(Results!$G$2:$G$5001)*1),SUMPRODUCT((Results!$A$2:$A$5001=Schedule!CJ$45)*(Results!$B$2:$B$5001=16)*(Results!$G$2:$G$5001)*1),SUMPRODUCT((Results!$A$2:$A$5001=Schedule!CJ$45)*(Results!$B$2:$B$5001=17)*(Results!$G$2:$G$5001)*1),SUMPRODUCT((Results!$A$2:$A$5001=Schedule!CJ$45)*(Results!$B$2:$B$5001=18)*(Results!$G$2:$G$5001)*1),SUMPRODUCT((Results!$A$2:$A$5001=Schedule!CJ$45)*(Results!$B$2:$B$5001=19)*(Results!$G$2:$G$5001)*1),SUMPRODUCT((Results!$A$2:$A$5001=Schedule!CJ$45)*(Results!$B$2:$B$5001=20)*(Results!$G$2:$G$5001)*1))</f>
        <v>0</v>
      </c>
      <c r="CK73" s="88">
        <f>MAX(SUMPRODUCT((Results!$A$2:$A$5001=Schedule!CK$45)*(Results!$B$2:$B$5001=1)*(Results!$G$2:$G$5001)*1),SUMPRODUCT((Results!$A$2:$A$5001=Schedule!CK$45)*(Results!$B$2:$B$5001=2)*(Results!$G$2:$G$5001)*1),SUMPRODUCT((Results!$A$2:$A$5001=Schedule!CK$45)*(Results!$B$2:$B$5001=3)*(Results!$G$2:$G$5001)*1),SUMPRODUCT((Results!$A$2:$A$5001=Schedule!CK$45)*(Results!$B$2:$B$5001=4)*(Results!$G$2:$G$5001)*1),SUMPRODUCT((Results!$A$2:$A$5001=Schedule!CK$45)*(Results!$B$2:$B$5001=5)*(Results!$G$2:$G$5001)*1),SUMPRODUCT((Results!$A$2:$A$5001=Schedule!CK$45)*(Results!$B$2:$B$5001=6)*(Results!$G$2:$G$5001)*1),SUMPRODUCT((Results!$A$2:$A$5001=Schedule!CK$45)*(Results!$B$2:$B$5001=7)*(Results!$G$2:$G$5001)*1),SUMPRODUCT((Results!$A$2:$A$5001=Schedule!CK$45)*(Results!$B$2:$B$5001=8)*(Results!$G$2:$G$5001)*1),SUMPRODUCT((Results!$A$2:$A$5001=Schedule!CK$45)*(Results!$B$2:$B$5001=9)*(Results!$G$2:$G$5001)*1),SUMPRODUCT((Results!$A$2:$A$5001=Schedule!CK$45)*(Results!$B$2:$B$5001=10)*(Results!$G$2:$G$5001)*1),SUMPRODUCT((Results!$A$2:$A$5001=Schedule!CK$45)*(Results!$B$2:$B$5001=11)*(Results!$G$2:$G$5001)*1),SUMPRODUCT((Results!$A$2:$A$5001=Schedule!CK$45)*(Results!$B$2:$B$5001=12)*(Results!$G$2:$G$5001)*1),SUMPRODUCT((Results!$A$2:$A$5001=Schedule!CK$45)*(Results!$B$2:$B$5001=13)*(Results!$G$2:$G$5001)*1),SUMPRODUCT((Results!$A$2:$A$5001=Schedule!CK$45)*(Results!$B$2:$B$5001=14)*(Results!$G$2:$G$5001)*1),SUMPRODUCT((Results!$A$2:$A$5001=Schedule!CK$45)*(Results!$B$2:$B$5001=15)*(Results!$G$2:$G$5001)*1),SUMPRODUCT((Results!$A$2:$A$5001=Schedule!CK$45)*(Results!$B$2:$B$5001=16)*(Results!$G$2:$G$5001)*1),SUMPRODUCT((Results!$A$2:$A$5001=Schedule!CK$45)*(Results!$B$2:$B$5001=17)*(Results!$G$2:$G$5001)*1),SUMPRODUCT((Results!$A$2:$A$5001=Schedule!CK$45)*(Results!$B$2:$B$5001=18)*(Results!$G$2:$G$5001)*1),SUMPRODUCT((Results!$A$2:$A$5001=Schedule!CK$45)*(Results!$B$2:$B$5001=19)*(Results!$G$2:$G$5001)*1),SUMPRODUCT((Results!$A$2:$A$5001=Schedule!CK$45)*(Results!$B$2:$B$5001=20)*(Results!$G$2:$G$5001)*1))</f>
        <v>0</v>
      </c>
      <c r="CL73" s="88">
        <f>MAX(SUMPRODUCT((Results!$A$2:$A$5001=Schedule!CL$45)*(Results!$B$2:$B$5001=1)*(Results!$G$2:$G$5001)*1),SUMPRODUCT((Results!$A$2:$A$5001=Schedule!CL$45)*(Results!$B$2:$B$5001=2)*(Results!$G$2:$G$5001)*1),SUMPRODUCT((Results!$A$2:$A$5001=Schedule!CL$45)*(Results!$B$2:$B$5001=3)*(Results!$G$2:$G$5001)*1),SUMPRODUCT((Results!$A$2:$A$5001=Schedule!CL$45)*(Results!$B$2:$B$5001=4)*(Results!$G$2:$G$5001)*1),SUMPRODUCT((Results!$A$2:$A$5001=Schedule!CL$45)*(Results!$B$2:$B$5001=5)*(Results!$G$2:$G$5001)*1),SUMPRODUCT((Results!$A$2:$A$5001=Schedule!CL$45)*(Results!$B$2:$B$5001=6)*(Results!$G$2:$G$5001)*1),SUMPRODUCT((Results!$A$2:$A$5001=Schedule!CL$45)*(Results!$B$2:$B$5001=7)*(Results!$G$2:$G$5001)*1),SUMPRODUCT((Results!$A$2:$A$5001=Schedule!CL$45)*(Results!$B$2:$B$5001=8)*(Results!$G$2:$G$5001)*1),SUMPRODUCT((Results!$A$2:$A$5001=Schedule!CL$45)*(Results!$B$2:$B$5001=9)*(Results!$G$2:$G$5001)*1),SUMPRODUCT((Results!$A$2:$A$5001=Schedule!CL$45)*(Results!$B$2:$B$5001=10)*(Results!$G$2:$G$5001)*1),SUMPRODUCT((Results!$A$2:$A$5001=Schedule!CL$45)*(Results!$B$2:$B$5001=11)*(Results!$G$2:$G$5001)*1),SUMPRODUCT((Results!$A$2:$A$5001=Schedule!CL$45)*(Results!$B$2:$B$5001=12)*(Results!$G$2:$G$5001)*1),SUMPRODUCT((Results!$A$2:$A$5001=Schedule!CL$45)*(Results!$B$2:$B$5001=13)*(Results!$G$2:$G$5001)*1),SUMPRODUCT((Results!$A$2:$A$5001=Schedule!CL$45)*(Results!$B$2:$B$5001=14)*(Results!$G$2:$G$5001)*1),SUMPRODUCT((Results!$A$2:$A$5001=Schedule!CL$45)*(Results!$B$2:$B$5001=15)*(Results!$G$2:$G$5001)*1),SUMPRODUCT((Results!$A$2:$A$5001=Schedule!CL$45)*(Results!$B$2:$B$5001=16)*(Results!$G$2:$G$5001)*1),SUMPRODUCT((Results!$A$2:$A$5001=Schedule!CL$45)*(Results!$B$2:$B$5001=17)*(Results!$G$2:$G$5001)*1),SUMPRODUCT((Results!$A$2:$A$5001=Schedule!CL$45)*(Results!$B$2:$B$5001=18)*(Results!$G$2:$G$5001)*1),SUMPRODUCT((Results!$A$2:$A$5001=Schedule!CL$45)*(Results!$B$2:$B$5001=19)*(Results!$G$2:$G$5001)*1),SUMPRODUCT((Results!$A$2:$A$5001=Schedule!CL$45)*(Results!$B$2:$B$5001=20)*(Results!$G$2:$G$5001)*1))</f>
        <v>0</v>
      </c>
      <c r="CM73" s="88">
        <f>MAX(SUMPRODUCT((Results!$A$2:$A$5001=Schedule!CM$45)*(Results!$B$2:$B$5001=1)*(Results!$G$2:$G$5001)*1),SUMPRODUCT((Results!$A$2:$A$5001=Schedule!CM$45)*(Results!$B$2:$B$5001=2)*(Results!$G$2:$G$5001)*1),SUMPRODUCT((Results!$A$2:$A$5001=Schedule!CM$45)*(Results!$B$2:$B$5001=3)*(Results!$G$2:$G$5001)*1),SUMPRODUCT((Results!$A$2:$A$5001=Schedule!CM$45)*(Results!$B$2:$B$5001=4)*(Results!$G$2:$G$5001)*1),SUMPRODUCT((Results!$A$2:$A$5001=Schedule!CM$45)*(Results!$B$2:$B$5001=5)*(Results!$G$2:$G$5001)*1),SUMPRODUCT((Results!$A$2:$A$5001=Schedule!CM$45)*(Results!$B$2:$B$5001=6)*(Results!$G$2:$G$5001)*1),SUMPRODUCT((Results!$A$2:$A$5001=Schedule!CM$45)*(Results!$B$2:$B$5001=7)*(Results!$G$2:$G$5001)*1),SUMPRODUCT((Results!$A$2:$A$5001=Schedule!CM$45)*(Results!$B$2:$B$5001=8)*(Results!$G$2:$G$5001)*1),SUMPRODUCT((Results!$A$2:$A$5001=Schedule!CM$45)*(Results!$B$2:$B$5001=9)*(Results!$G$2:$G$5001)*1),SUMPRODUCT((Results!$A$2:$A$5001=Schedule!CM$45)*(Results!$B$2:$B$5001=10)*(Results!$G$2:$G$5001)*1),SUMPRODUCT((Results!$A$2:$A$5001=Schedule!CM$45)*(Results!$B$2:$B$5001=11)*(Results!$G$2:$G$5001)*1),SUMPRODUCT((Results!$A$2:$A$5001=Schedule!CM$45)*(Results!$B$2:$B$5001=12)*(Results!$G$2:$G$5001)*1),SUMPRODUCT((Results!$A$2:$A$5001=Schedule!CM$45)*(Results!$B$2:$B$5001=13)*(Results!$G$2:$G$5001)*1),SUMPRODUCT((Results!$A$2:$A$5001=Schedule!CM$45)*(Results!$B$2:$B$5001=14)*(Results!$G$2:$G$5001)*1),SUMPRODUCT((Results!$A$2:$A$5001=Schedule!CM$45)*(Results!$B$2:$B$5001=15)*(Results!$G$2:$G$5001)*1),SUMPRODUCT((Results!$A$2:$A$5001=Schedule!CM$45)*(Results!$B$2:$B$5001=16)*(Results!$G$2:$G$5001)*1),SUMPRODUCT((Results!$A$2:$A$5001=Schedule!CM$45)*(Results!$B$2:$B$5001=17)*(Results!$G$2:$G$5001)*1),SUMPRODUCT((Results!$A$2:$A$5001=Schedule!CM$45)*(Results!$B$2:$B$5001=18)*(Results!$G$2:$G$5001)*1),SUMPRODUCT((Results!$A$2:$A$5001=Schedule!CM$45)*(Results!$B$2:$B$5001=19)*(Results!$G$2:$G$5001)*1),SUMPRODUCT((Results!$A$2:$A$5001=Schedule!CM$45)*(Results!$B$2:$B$5001=20)*(Results!$G$2:$G$5001)*1))</f>
        <v>0</v>
      </c>
      <c r="CN73" s="88">
        <f>MAX(SUMPRODUCT((Results!$A$2:$A$5001=Schedule!CN$45)*(Results!$B$2:$B$5001=1)*(Results!$G$2:$G$5001)*1),SUMPRODUCT((Results!$A$2:$A$5001=Schedule!CN$45)*(Results!$B$2:$B$5001=2)*(Results!$G$2:$G$5001)*1),SUMPRODUCT((Results!$A$2:$A$5001=Schedule!CN$45)*(Results!$B$2:$B$5001=3)*(Results!$G$2:$G$5001)*1),SUMPRODUCT((Results!$A$2:$A$5001=Schedule!CN$45)*(Results!$B$2:$B$5001=4)*(Results!$G$2:$G$5001)*1),SUMPRODUCT((Results!$A$2:$A$5001=Schedule!CN$45)*(Results!$B$2:$B$5001=5)*(Results!$G$2:$G$5001)*1),SUMPRODUCT((Results!$A$2:$A$5001=Schedule!CN$45)*(Results!$B$2:$B$5001=6)*(Results!$G$2:$G$5001)*1),SUMPRODUCT((Results!$A$2:$A$5001=Schedule!CN$45)*(Results!$B$2:$B$5001=7)*(Results!$G$2:$G$5001)*1),SUMPRODUCT((Results!$A$2:$A$5001=Schedule!CN$45)*(Results!$B$2:$B$5001=8)*(Results!$G$2:$G$5001)*1),SUMPRODUCT((Results!$A$2:$A$5001=Schedule!CN$45)*(Results!$B$2:$B$5001=9)*(Results!$G$2:$G$5001)*1),SUMPRODUCT((Results!$A$2:$A$5001=Schedule!CN$45)*(Results!$B$2:$B$5001=10)*(Results!$G$2:$G$5001)*1),SUMPRODUCT((Results!$A$2:$A$5001=Schedule!CN$45)*(Results!$B$2:$B$5001=11)*(Results!$G$2:$G$5001)*1),SUMPRODUCT((Results!$A$2:$A$5001=Schedule!CN$45)*(Results!$B$2:$B$5001=12)*(Results!$G$2:$G$5001)*1),SUMPRODUCT((Results!$A$2:$A$5001=Schedule!CN$45)*(Results!$B$2:$B$5001=13)*(Results!$G$2:$G$5001)*1),SUMPRODUCT((Results!$A$2:$A$5001=Schedule!CN$45)*(Results!$B$2:$B$5001=14)*(Results!$G$2:$G$5001)*1),SUMPRODUCT((Results!$A$2:$A$5001=Schedule!CN$45)*(Results!$B$2:$B$5001=15)*(Results!$G$2:$G$5001)*1),SUMPRODUCT((Results!$A$2:$A$5001=Schedule!CN$45)*(Results!$B$2:$B$5001=16)*(Results!$G$2:$G$5001)*1),SUMPRODUCT((Results!$A$2:$A$5001=Schedule!CN$45)*(Results!$B$2:$B$5001=17)*(Results!$G$2:$G$5001)*1),SUMPRODUCT((Results!$A$2:$A$5001=Schedule!CN$45)*(Results!$B$2:$B$5001=18)*(Results!$G$2:$G$5001)*1),SUMPRODUCT((Results!$A$2:$A$5001=Schedule!CN$45)*(Results!$B$2:$B$5001=19)*(Results!$G$2:$G$5001)*1),SUMPRODUCT((Results!$A$2:$A$5001=Schedule!CN$45)*(Results!$B$2:$B$5001=20)*(Results!$G$2:$G$5001)*1))</f>
        <v>0</v>
      </c>
      <c r="CO73" s="88">
        <f>MAX(SUMPRODUCT((Results!$A$2:$A$5001=Schedule!CO$45)*(Results!$B$2:$B$5001=1)*(Results!$G$2:$G$5001)*1),SUMPRODUCT((Results!$A$2:$A$5001=Schedule!CO$45)*(Results!$B$2:$B$5001=2)*(Results!$G$2:$G$5001)*1),SUMPRODUCT((Results!$A$2:$A$5001=Schedule!CO$45)*(Results!$B$2:$B$5001=3)*(Results!$G$2:$G$5001)*1),SUMPRODUCT((Results!$A$2:$A$5001=Schedule!CO$45)*(Results!$B$2:$B$5001=4)*(Results!$G$2:$G$5001)*1),SUMPRODUCT((Results!$A$2:$A$5001=Schedule!CO$45)*(Results!$B$2:$B$5001=5)*(Results!$G$2:$G$5001)*1),SUMPRODUCT((Results!$A$2:$A$5001=Schedule!CO$45)*(Results!$B$2:$B$5001=6)*(Results!$G$2:$G$5001)*1),SUMPRODUCT((Results!$A$2:$A$5001=Schedule!CO$45)*(Results!$B$2:$B$5001=7)*(Results!$G$2:$G$5001)*1),SUMPRODUCT((Results!$A$2:$A$5001=Schedule!CO$45)*(Results!$B$2:$B$5001=8)*(Results!$G$2:$G$5001)*1),SUMPRODUCT((Results!$A$2:$A$5001=Schedule!CO$45)*(Results!$B$2:$B$5001=9)*(Results!$G$2:$G$5001)*1),SUMPRODUCT((Results!$A$2:$A$5001=Schedule!CO$45)*(Results!$B$2:$B$5001=10)*(Results!$G$2:$G$5001)*1),SUMPRODUCT((Results!$A$2:$A$5001=Schedule!CO$45)*(Results!$B$2:$B$5001=11)*(Results!$G$2:$G$5001)*1),SUMPRODUCT((Results!$A$2:$A$5001=Schedule!CO$45)*(Results!$B$2:$B$5001=12)*(Results!$G$2:$G$5001)*1),SUMPRODUCT((Results!$A$2:$A$5001=Schedule!CO$45)*(Results!$B$2:$B$5001=13)*(Results!$G$2:$G$5001)*1),SUMPRODUCT((Results!$A$2:$A$5001=Schedule!CO$45)*(Results!$B$2:$B$5001=14)*(Results!$G$2:$G$5001)*1),SUMPRODUCT((Results!$A$2:$A$5001=Schedule!CO$45)*(Results!$B$2:$B$5001=15)*(Results!$G$2:$G$5001)*1),SUMPRODUCT((Results!$A$2:$A$5001=Schedule!CO$45)*(Results!$B$2:$B$5001=16)*(Results!$G$2:$G$5001)*1),SUMPRODUCT((Results!$A$2:$A$5001=Schedule!CO$45)*(Results!$B$2:$B$5001=17)*(Results!$G$2:$G$5001)*1),SUMPRODUCT((Results!$A$2:$A$5001=Schedule!CO$45)*(Results!$B$2:$B$5001=18)*(Results!$G$2:$G$5001)*1),SUMPRODUCT((Results!$A$2:$A$5001=Schedule!CO$45)*(Results!$B$2:$B$5001=19)*(Results!$G$2:$G$5001)*1),SUMPRODUCT((Results!$A$2:$A$5001=Schedule!CO$45)*(Results!$B$2:$B$5001=20)*(Results!$G$2:$G$5001)*1))</f>
        <v>0</v>
      </c>
      <c r="CP73" s="88">
        <f>MAX(SUMPRODUCT((Results!$A$2:$A$5001=Schedule!CP$45)*(Results!$B$2:$B$5001=1)*(Results!$G$2:$G$5001)*1),SUMPRODUCT((Results!$A$2:$A$5001=Schedule!CP$45)*(Results!$B$2:$B$5001=2)*(Results!$G$2:$G$5001)*1),SUMPRODUCT((Results!$A$2:$A$5001=Schedule!CP$45)*(Results!$B$2:$B$5001=3)*(Results!$G$2:$G$5001)*1),SUMPRODUCT((Results!$A$2:$A$5001=Schedule!CP$45)*(Results!$B$2:$B$5001=4)*(Results!$G$2:$G$5001)*1),SUMPRODUCT((Results!$A$2:$A$5001=Schedule!CP$45)*(Results!$B$2:$B$5001=5)*(Results!$G$2:$G$5001)*1),SUMPRODUCT((Results!$A$2:$A$5001=Schedule!CP$45)*(Results!$B$2:$B$5001=6)*(Results!$G$2:$G$5001)*1),SUMPRODUCT((Results!$A$2:$A$5001=Schedule!CP$45)*(Results!$B$2:$B$5001=7)*(Results!$G$2:$G$5001)*1),SUMPRODUCT((Results!$A$2:$A$5001=Schedule!CP$45)*(Results!$B$2:$B$5001=8)*(Results!$G$2:$G$5001)*1),SUMPRODUCT((Results!$A$2:$A$5001=Schedule!CP$45)*(Results!$B$2:$B$5001=9)*(Results!$G$2:$G$5001)*1),SUMPRODUCT((Results!$A$2:$A$5001=Schedule!CP$45)*(Results!$B$2:$B$5001=10)*(Results!$G$2:$G$5001)*1),SUMPRODUCT((Results!$A$2:$A$5001=Schedule!CP$45)*(Results!$B$2:$B$5001=11)*(Results!$G$2:$G$5001)*1),SUMPRODUCT((Results!$A$2:$A$5001=Schedule!CP$45)*(Results!$B$2:$B$5001=12)*(Results!$G$2:$G$5001)*1),SUMPRODUCT((Results!$A$2:$A$5001=Schedule!CP$45)*(Results!$B$2:$B$5001=13)*(Results!$G$2:$G$5001)*1),SUMPRODUCT((Results!$A$2:$A$5001=Schedule!CP$45)*(Results!$B$2:$B$5001=14)*(Results!$G$2:$G$5001)*1),SUMPRODUCT((Results!$A$2:$A$5001=Schedule!CP$45)*(Results!$B$2:$B$5001=15)*(Results!$G$2:$G$5001)*1),SUMPRODUCT((Results!$A$2:$A$5001=Schedule!CP$45)*(Results!$B$2:$B$5001=16)*(Results!$G$2:$G$5001)*1),SUMPRODUCT((Results!$A$2:$A$5001=Schedule!CP$45)*(Results!$B$2:$B$5001=17)*(Results!$G$2:$G$5001)*1),SUMPRODUCT((Results!$A$2:$A$5001=Schedule!CP$45)*(Results!$B$2:$B$5001=18)*(Results!$G$2:$G$5001)*1),SUMPRODUCT((Results!$A$2:$A$5001=Schedule!CP$45)*(Results!$B$2:$B$5001=19)*(Results!$G$2:$G$5001)*1),SUMPRODUCT((Results!$A$2:$A$5001=Schedule!CP$45)*(Results!$B$2:$B$5001=20)*(Results!$G$2:$G$5001)*1))</f>
        <v>0</v>
      </c>
      <c r="CQ73" s="88">
        <f>MAX(SUMPRODUCT((Results!$A$2:$A$5001=Schedule!CQ$45)*(Results!$B$2:$B$5001=1)*(Results!$G$2:$G$5001)*1),SUMPRODUCT((Results!$A$2:$A$5001=Schedule!CQ$45)*(Results!$B$2:$B$5001=2)*(Results!$G$2:$G$5001)*1),SUMPRODUCT((Results!$A$2:$A$5001=Schedule!CQ$45)*(Results!$B$2:$B$5001=3)*(Results!$G$2:$G$5001)*1),SUMPRODUCT((Results!$A$2:$A$5001=Schedule!CQ$45)*(Results!$B$2:$B$5001=4)*(Results!$G$2:$G$5001)*1),SUMPRODUCT((Results!$A$2:$A$5001=Schedule!CQ$45)*(Results!$B$2:$B$5001=5)*(Results!$G$2:$G$5001)*1),SUMPRODUCT((Results!$A$2:$A$5001=Schedule!CQ$45)*(Results!$B$2:$B$5001=6)*(Results!$G$2:$G$5001)*1),SUMPRODUCT((Results!$A$2:$A$5001=Schedule!CQ$45)*(Results!$B$2:$B$5001=7)*(Results!$G$2:$G$5001)*1),SUMPRODUCT((Results!$A$2:$A$5001=Schedule!CQ$45)*(Results!$B$2:$B$5001=8)*(Results!$G$2:$G$5001)*1),SUMPRODUCT((Results!$A$2:$A$5001=Schedule!CQ$45)*(Results!$B$2:$B$5001=9)*(Results!$G$2:$G$5001)*1),SUMPRODUCT((Results!$A$2:$A$5001=Schedule!CQ$45)*(Results!$B$2:$B$5001=10)*(Results!$G$2:$G$5001)*1),SUMPRODUCT((Results!$A$2:$A$5001=Schedule!CQ$45)*(Results!$B$2:$B$5001=11)*(Results!$G$2:$G$5001)*1),SUMPRODUCT((Results!$A$2:$A$5001=Schedule!CQ$45)*(Results!$B$2:$B$5001=12)*(Results!$G$2:$G$5001)*1),SUMPRODUCT((Results!$A$2:$A$5001=Schedule!CQ$45)*(Results!$B$2:$B$5001=13)*(Results!$G$2:$G$5001)*1),SUMPRODUCT((Results!$A$2:$A$5001=Schedule!CQ$45)*(Results!$B$2:$B$5001=14)*(Results!$G$2:$G$5001)*1),SUMPRODUCT((Results!$A$2:$A$5001=Schedule!CQ$45)*(Results!$B$2:$B$5001=15)*(Results!$G$2:$G$5001)*1),SUMPRODUCT((Results!$A$2:$A$5001=Schedule!CQ$45)*(Results!$B$2:$B$5001=16)*(Results!$G$2:$G$5001)*1),SUMPRODUCT((Results!$A$2:$A$5001=Schedule!CQ$45)*(Results!$B$2:$B$5001=17)*(Results!$G$2:$G$5001)*1),SUMPRODUCT((Results!$A$2:$A$5001=Schedule!CQ$45)*(Results!$B$2:$B$5001=18)*(Results!$G$2:$G$5001)*1),SUMPRODUCT((Results!$A$2:$A$5001=Schedule!CQ$45)*(Results!$B$2:$B$5001=19)*(Results!$G$2:$G$5001)*1),SUMPRODUCT((Results!$A$2:$A$5001=Schedule!CQ$45)*(Results!$B$2:$B$5001=20)*(Results!$G$2:$G$5001)*1))</f>
        <v>0</v>
      </c>
      <c r="CR73" s="88">
        <f>MAX(SUMPRODUCT((Results!$A$2:$A$5001=Schedule!CR$45)*(Results!$B$2:$B$5001=1)*(Results!$G$2:$G$5001)*1),SUMPRODUCT((Results!$A$2:$A$5001=Schedule!CR$45)*(Results!$B$2:$B$5001=2)*(Results!$G$2:$G$5001)*1),SUMPRODUCT((Results!$A$2:$A$5001=Schedule!CR$45)*(Results!$B$2:$B$5001=3)*(Results!$G$2:$G$5001)*1),SUMPRODUCT((Results!$A$2:$A$5001=Schedule!CR$45)*(Results!$B$2:$B$5001=4)*(Results!$G$2:$G$5001)*1),SUMPRODUCT((Results!$A$2:$A$5001=Schedule!CR$45)*(Results!$B$2:$B$5001=5)*(Results!$G$2:$G$5001)*1),SUMPRODUCT((Results!$A$2:$A$5001=Schedule!CR$45)*(Results!$B$2:$B$5001=6)*(Results!$G$2:$G$5001)*1),SUMPRODUCT((Results!$A$2:$A$5001=Schedule!CR$45)*(Results!$B$2:$B$5001=7)*(Results!$G$2:$G$5001)*1),SUMPRODUCT((Results!$A$2:$A$5001=Schedule!CR$45)*(Results!$B$2:$B$5001=8)*(Results!$G$2:$G$5001)*1),SUMPRODUCT((Results!$A$2:$A$5001=Schedule!CR$45)*(Results!$B$2:$B$5001=9)*(Results!$G$2:$G$5001)*1),SUMPRODUCT((Results!$A$2:$A$5001=Schedule!CR$45)*(Results!$B$2:$B$5001=10)*(Results!$G$2:$G$5001)*1),SUMPRODUCT((Results!$A$2:$A$5001=Schedule!CR$45)*(Results!$B$2:$B$5001=11)*(Results!$G$2:$G$5001)*1),SUMPRODUCT((Results!$A$2:$A$5001=Schedule!CR$45)*(Results!$B$2:$B$5001=12)*(Results!$G$2:$G$5001)*1),SUMPRODUCT((Results!$A$2:$A$5001=Schedule!CR$45)*(Results!$B$2:$B$5001=13)*(Results!$G$2:$G$5001)*1),SUMPRODUCT((Results!$A$2:$A$5001=Schedule!CR$45)*(Results!$B$2:$B$5001=14)*(Results!$G$2:$G$5001)*1),SUMPRODUCT((Results!$A$2:$A$5001=Schedule!CR$45)*(Results!$B$2:$B$5001=15)*(Results!$G$2:$G$5001)*1),SUMPRODUCT((Results!$A$2:$A$5001=Schedule!CR$45)*(Results!$B$2:$B$5001=16)*(Results!$G$2:$G$5001)*1),SUMPRODUCT((Results!$A$2:$A$5001=Schedule!CR$45)*(Results!$B$2:$B$5001=17)*(Results!$G$2:$G$5001)*1),SUMPRODUCT((Results!$A$2:$A$5001=Schedule!CR$45)*(Results!$B$2:$B$5001=18)*(Results!$G$2:$G$5001)*1),SUMPRODUCT((Results!$A$2:$A$5001=Schedule!CR$45)*(Results!$B$2:$B$5001=19)*(Results!$G$2:$G$5001)*1),SUMPRODUCT((Results!$A$2:$A$5001=Schedule!CR$45)*(Results!$B$2:$B$5001=20)*(Results!$G$2:$G$5001)*1))</f>
        <v>0</v>
      </c>
      <c r="CS73" s="88">
        <f>MAX(SUMPRODUCT((Results!$A$2:$A$5001=Schedule!CS$45)*(Results!$B$2:$B$5001=1)*(Results!$G$2:$G$5001)*1),SUMPRODUCT((Results!$A$2:$A$5001=Schedule!CS$45)*(Results!$B$2:$B$5001=2)*(Results!$G$2:$G$5001)*1),SUMPRODUCT((Results!$A$2:$A$5001=Schedule!CS$45)*(Results!$B$2:$B$5001=3)*(Results!$G$2:$G$5001)*1),SUMPRODUCT((Results!$A$2:$A$5001=Schedule!CS$45)*(Results!$B$2:$B$5001=4)*(Results!$G$2:$G$5001)*1),SUMPRODUCT((Results!$A$2:$A$5001=Schedule!CS$45)*(Results!$B$2:$B$5001=5)*(Results!$G$2:$G$5001)*1),SUMPRODUCT((Results!$A$2:$A$5001=Schedule!CS$45)*(Results!$B$2:$B$5001=6)*(Results!$G$2:$G$5001)*1),SUMPRODUCT((Results!$A$2:$A$5001=Schedule!CS$45)*(Results!$B$2:$B$5001=7)*(Results!$G$2:$G$5001)*1),SUMPRODUCT((Results!$A$2:$A$5001=Schedule!CS$45)*(Results!$B$2:$B$5001=8)*(Results!$G$2:$G$5001)*1),SUMPRODUCT((Results!$A$2:$A$5001=Schedule!CS$45)*(Results!$B$2:$B$5001=9)*(Results!$G$2:$G$5001)*1),SUMPRODUCT((Results!$A$2:$A$5001=Schedule!CS$45)*(Results!$B$2:$B$5001=10)*(Results!$G$2:$G$5001)*1),SUMPRODUCT((Results!$A$2:$A$5001=Schedule!CS$45)*(Results!$B$2:$B$5001=11)*(Results!$G$2:$G$5001)*1),SUMPRODUCT((Results!$A$2:$A$5001=Schedule!CS$45)*(Results!$B$2:$B$5001=12)*(Results!$G$2:$G$5001)*1),SUMPRODUCT((Results!$A$2:$A$5001=Schedule!CS$45)*(Results!$B$2:$B$5001=13)*(Results!$G$2:$G$5001)*1),SUMPRODUCT((Results!$A$2:$A$5001=Schedule!CS$45)*(Results!$B$2:$B$5001=14)*(Results!$G$2:$G$5001)*1),SUMPRODUCT((Results!$A$2:$A$5001=Schedule!CS$45)*(Results!$B$2:$B$5001=15)*(Results!$G$2:$G$5001)*1),SUMPRODUCT((Results!$A$2:$A$5001=Schedule!CS$45)*(Results!$B$2:$B$5001=16)*(Results!$G$2:$G$5001)*1),SUMPRODUCT((Results!$A$2:$A$5001=Schedule!CS$45)*(Results!$B$2:$B$5001=17)*(Results!$G$2:$G$5001)*1),SUMPRODUCT((Results!$A$2:$A$5001=Schedule!CS$45)*(Results!$B$2:$B$5001=18)*(Results!$G$2:$G$5001)*1),SUMPRODUCT((Results!$A$2:$A$5001=Schedule!CS$45)*(Results!$B$2:$B$5001=19)*(Results!$G$2:$G$5001)*1),SUMPRODUCT((Results!$A$2:$A$5001=Schedule!CS$45)*(Results!$B$2:$B$5001=20)*(Results!$G$2:$G$5001)*1))</f>
        <v>0</v>
      </c>
      <c r="CT73" s="88">
        <f>MAX(SUMPRODUCT((Results!$A$2:$A$5001=Schedule!CT$45)*(Results!$B$2:$B$5001=1)*(Results!$G$2:$G$5001)*1),SUMPRODUCT((Results!$A$2:$A$5001=Schedule!CT$45)*(Results!$B$2:$B$5001=2)*(Results!$G$2:$G$5001)*1),SUMPRODUCT((Results!$A$2:$A$5001=Schedule!CT$45)*(Results!$B$2:$B$5001=3)*(Results!$G$2:$G$5001)*1),SUMPRODUCT((Results!$A$2:$A$5001=Schedule!CT$45)*(Results!$B$2:$B$5001=4)*(Results!$G$2:$G$5001)*1),SUMPRODUCT((Results!$A$2:$A$5001=Schedule!CT$45)*(Results!$B$2:$B$5001=5)*(Results!$G$2:$G$5001)*1),SUMPRODUCT((Results!$A$2:$A$5001=Schedule!CT$45)*(Results!$B$2:$B$5001=6)*(Results!$G$2:$G$5001)*1),SUMPRODUCT((Results!$A$2:$A$5001=Schedule!CT$45)*(Results!$B$2:$B$5001=7)*(Results!$G$2:$G$5001)*1),SUMPRODUCT((Results!$A$2:$A$5001=Schedule!CT$45)*(Results!$B$2:$B$5001=8)*(Results!$G$2:$G$5001)*1),SUMPRODUCT((Results!$A$2:$A$5001=Schedule!CT$45)*(Results!$B$2:$B$5001=9)*(Results!$G$2:$G$5001)*1),SUMPRODUCT((Results!$A$2:$A$5001=Schedule!CT$45)*(Results!$B$2:$B$5001=10)*(Results!$G$2:$G$5001)*1),SUMPRODUCT((Results!$A$2:$A$5001=Schedule!CT$45)*(Results!$B$2:$B$5001=11)*(Results!$G$2:$G$5001)*1),SUMPRODUCT((Results!$A$2:$A$5001=Schedule!CT$45)*(Results!$B$2:$B$5001=12)*(Results!$G$2:$G$5001)*1),SUMPRODUCT((Results!$A$2:$A$5001=Schedule!CT$45)*(Results!$B$2:$B$5001=13)*(Results!$G$2:$G$5001)*1),SUMPRODUCT((Results!$A$2:$A$5001=Schedule!CT$45)*(Results!$B$2:$B$5001=14)*(Results!$G$2:$G$5001)*1),SUMPRODUCT((Results!$A$2:$A$5001=Schedule!CT$45)*(Results!$B$2:$B$5001=15)*(Results!$G$2:$G$5001)*1),SUMPRODUCT((Results!$A$2:$A$5001=Schedule!CT$45)*(Results!$B$2:$B$5001=16)*(Results!$G$2:$G$5001)*1),SUMPRODUCT((Results!$A$2:$A$5001=Schedule!CT$45)*(Results!$B$2:$B$5001=17)*(Results!$G$2:$G$5001)*1),SUMPRODUCT((Results!$A$2:$A$5001=Schedule!CT$45)*(Results!$B$2:$B$5001=18)*(Results!$G$2:$G$5001)*1),SUMPRODUCT((Results!$A$2:$A$5001=Schedule!CT$45)*(Results!$B$2:$B$5001=19)*(Results!$G$2:$G$5001)*1),SUMPRODUCT((Results!$A$2:$A$5001=Schedule!CT$45)*(Results!$B$2:$B$5001=20)*(Results!$G$2:$G$5001)*1))</f>
        <v>0</v>
      </c>
      <c r="CU73" s="88">
        <f>MAX(SUMPRODUCT((Results!$A$2:$A$5001=Schedule!CU$45)*(Results!$B$2:$B$5001=1)*(Results!$G$2:$G$5001)*1),SUMPRODUCT((Results!$A$2:$A$5001=Schedule!CU$45)*(Results!$B$2:$B$5001=2)*(Results!$G$2:$G$5001)*1),SUMPRODUCT((Results!$A$2:$A$5001=Schedule!CU$45)*(Results!$B$2:$B$5001=3)*(Results!$G$2:$G$5001)*1),SUMPRODUCT((Results!$A$2:$A$5001=Schedule!CU$45)*(Results!$B$2:$B$5001=4)*(Results!$G$2:$G$5001)*1),SUMPRODUCT((Results!$A$2:$A$5001=Schedule!CU$45)*(Results!$B$2:$B$5001=5)*(Results!$G$2:$G$5001)*1),SUMPRODUCT((Results!$A$2:$A$5001=Schedule!CU$45)*(Results!$B$2:$B$5001=6)*(Results!$G$2:$G$5001)*1),SUMPRODUCT((Results!$A$2:$A$5001=Schedule!CU$45)*(Results!$B$2:$B$5001=7)*(Results!$G$2:$G$5001)*1),SUMPRODUCT((Results!$A$2:$A$5001=Schedule!CU$45)*(Results!$B$2:$B$5001=8)*(Results!$G$2:$G$5001)*1),SUMPRODUCT((Results!$A$2:$A$5001=Schedule!CU$45)*(Results!$B$2:$B$5001=9)*(Results!$G$2:$G$5001)*1),SUMPRODUCT((Results!$A$2:$A$5001=Schedule!CU$45)*(Results!$B$2:$B$5001=10)*(Results!$G$2:$G$5001)*1),SUMPRODUCT((Results!$A$2:$A$5001=Schedule!CU$45)*(Results!$B$2:$B$5001=11)*(Results!$G$2:$G$5001)*1),SUMPRODUCT((Results!$A$2:$A$5001=Schedule!CU$45)*(Results!$B$2:$B$5001=12)*(Results!$G$2:$G$5001)*1),SUMPRODUCT((Results!$A$2:$A$5001=Schedule!CU$45)*(Results!$B$2:$B$5001=13)*(Results!$G$2:$G$5001)*1),SUMPRODUCT((Results!$A$2:$A$5001=Schedule!CU$45)*(Results!$B$2:$B$5001=14)*(Results!$G$2:$G$5001)*1),SUMPRODUCT((Results!$A$2:$A$5001=Schedule!CU$45)*(Results!$B$2:$B$5001=15)*(Results!$G$2:$G$5001)*1),SUMPRODUCT((Results!$A$2:$A$5001=Schedule!CU$45)*(Results!$B$2:$B$5001=16)*(Results!$G$2:$G$5001)*1),SUMPRODUCT((Results!$A$2:$A$5001=Schedule!CU$45)*(Results!$B$2:$B$5001=17)*(Results!$G$2:$G$5001)*1),SUMPRODUCT((Results!$A$2:$A$5001=Schedule!CU$45)*(Results!$B$2:$B$5001=18)*(Results!$G$2:$G$5001)*1),SUMPRODUCT((Results!$A$2:$A$5001=Schedule!CU$45)*(Results!$B$2:$B$5001=19)*(Results!$G$2:$G$5001)*1),SUMPRODUCT((Results!$A$2:$A$5001=Schedule!CU$45)*(Results!$B$2:$B$5001=20)*(Results!$G$2:$G$5001)*1))</f>
        <v>0</v>
      </c>
      <c r="CV73" s="88">
        <f>MAX(SUMPRODUCT((Results!$A$2:$A$5001=Schedule!CV$45)*(Results!$B$2:$B$5001=1)*(Results!$G$2:$G$5001)*1),SUMPRODUCT((Results!$A$2:$A$5001=Schedule!CV$45)*(Results!$B$2:$B$5001=2)*(Results!$G$2:$G$5001)*1),SUMPRODUCT((Results!$A$2:$A$5001=Schedule!CV$45)*(Results!$B$2:$B$5001=3)*(Results!$G$2:$G$5001)*1),SUMPRODUCT((Results!$A$2:$A$5001=Schedule!CV$45)*(Results!$B$2:$B$5001=4)*(Results!$G$2:$G$5001)*1),SUMPRODUCT((Results!$A$2:$A$5001=Schedule!CV$45)*(Results!$B$2:$B$5001=5)*(Results!$G$2:$G$5001)*1),SUMPRODUCT((Results!$A$2:$A$5001=Schedule!CV$45)*(Results!$B$2:$B$5001=6)*(Results!$G$2:$G$5001)*1),SUMPRODUCT((Results!$A$2:$A$5001=Schedule!CV$45)*(Results!$B$2:$B$5001=7)*(Results!$G$2:$G$5001)*1),SUMPRODUCT((Results!$A$2:$A$5001=Schedule!CV$45)*(Results!$B$2:$B$5001=8)*(Results!$G$2:$G$5001)*1),SUMPRODUCT((Results!$A$2:$A$5001=Schedule!CV$45)*(Results!$B$2:$B$5001=9)*(Results!$G$2:$G$5001)*1),SUMPRODUCT((Results!$A$2:$A$5001=Schedule!CV$45)*(Results!$B$2:$B$5001=10)*(Results!$G$2:$G$5001)*1),SUMPRODUCT((Results!$A$2:$A$5001=Schedule!CV$45)*(Results!$B$2:$B$5001=11)*(Results!$G$2:$G$5001)*1),SUMPRODUCT((Results!$A$2:$A$5001=Schedule!CV$45)*(Results!$B$2:$B$5001=12)*(Results!$G$2:$G$5001)*1),SUMPRODUCT((Results!$A$2:$A$5001=Schedule!CV$45)*(Results!$B$2:$B$5001=13)*(Results!$G$2:$G$5001)*1),SUMPRODUCT((Results!$A$2:$A$5001=Schedule!CV$45)*(Results!$B$2:$B$5001=14)*(Results!$G$2:$G$5001)*1),SUMPRODUCT((Results!$A$2:$A$5001=Schedule!CV$45)*(Results!$B$2:$B$5001=15)*(Results!$G$2:$G$5001)*1),SUMPRODUCT((Results!$A$2:$A$5001=Schedule!CV$45)*(Results!$B$2:$B$5001=16)*(Results!$G$2:$G$5001)*1),SUMPRODUCT((Results!$A$2:$A$5001=Schedule!CV$45)*(Results!$B$2:$B$5001=17)*(Results!$G$2:$G$5001)*1),SUMPRODUCT((Results!$A$2:$A$5001=Schedule!CV$45)*(Results!$B$2:$B$5001=18)*(Results!$G$2:$G$5001)*1),SUMPRODUCT((Results!$A$2:$A$5001=Schedule!CV$45)*(Results!$B$2:$B$5001=19)*(Results!$G$2:$G$5001)*1),SUMPRODUCT((Results!$A$2:$A$5001=Schedule!CV$45)*(Results!$B$2:$B$5001=20)*(Results!$G$2:$G$5001)*1))</f>
        <v>0</v>
      </c>
      <c r="CW73" s="88">
        <f>MAX(SUMPRODUCT((Results!$A$2:$A$5001=Schedule!CW$45)*(Results!$B$2:$B$5001=1)*(Results!$G$2:$G$5001)*1),SUMPRODUCT((Results!$A$2:$A$5001=Schedule!CW$45)*(Results!$B$2:$B$5001=2)*(Results!$G$2:$G$5001)*1),SUMPRODUCT((Results!$A$2:$A$5001=Schedule!CW$45)*(Results!$B$2:$B$5001=3)*(Results!$G$2:$G$5001)*1),SUMPRODUCT((Results!$A$2:$A$5001=Schedule!CW$45)*(Results!$B$2:$B$5001=4)*(Results!$G$2:$G$5001)*1),SUMPRODUCT((Results!$A$2:$A$5001=Schedule!CW$45)*(Results!$B$2:$B$5001=5)*(Results!$G$2:$G$5001)*1),SUMPRODUCT((Results!$A$2:$A$5001=Schedule!CW$45)*(Results!$B$2:$B$5001=6)*(Results!$G$2:$G$5001)*1),SUMPRODUCT((Results!$A$2:$A$5001=Schedule!CW$45)*(Results!$B$2:$B$5001=7)*(Results!$G$2:$G$5001)*1),SUMPRODUCT((Results!$A$2:$A$5001=Schedule!CW$45)*(Results!$B$2:$B$5001=8)*(Results!$G$2:$G$5001)*1),SUMPRODUCT((Results!$A$2:$A$5001=Schedule!CW$45)*(Results!$B$2:$B$5001=9)*(Results!$G$2:$G$5001)*1),SUMPRODUCT((Results!$A$2:$A$5001=Schedule!CW$45)*(Results!$B$2:$B$5001=10)*(Results!$G$2:$G$5001)*1),SUMPRODUCT((Results!$A$2:$A$5001=Schedule!CW$45)*(Results!$B$2:$B$5001=11)*(Results!$G$2:$G$5001)*1),SUMPRODUCT((Results!$A$2:$A$5001=Schedule!CW$45)*(Results!$B$2:$B$5001=12)*(Results!$G$2:$G$5001)*1),SUMPRODUCT((Results!$A$2:$A$5001=Schedule!CW$45)*(Results!$B$2:$B$5001=13)*(Results!$G$2:$G$5001)*1),SUMPRODUCT((Results!$A$2:$A$5001=Schedule!CW$45)*(Results!$B$2:$B$5001=14)*(Results!$G$2:$G$5001)*1),SUMPRODUCT((Results!$A$2:$A$5001=Schedule!CW$45)*(Results!$B$2:$B$5001=15)*(Results!$G$2:$G$5001)*1),SUMPRODUCT((Results!$A$2:$A$5001=Schedule!CW$45)*(Results!$B$2:$B$5001=16)*(Results!$G$2:$G$5001)*1),SUMPRODUCT((Results!$A$2:$A$5001=Schedule!CW$45)*(Results!$B$2:$B$5001=17)*(Results!$G$2:$G$5001)*1),SUMPRODUCT((Results!$A$2:$A$5001=Schedule!CW$45)*(Results!$B$2:$B$5001=18)*(Results!$G$2:$G$5001)*1),SUMPRODUCT((Results!$A$2:$A$5001=Schedule!CW$45)*(Results!$B$2:$B$5001=19)*(Results!$G$2:$G$5001)*1),SUMPRODUCT((Results!$A$2:$A$5001=Schedule!CW$45)*(Results!$B$2:$B$5001=20)*(Results!$G$2:$G$5001)*1))</f>
        <v>0</v>
      </c>
      <c r="CX73" s="88">
        <f>MAX(SUMPRODUCT((Results!$A$2:$A$5001=Schedule!CX$45)*(Results!$B$2:$B$5001=1)*(Results!$G$2:$G$5001)*1),SUMPRODUCT((Results!$A$2:$A$5001=Schedule!CX$45)*(Results!$B$2:$B$5001=2)*(Results!$G$2:$G$5001)*1),SUMPRODUCT((Results!$A$2:$A$5001=Schedule!CX$45)*(Results!$B$2:$B$5001=3)*(Results!$G$2:$G$5001)*1),SUMPRODUCT((Results!$A$2:$A$5001=Schedule!CX$45)*(Results!$B$2:$B$5001=4)*(Results!$G$2:$G$5001)*1),SUMPRODUCT((Results!$A$2:$A$5001=Schedule!CX$45)*(Results!$B$2:$B$5001=5)*(Results!$G$2:$G$5001)*1),SUMPRODUCT((Results!$A$2:$A$5001=Schedule!CX$45)*(Results!$B$2:$B$5001=6)*(Results!$G$2:$G$5001)*1),SUMPRODUCT((Results!$A$2:$A$5001=Schedule!CX$45)*(Results!$B$2:$B$5001=7)*(Results!$G$2:$G$5001)*1),SUMPRODUCT((Results!$A$2:$A$5001=Schedule!CX$45)*(Results!$B$2:$B$5001=8)*(Results!$G$2:$G$5001)*1),SUMPRODUCT((Results!$A$2:$A$5001=Schedule!CX$45)*(Results!$B$2:$B$5001=9)*(Results!$G$2:$G$5001)*1),SUMPRODUCT((Results!$A$2:$A$5001=Schedule!CX$45)*(Results!$B$2:$B$5001=10)*(Results!$G$2:$G$5001)*1),SUMPRODUCT((Results!$A$2:$A$5001=Schedule!CX$45)*(Results!$B$2:$B$5001=11)*(Results!$G$2:$G$5001)*1),SUMPRODUCT((Results!$A$2:$A$5001=Schedule!CX$45)*(Results!$B$2:$B$5001=12)*(Results!$G$2:$G$5001)*1),SUMPRODUCT((Results!$A$2:$A$5001=Schedule!CX$45)*(Results!$B$2:$B$5001=13)*(Results!$G$2:$G$5001)*1),SUMPRODUCT((Results!$A$2:$A$5001=Schedule!CX$45)*(Results!$B$2:$B$5001=14)*(Results!$G$2:$G$5001)*1),SUMPRODUCT((Results!$A$2:$A$5001=Schedule!CX$45)*(Results!$B$2:$B$5001=15)*(Results!$G$2:$G$5001)*1),SUMPRODUCT((Results!$A$2:$A$5001=Schedule!CX$45)*(Results!$B$2:$B$5001=16)*(Results!$G$2:$G$5001)*1),SUMPRODUCT((Results!$A$2:$A$5001=Schedule!CX$45)*(Results!$B$2:$B$5001=17)*(Results!$G$2:$G$5001)*1),SUMPRODUCT((Results!$A$2:$A$5001=Schedule!CX$45)*(Results!$B$2:$B$5001=18)*(Results!$G$2:$G$5001)*1),SUMPRODUCT((Results!$A$2:$A$5001=Schedule!CX$45)*(Results!$B$2:$B$5001=19)*(Results!$G$2:$G$5001)*1),SUMPRODUCT((Results!$A$2:$A$5001=Schedule!CX$45)*(Results!$B$2:$B$5001=20)*(Results!$G$2:$G$5001)*1))</f>
        <v>0</v>
      </c>
      <c r="CY73" s="88">
        <f>MAX(SUMPRODUCT((Results!$A$2:$A$5001=Schedule!CY$45)*(Results!$B$2:$B$5001=1)*(Results!$G$2:$G$5001)*1),SUMPRODUCT((Results!$A$2:$A$5001=Schedule!CY$45)*(Results!$B$2:$B$5001=2)*(Results!$G$2:$G$5001)*1),SUMPRODUCT((Results!$A$2:$A$5001=Schedule!CY$45)*(Results!$B$2:$B$5001=3)*(Results!$G$2:$G$5001)*1),SUMPRODUCT((Results!$A$2:$A$5001=Schedule!CY$45)*(Results!$B$2:$B$5001=4)*(Results!$G$2:$G$5001)*1),SUMPRODUCT((Results!$A$2:$A$5001=Schedule!CY$45)*(Results!$B$2:$B$5001=5)*(Results!$G$2:$G$5001)*1),SUMPRODUCT((Results!$A$2:$A$5001=Schedule!CY$45)*(Results!$B$2:$B$5001=6)*(Results!$G$2:$G$5001)*1),SUMPRODUCT((Results!$A$2:$A$5001=Schedule!CY$45)*(Results!$B$2:$B$5001=7)*(Results!$G$2:$G$5001)*1),SUMPRODUCT((Results!$A$2:$A$5001=Schedule!CY$45)*(Results!$B$2:$B$5001=8)*(Results!$G$2:$G$5001)*1),SUMPRODUCT((Results!$A$2:$A$5001=Schedule!CY$45)*(Results!$B$2:$B$5001=9)*(Results!$G$2:$G$5001)*1),SUMPRODUCT((Results!$A$2:$A$5001=Schedule!CY$45)*(Results!$B$2:$B$5001=10)*(Results!$G$2:$G$5001)*1),SUMPRODUCT((Results!$A$2:$A$5001=Schedule!CY$45)*(Results!$B$2:$B$5001=11)*(Results!$G$2:$G$5001)*1),SUMPRODUCT((Results!$A$2:$A$5001=Schedule!CY$45)*(Results!$B$2:$B$5001=12)*(Results!$G$2:$G$5001)*1),SUMPRODUCT((Results!$A$2:$A$5001=Schedule!CY$45)*(Results!$B$2:$B$5001=13)*(Results!$G$2:$G$5001)*1),SUMPRODUCT((Results!$A$2:$A$5001=Schedule!CY$45)*(Results!$B$2:$B$5001=14)*(Results!$G$2:$G$5001)*1),SUMPRODUCT((Results!$A$2:$A$5001=Schedule!CY$45)*(Results!$B$2:$B$5001=15)*(Results!$G$2:$G$5001)*1),SUMPRODUCT((Results!$A$2:$A$5001=Schedule!CY$45)*(Results!$B$2:$B$5001=16)*(Results!$G$2:$G$5001)*1),SUMPRODUCT((Results!$A$2:$A$5001=Schedule!CY$45)*(Results!$B$2:$B$5001=17)*(Results!$G$2:$G$5001)*1),SUMPRODUCT((Results!$A$2:$A$5001=Schedule!CY$45)*(Results!$B$2:$B$5001=18)*(Results!$G$2:$G$5001)*1),SUMPRODUCT((Results!$A$2:$A$5001=Schedule!CY$45)*(Results!$B$2:$B$5001=19)*(Results!$G$2:$G$5001)*1),SUMPRODUCT((Results!$A$2:$A$5001=Schedule!CY$45)*(Results!$B$2:$B$5001=20)*(Results!$G$2:$G$5001)*1))</f>
        <v>0</v>
      </c>
      <c r="CZ73" s="88">
        <f>MAX(SUMPRODUCT((Results!$A$2:$A$5001=Schedule!CZ$45)*(Results!$B$2:$B$5001=1)*(Results!$G$2:$G$5001)*1),SUMPRODUCT((Results!$A$2:$A$5001=Schedule!CZ$45)*(Results!$B$2:$B$5001=2)*(Results!$G$2:$G$5001)*1),SUMPRODUCT((Results!$A$2:$A$5001=Schedule!CZ$45)*(Results!$B$2:$B$5001=3)*(Results!$G$2:$G$5001)*1),SUMPRODUCT((Results!$A$2:$A$5001=Schedule!CZ$45)*(Results!$B$2:$B$5001=4)*(Results!$G$2:$G$5001)*1),SUMPRODUCT((Results!$A$2:$A$5001=Schedule!CZ$45)*(Results!$B$2:$B$5001=5)*(Results!$G$2:$G$5001)*1),SUMPRODUCT((Results!$A$2:$A$5001=Schedule!CZ$45)*(Results!$B$2:$B$5001=6)*(Results!$G$2:$G$5001)*1),SUMPRODUCT((Results!$A$2:$A$5001=Schedule!CZ$45)*(Results!$B$2:$B$5001=7)*(Results!$G$2:$G$5001)*1),SUMPRODUCT((Results!$A$2:$A$5001=Schedule!CZ$45)*(Results!$B$2:$B$5001=8)*(Results!$G$2:$G$5001)*1),SUMPRODUCT((Results!$A$2:$A$5001=Schedule!CZ$45)*(Results!$B$2:$B$5001=9)*(Results!$G$2:$G$5001)*1),SUMPRODUCT((Results!$A$2:$A$5001=Schedule!CZ$45)*(Results!$B$2:$B$5001=10)*(Results!$G$2:$G$5001)*1),SUMPRODUCT((Results!$A$2:$A$5001=Schedule!CZ$45)*(Results!$B$2:$B$5001=11)*(Results!$G$2:$G$5001)*1),SUMPRODUCT((Results!$A$2:$A$5001=Schedule!CZ$45)*(Results!$B$2:$B$5001=12)*(Results!$G$2:$G$5001)*1),SUMPRODUCT((Results!$A$2:$A$5001=Schedule!CZ$45)*(Results!$B$2:$B$5001=13)*(Results!$G$2:$G$5001)*1),SUMPRODUCT((Results!$A$2:$A$5001=Schedule!CZ$45)*(Results!$B$2:$B$5001=14)*(Results!$G$2:$G$5001)*1),SUMPRODUCT((Results!$A$2:$A$5001=Schedule!CZ$45)*(Results!$B$2:$B$5001=15)*(Results!$G$2:$G$5001)*1),SUMPRODUCT((Results!$A$2:$A$5001=Schedule!CZ$45)*(Results!$B$2:$B$5001=16)*(Results!$G$2:$G$5001)*1),SUMPRODUCT((Results!$A$2:$A$5001=Schedule!CZ$45)*(Results!$B$2:$B$5001=17)*(Results!$G$2:$G$5001)*1),SUMPRODUCT((Results!$A$2:$A$5001=Schedule!CZ$45)*(Results!$B$2:$B$5001=18)*(Results!$G$2:$G$5001)*1),SUMPRODUCT((Results!$A$2:$A$5001=Schedule!CZ$45)*(Results!$B$2:$B$5001=19)*(Results!$G$2:$G$5001)*1),SUMPRODUCT((Results!$A$2:$A$5001=Schedule!CZ$45)*(Results!$B$2:$B$5001=20)*(Results!$G$2:$G$5001)*1))</f>
        <v>0</v>
      </c>
      <c r="DA73" s="88">
        <f>MAX(SUMPRODUCT((Results!$A$2:$A$5001=Schedule!DA$45)*(Results!$B$2:$B$5001=1)*(Results!$G$2:$G$5001)*1),SUMPRODUCT((Results!$A$2:$A$5001=Schedule!DA$45)*(Results!$B$2:$B$5001=2)*(Results!$G$2:$G$5001)*1),SUMPRODUCT((Results!$A$2:$A$5001=Schedule!DA$45)*(Results!$B$2:$B$5001=3)*(Results!$G$2:$G$5001)*1),SUMPRODUCT((Results!$A$2:$A$5001=Schedule!DA$45)*(Results!$B$2:$B$5001=4)*(Results!$G$2:$G$5001)*1),SUMPRODUCT((Results!$A$2:$A$5001=Schedule!DA$45)*(Results!$B$2:$B$5001=5)*(Results!$G$2:$G$5001)*1),SUMPRODUCT((Results!$A$2:$A$5001=Schedule!DA$45)*(Results!$B$2:$B$5001=6)*(Results!$G$2:$G$5001)*1),SUMPRODUCT((Results!$A$2:$A$5001=Schedule!DA$45)*(Results!$B$2:$B$5001=7)*(Results!$G$2:$G$5001)*1),SUMPRODUCT((Results!$A$2:$A$5001=Schedule!DA$45)*(Results!$B$2:$B$5001=8)*(Results!$G$2:$G$5001)*1),SUMPRODUCT((Results!$A$2:$A$5001=Schedule!DA$45)*(Results!$B$2:$B$5001=9)*(Results!$G$2:$G$5001)*1),SUMPRODUCT((Results!$A$2:$A$5001=Schedule!DA$45)*(Results!$B$2:$B$5001=10)*(Results!$G$2:$G$5001)*1),SUMPRODUCT((Results!$A$2:$A$5001=Schedule!DA$45)*(Results!$B$2:$B$5001=11)*(Results!$G$2:$G$5001)*1),SUMPRODUCT((Results!$A$2:$A$5001=Schedule!DA$45)*(Results!$B$2:$B$5001=12)*(Results!$G$2:$G$5001)*1),SUMPRODUCT((Results!$A$2:$A$5001=Schedule!DA$45)*(Results!$B$2:$B$5001=13)*(Results!$G$2:$G$5001)*1),SUMPRODUCT((Results!$A$2:$A$5001=Schedule!DA$45)*(Results!$B$2:$B$5001=14)*(Results!$G$2:$G$5001)*1),SUMPRODUCT((Results!$A$2:$A$5001=Schedule!DA$45)*(Results!$B$2:$B$5001=15)*(Results!$G$2:$G$5001)*1),SUMPRODUCT((Results!$A$2:$A$5001=Schedule!DA$45)*(Results!$B$2:$B$5001=16)*(Results!$G$2:$G$5001)*1),SUMPRODUCT((Results!$A$2:$A$5001=Schedule!DA$45)*(Results!$B$2:$B$5001=17)*(Results!$G$2:$G$5001)*1),SUMPRODUCT((Results!$A$2:$A$5001=Schedule!DA$45)*(Results!$B$2:$B$5001=18)*(Results!$G$2:$G$5001)*1),SUMPRODUCT((Results!$A$2:$A$5001=Schedule!DA$45)*(Results!$B$2:$B$5001=19)*(Results!$G$2:$G$5001)*1),SUMPRODUCT((Results!$A$2:$A$5001=Schedule!DA$45)*(Results!$B$2:$B$5001=20)*(Results!$G$2:$G$5001)*1))</f>
        <v>0</v>
      </c>
      <c r="DB73" s="88">
        <f>MAX(SUMPRODUCT((Results!$A$2:$A$5001=Schedule!DB$45)*(Results!$B$2:$B$5001=1)*(Results!$G$2:$G$5001)*1),SUMPRODUCT((Results!$A$2:$A$5001=Schedule!DB$45)*(Results!$B$2:$B$5001=2)*(Results!$G$2:$G$5001)*1),SUMPRODUCT((Results!$A$2:$A$5001=Schedule!DB$45)*(Results!$B$2:$B$5001=3)*(Results!$G$2:$G$5001)*1),SUMPRODUCT((Results!$A$2:$A$5001=Schedule!DB$45)*(Results!$B$2:$B$5001=4)*(Results!$G$2:$G$5001)*1),SUMPRODUCT((Results!$A$2:$A$5001=Schedule!DB$45)*(Results!$B$2:$B$5001=5)*(Results!$G$2:$G$5001)*1),SUMPRODUCT((Results!$A$2:$A$5001=Schedule!DB$45)*(Results!$B$2:$B$5001=6)*(Results!$G$2:$G$5001)*1),SUMPRODUCT((Results!$A$2:$A$5001=Schedule!DB$45)*(Results!$B$2:$B$5001=7)*(Results!$G$2:$G$5001)*1),SUMPRODUCT((Results!$A$2:$A$5001=Schedule!DB$45)*(Results!$B$2:$B$5001=8)*(Results!$G$2:$G$5001)*1),SUMPRODUCT((Results!$A$2:$A$5001=Schedule!DB$45)*(Results!$B$2:$B$5001=9)*(Results!$G$2:$G$5001)*1),SUMPRODUCT((Results!$A$2:$A$5001=Schedule!DB$45)*(Results!$B$2:$B$5001=10)*(Results!$G$2:$G$5001)*1),SUMPRODUCT((Results!$A$2:$A$5001=Schedule!DB$45)*(Results!$B$2:$B$5001=11)*(Results!$G$2:$G$5001)*1),SUMPRODUCT((Results!$A$2:$A$5001=Schedule!DB$45)*(Results!$B$2:$B$5001=12)*(Results!$G$2:$G$5001)*1),SUMPRODUCT((Results!$A$2:$A$5001=Schedule!DB$45)*(Results!$B$2:$B$5001=13)*(Results!$G$2:$G$5001)*1),SUMPRODUCT((Results!$A$2:$A$5001=Schedule!DB$45)*(Results!$B$2:$B$5001=14)*(Results!$G$2:$G$5001)*1),SUMPRODUCT((Results!$A$2:$A$5001=Schedule!DB$45)*(Results!$B$2:$B$5001=15)*(Results!$G$2:$G$5001)*1),SUMPRODUCT((Results!$A$2:$A$5001=Schedule!DB$45)*(Results!$B$2:$B$5001=16)*(Results!$G$2:$G$5001)*1),SUMPRODUCT((Results!$A$2:$A$5001=Schedule!DB$45)*(Results!$B$2:$B$5001=17)*(Results!$G$2:$G$5001)*1),SUMPRODUCT((Results!$A$2:$A$5001=Schedule!DB$45)*(Results!$B$2:$B$5001=18)*(Results!$G$2:$G$5001)*1),SUMPRODUCT((Results!$A$2:$A$5001=Schedule!DB$45)*(Results!$B$2:$B$5001=19)*(Results!$G$2:$G$5001)*1),SUMPRODUCT((Results!$A$2:$A$5001=Schedule!DB$45)*(Results!$B$2:$B$5001=20)*(Results!$G$2:$G$5001)*1))</f>
        <v>0</v>
      </c>
      <c r="DC73" s="88">
        <f>MAX(SUMPRODUCT((Results!$A$2:$A$5001=Schedule!DC$45)*(Results!$B$2:$B$5001=1)*(Results!$G$2:$G$5001)*1),SUMPRODUCT((Results!$A$2:$A$5001=Schedule!DC$45)*(Results!$B$2:$B$5001=2)*(Results!$G$2:$G$5001)*1),SUMPRODUCT((Results!$A$2:$A$5001=Schedule!DC$45)*(Results!$B$2:$B$5001=3)*(Results!$G$2:$G$5001)*1),SUMPRODUCT((Results!$A$2:$A$5001=Schedule!DC$45)*(Results!$B$2:$B$5001=4)*(Results!$G$2:$G$5001)*1),SUMPRODUCT((Results!$A$2:$A$5001=Schedule!DC$45)*(Results!$B$2:$B$5001=5)*(Results!$G$2:$G$5001)*1),SUMPRODUCT((Results!$A$2:$A$5001=Schedule!DC$45)*(Results!$B$2:$B$5001=6)*(Results!$G$2:$G$5001)*1),SUMPRODUCT((Results!$A$2:$A$5001=Schedule!DC$45)*(Results!$B$2:$B$5001=7)*(Results!$G$2:$G$5001)*1),SUMPRODUCT((Results!$A$2:$A$5001=Schedule!DC$45)*(Results!$B$2:$B$5001=8)*(Results!$G$2:$G$5001)*1),SUMPRODUCT((Results!$A$2:$A$5001=Schedule!DC$45)*(Results!$B$2:$B$5001=9)*(Results!$G$2:$G$5001)*1),SUMPRODUCT((Results!$A$2:$A$5001=Schedule!DC$45)*(Results!$B$2:$B$5001=10)*(Results!$G$2:$G$5001)*1),SUMPRODUCT((Results!$A$2:$A$5001=Schedule!DC$45)*(Results!$B$2:$B$5001=11)*(Results!$G$2:$G$5001)*1),SUMPRODUCT((Results!$A$2:$A$5001=Schedule!DC$45)*(Results!$B$2:$B$5001=12)*(Results!$G$2:$G$5001)*1),SUMPRODUCT((Results!$A$2:$A$5001=Schedule!DC$45)*(Results!$B$2:$B$5001=13)*(Results!$G$2:$G$5001)*1),SUMPRODUCT((Results!$A$2:$A$5001=Schedule!DC$45)*(Results!$B$2:$B$5001=14)*(Results!$G$2:$G$5001)*1),SUMPRODUCT((Results!$A$2:$A$5001=Schedule!DC$45)*(Results!$B$2:$B$5001=15)*(Results!$G$2:$G$5001)*1),SUMPRODUCT((Results!$A$2:$A$5001=Schedule!DC$45)*(Results!$B$2:$B$5001=16)*(Results!$G$2:$G$5001)*1),SUMPRODUCT((Results!$A$2:$A$5001=Schedule!DC$45)*(Results!$B$2:$B$5001=17)*(Results!$G$2:$G$5001)*1),SUMPRODUCT((Results!$A$2:$A$5001=Schedule!DC$45)*(Results!$B$2:$B$5001=18)*(Results!$G$2:$G$5001)*1),SUMPRODUCT((Results!$A$2:$A$5001=Schedule!DC$45)*(Results!$B$2:$B$5001=19)*(Results!$G$2:$G$5001)*1),SUMPRODUCT((Results!$A$2:$A$5001=Schedule!DC$45)*(Results!$B$2:$B$5001=20)*(Results!$G$2:$G$5001)*1))</f>
        <v>0</v>
      </c>
      <c r="DD73" s="88">
        <f>MAX(SUMPRODUCT((Results!$A$2:$A$5001=Schedule!DD$45)*(Results!$B$2:$B$5001=1)*(Results!$G$2:$G$5001)*1),SUMPRODUCT((Results!$A$2:$A$5001=Schedule!DD$45)*(Results!$B$2:$B$5001=2)*(Results!$G$2:$G$5001)*1),SUMPRODUCT((Results!$A$2:$A$5001=Schedule!DD$45)*(Results!$B$2:$B$5001=3)*(Results!$G$2:$G$5001)*1),SUMPRODUCT((Results!$A$2:$A$5001=Schedule!DD$45)*(Results!$B$2:$B$5001=4)*(Results!$G$2:$G$5001)*1),SUMPRODUCT((Results!$A$2:$A$5001=Schedule!DD$45)*(Results!$B$2:$B$5001=5)*(Results!$G$2:$G$5001)*1),SUMPRODUCT((Results!$A$2:$A$5001=Schedule!DD$45)*(Results!$B$2:$B$5001=6)*(Results!$G$2:$G$5001)*1),SUMPRODUCT((Results!$A$2:$A$5001=Schedule!DD$45)*(Results!$B$2:$B$5001=7)*(Results!$G$2:$G$5001)*1),SUMPRODUCT((Results!$A$2:$A$5001=Schedule!DD$45)*(Results!$B$2:$B$5001=8)*(Results!$G$2:$G$5001)*1),SUMPRODUCT((Results!$A$2:$A$5001=Schedule!DD$45)*(Results!$B$2:$B$5001=9)*(Results!$G$2:$G$5001)*1),SUMPRODUCT((Results!$A$2:$A$5001=Schedule!DD$45)*(Results!$B$2:$B$5001=10)*(Results!$G$2:$G$5001)*1),SUMPRODUCT((Results!$A$2:$A$5001=Schedule!DD$45)*(Results!$B$2:$B$5001=11)*(Results!$G$2:$G$5001)*1),SUMPRODUCT((Results!$A$2:$A$5001=Schedule!DD$45)*(Results!$B$2:$B$5001=12)*(Results!$G$2:$G$5001)*1),SUMPRODUCT((Results!$A$2:$A$5001=Schedule!DD$45)*(Results!$B$2:$B$5001=13)*(Results!$G$2:$G$5001)*1),SUMPRODUCT((Results!$A$2:$A$5001=Schedule!DD$45)*(Results!$B$2:$B$5001=14)*(Results!$G$2:$G$5001)*1),SUMPRODUCT((Results!$A$2:$A$5001=Schedule!DD$45)*(Results!$B$2:$B$5001=15)*(Results!$G$2:$G$5001)*1),SUMPRODUCT((Results!$A$2:$A$5001=Schedule!DD$45)*(Results!$B$2:$B$5001=16)*(Results!$G$2:$G$5001)*1),SUMPRODUCT((Results!$A$2:$A$5001=Schedule!DD$45)*(Results!$B$2:$B$5001=17)*(Results!$G$2:$G$5001)*1),SUMPRODUCT((Results!$A$2:$A$5001=Schedule!DD$45)*(Results!$B$2:$B$5001=18)*(Results!$G$2:$G$5001)*1),SUMPRODUCT((Results!$A$2:$A$5001=Schedule!DD$45)*(Results!$B$2:$B$5001=19)*(Results!$G$2:$G$5001)*1),SUMPRODUCT((Results!$A$2:$A$5001=Schedule!DD$45)*(Results!$B$2:$B$5001=20)*(Results!$G$2:$G$5001)*1))</f>
        <v>0</v>
      </c>
      <c r="DE73" s="88">
        <f>MAX(SUMPRODUCT((Results!$A$2:$A$5001=Schedule!DE$45)*(Results!$B$2:$B$5001=1)*(Results!$G$2:$G$5001)*1),SUMPRODUCT((Results!$A$2:$A$5001=Schedule!DE$45)*(Results!$B$2:$B$5001=2)*(Results!$G$2:$G$5001)*1),SUMPRODUCT((Results!$A$2:$A$5001=Schedule!DE$45)*(Results!$B$2:$B$5001=3)*(Results!$G$2:$G$5001)*1),SUMPRODUCT((Results!$A$2:$A$5001=Schedule!DE$45)*(Results!$B$2:$B$5001=4)*(Results!$G$2:$G$5001)*1),SUMPRODUCT((Results!$A$2:$A$5001=Schedule!DE$45)*(Results!$B$2:$B$5001=5)*(Results!$G$2:$G$5001)*1),SUMPRODUCT((Results!$A$2:$A$5001=Schedule!DE$45)*(Results!$B$2:$B$5001=6)*(Results!$G$2:$G$5001)*1),SUMPRODUCT((Results!$A$2:$A$5001=Schedule!DE$45)*(Results!$B$2:$B$5001=7)*(Results!$G$2:$G$5001)*1),SUMPRODUCT((Results!$A$2:$A$5001=Schedule!DE$45)*(Results!$B$2:$B$5001=8)*(Results!$G$2:$G$5001)*1),SUMPRODUCT((Results!$A$2:$A$5001=Schedule!DE$45)*(Results!$B$2:$B$5001=9)*(Results!$G$2:$G$5001)*1),SUMPRODUCT((Results!$A$2:$A$5001=Schedule!DE$45)*(Results!$B$2:$B$5001=10)*(Results!$G$2:$G$5001)*1),SUMPRODUCT((Results!$A$2:$A$5001=Schedule!DE$45)*(Results!$B$2:$B$5001=11)*(Results!$G$2:$G$5001)*1),SUMPRODUCT((Results!$A$2:$A$5001=Schedule!DE$45)*(Results!$B$2:$B$5001=12)*(Results!$G$2:$G$5001)*1),SUMPRODUCT((Results!$A$2:$A$5001=Schedule!DE$45)*(Results!$B$2:$B$5001=13)*(Results!$G$2:$G$5001)*1),SUMPRODUCT((Results!$A$2:$A$5001=Schedule!DE$45)*(Results!$B$2:$B$5001=14)*(Results!$G$2:$G$5001)*1),SUMPRODUCT((Results!$A$2:$A$5001=Schedule!DE$45)*(Results!$B$2:$B$5001=15)*(Results!$G$2:$G$5001)*1),SUMPRODUCT((Results!$A$2:$A$5001=Schedule!DE$45)*(Results!$B$2:$B$5001=16)*(Results!$G$2:$G$5001)*1),SUMPRODUCT((Results!$A$2:$A$5001=Schedule!DE$45)*(Results!$B$2:$B$5001=17)*(Results!$G$2:$G$5001)*1),SUMPRODUCT((Results!$A$2:$A$5001=Schedule!DE$45)*(Results!$B$2:$B$5001=18)*(Results!$G$2:$G$5001)*1),SUMPRODUCT((Results!$A$2:$A$5001=Schedule!DE$45)*(Results!$B$2:$B$5001=19)*(Results!$G$2:$G$5001)*1),SUMPRODUCT((Results!$A$2:$A$5001=Schedule!DE$45)*(Results!$B$2:$B$5001=20)*(Results!$G$2:$G$5001)*1))</f>
        <v>0</v>
      </c>
      <c r="DF73" s="88">
        <f>MAX(SUMPRODUCT((Results!$A$2:$A$5001=Schedule!DF$45)*(Results!$B$2:$B$5001=1)*(Results!$G$2:$G$5001)*1),SUMPRODUCT((Results!$A$2:$A$5001=Schedule!DF$45)*(Results!$B$2:$B$5001=2)*(Results!$G$2:$G$5001)*1),SUMPRODUCT((Results!$A$2:$A$5001=Schedule!DF$45)*(Results!$B$2:$B$5001=3)*(Results!$G$2:$G$5001)*1),SUMPRODUCT((Results!$A$2:$A$5001=Schedule!DF$45)*(Results!$B$2:$B$5001=4)*(Results!$G$2:$G$5001)*1),SUMPRODUCT((Results!$A$2:$A$5001=Schedule!DF$45)*(Results!$B$2:$B$5001=5)*(Results!$G$2:$G$5001)*1),SUMPRODUCT((Results!$A$2:$A$5001=Schedule!DF$45)*(Results!$B$2:$B$5001=6)*(Results!$G$2:$G$5001)*1),SUMPRODUCT((Results!$A$2:$A$5001=Schedule!DF$45)*(Results!$B$2:$B$5001=7)*(Results!$G$2:$G$5001)*1),SUMPRODUCT((Results!$A$2:$A$5001=Schedule!DF$45)*(Results!$B$2:$B$5001=8)*(Results!$G$2:$G$5001)*1),SUMPRODUCT((Results!$A$2:$A$5001=Schedule!DF$45)*(Results!$B$2:$B$5001=9)*(Results!$G$2:$G$5001)*1),SUMPRODUCT((Results!$A$2:$A$5001=Schedule!DF$45)*(Results!$B$2:$B$5001=10)*(Results!$G$2:$G$5001)*1),SUMPRODUCT((Results!$A$2:$A$5001=Schedule!DF$45)*(Results!$B$2:$B$5001=11)*(Results!$G$2:$G$5001)*1),SUMPRODUCT((Results!$A$2:$A$5001=Schedule!DF$45)*(Results!$B$2:$B$5001=12)*(Results!$G$2:$G$5001)*1),SUMPRODUCT((Results!$A$2:$A$5001=Schedule!DF$45)*(Results!$B$2:$B$5001=13)*(Results!$G$2:$G$5001)*1),SUMPRODUCT((Results!$A$2:$A$5001=Schedule!DF$45)*(Results!$B$2:$B$5001=14)*(Results!$G$2:$G$5001)*1),SUMPRODUCT((Results!$A$2:$A$5001=Schedule!DF$45)*(Results!$B$2:$B$5001=15)*(Results!$G$2:$G$5001)*1),SUMPRODUCT((Results!$A$2:$A$5001=Schedule!DF$45)*(Results!$B$2:$B$5001=16)*(Results!$G$2:$G$5001)*1),SUMPRODUCT((Results!$A$2:$A$5001=Schedule!DF$45)*(Results!$B$2:$B$5001=17)*(Results!$G$2:$G$5001)*1),SUMPRODUCT((Results!$A$2:$A$5001=Schedule!DF$45)*(Results!$B$2:$B$5001=18)*(Results!$G$2:$G$5001)*1),SUMPRODUCT((Results!$A$2:$A$5001=Schedule!DF$45)*(Results!$B$2:$B$5001=19)*(Results!$G$2:$G$5001)*1),SUMPRODUCT((Results!$A$2:$A$5001=Schedule!DF$45)*(Results!$B$2:$B$5001=20)*(Results!$G$2:$G$5001)*1))</f>
        <v>0</v>
      </c>
      <c r="DG73" s="88">
        <f>MAX(SUMPRODUCT((Results!$A$2:$A$5001=Schedule!DG$45)*(Results!$B$2:$B$5001=1)*(Results!$G$2:$G$5001)*1),SUMPRODUCT((Results!$A$2:$A$5001=Schedule!DG$45)*(Results!$B$2:$B$5001=2)*(Results!$G$2:$G$5001)*1),SUMPRODUCT((Results!$A$2:$A$5001=Schedule!DG$45)*(Results!$B$2:$B$5001=3)*(Results!$G$2:$G$5001)*1),SUMPRODUCT((Results!$A$2:$A$5001=Schedule!DG$45)*(Results!$B$2:$B$5001=4)*(Results!$G$2:$G$5001)*1),SUMPRODUCT((Results!$A$2:$A$5001=Schedule!DG$45)*(Results!$B$2:$B$5001=5)*(Results!$G$2:$G$5001)*1),SUMPRODUCT((Results!$A$2:$A$5001=Schedule!DG$45)*(Results!$B$2:$B$5001=6)*(Results!$G$2:$G$5001)*1),SUMPRODUCT((Results!$A$2:$A$5001=Schedule!DG$45)*(Results!$B$2:$B$5001=7)*(Results!$G$2:$G$5001)*1),SUMPRODUCT((Results!$A$2:$A$5001=Schedule!DG$45)*(Results!$B$2:$B$5001=8)*(Results!$G$2:$G$5001)*1),SUMPRODUCT((Results!$A$2:$A$5001=Schedule!DG$45)*(Results!$B$2:$B$5001=9)*(Results!$G$2:$G$5001)*1),SUMPRODUCT((Results!$A$2:$A$5001=Schedule!DG$45)*(Results!$B$2:$B$5001=10)*(Results!$G$2:$G$5001)*1),SUMPRODUCT((Results!$A$2:$A$5001=Schedule!DG$45)*(Results!$B$2:$B$5001=11)*(Results!$G$2:$G$5001)*1),SUMPRODUCT((Results!$A$2:$A$5001=Schedule!DG$45)*(Results!$B$2:$B$5001=12)*(Results!$G$2:$G$5001)*1),SUMPRODUCT((Results!$A$2:$A$5001=Schedule!DG$45)*(Results!$B$2:$B$5001=13)*(Results!$G$2:$G$5001)*1),SUMPRODUCT((Results!$A$2:$A$5001=Schedule!DG$45)*(Results!$B$2:$B$5001=14)*(Results!$G$2:$G$5001)*1),SUMPRODUCT((Results!$A$2:$A$5001=Schedule!DG$45)*(Results!$B$2:$B$5001=15)*(Results!$G$2:$G$5001)*1),SUMPRODUCT((Results!$A$2:$A$5001=Schedule!DG$45)*(Results!$B$2:$B$5001=16)*(Results!$G$2:$G$5001)*1),SUMPRODUCT((Results!$A$2:$A$5001=Schedule!DG$45)*(Results!$B$2:$B$5001=17)*(Results!$G$2:$G$5001)*1),SUMPRODUCT((Results!$A$2:$A$5001=Schedule!DG$45)*(Results!$B$2:$B$5001=18)*(Results!$G$2:$G$5001)*1),SUMPRODUCT((Results!$A$2:$A$5001=Schedule!DG$45)*(Results!$B$2:$B$5001=19)*(Results!$G$2:$G$5001)*1),SUMPRODUCT((Results!$A$2:$A$5001=Schedule!DG$45)*(Results!$B$2:$B$5001=20)*(Results!$G$2:$G$5001)*1))</f>
        <v>0</v>
      </c>
      <c r="DH73" s="88">
        <f>MAX(SUMPRODUCT((Results!$A$2:$A$5001=Schedule!DH$45)*(Results!$B$2:$B$5001=1)*(Results!$G$2:$G$5001)*1),SUMPRODUCT((Results!$A$2:$A$5001=Schedule!DH$45)*(Results!$B$2:$B$5001=2)*(Results!$G$2:$G$5001)*1),SUMPRODUCT((Results!$A$2:$A$5001=Schedule!DH$45)*(Results!$B$2:$B$5001=3)*(Results!$G$2:$G$5001)*1),SUMPRODUCT((Results!$A$2:$A$5001=Schedule!DH$45)*(Results!$B$2:$B$5001=4)*(Results!$G$2:$G$5001)*1),SUMPRODUCT((Results!$A$2:$A$5001=Schedule!DH$45)*(Results!$B$2:$B$5001=5)*(Results!$G$2:$G$5001)*1),SUMPRODUCT((Results!$A$2:$A$5001=Schedule!DH$45)*(Results!$B$2:$B$5001=6)*(Results!$G$2:$G$5001)*1),SUMPRODUCT((Results!$A$2:$A$5001=Schedule!DH$45)*(Results!$B$2:$B$5001=7)*(Results!$G$2:$G$5001)*1),SUMPRODUCT((Results!$A$2:$A$5001=Schedule!DH$45)*(Results!$B$2:$B$5001=8)*(Results!$G$2:$G$5001)*1),SUMPRODUCT((Results!$A$2:$A$5001=Schedule!DH$45)*(Results!$B$2:$B$5001=9)*(Results!$G$2:$G$5001)*1),SUMPRODUCT((Results!$A$2:$A$5001=Schedule!DH$45)*(Results!$B$2:$B$5001=10)*(Results!$G$2:$G$5001)*1),SUMPRODUCT((Results!$A$2:$A$5001=Schedule!DH$45)*(Results!$B$2:$B$5001=11)*(Results!$G$2:$G$5001)*1),SUMPRODUCT((Results!$A$2:$A$5001=Schedule!DH$45)*(Results!$B$2:$B$5001=12)*(Results!$G$2:$G$5001)*1),SUMPRODUCT((Results!$A$2:$A$5001=Schedule!DH$45)*(Results!$B$2:$B$5001=13)*(Results!$G$2:$G$5001)*1),SUMPRODUCT((Results!$A$2:$A$5001=Schedule!DH$45)*(Results!$B$2:$B$5001=14)*(Results!$G$2:$G$5001)*1),SUMPRODUCT((Results!$A$2:$A$5001=Schedule!DH$45)*(Results!$B$2:$B$5001=15)*(Results!$G$2:$G$5001)*1),SUMPRODUCT((Results!$A$2:$A$5001=Schedule!DH$45)*(Results!$B$2:$B$5001=16)*(Results!$G$2:$G$5001)*1),SUMPRODUCT((Results!$A$2:$A$5001=Schedule!DH$45)*(Results!$B$2:$B$5001=17)*(Results!$G$2:$G$5001)*1),SUMPRODUCT((Results!$A$2:$A$5001=Schedule!DH$45)*(Results!$B$2:$B$5001=18)*(Results!$G$2:$G$5001)*1),SUMPRODUCT((Results!$A$2:$A$5001=Schedule!DH$45)*(Results!$B$2:$B$5001=19)*(Results!$G$2:$G$5001)*1),SUMPRODUCT((Results!$A$2:$A$5001=Schedule!DH$45)*(Results!$B$2:$B$5001=20)*(Results!$G$2:$G$5001)*1))</f>
        <v>0</v>
      </c>
      <c r="DI73" s="88">
        <f>MAX(SUMPRODUCT((Results!$A$2:$A$5001=Schedule!DI$45)*(Results!$B$2:$B$5001=1)*(Results!$G$2:$G$5001)*1),SUMPRODUCT((Results!$A$2:$A$5001=Schedule!DI$45)*(Results!$B$2:$B$5001=2)*(Results!$G$2:$G$5001)*1),SUMPRODUCT((Results!$A$2:$A$5001=Schedule!DI$45)*(Results!$B$2:$B$5001=3)*(Results!$G$2:$G$5001)*1),SUMPRODUCT((Results!$A$2:$A$5001=Schedule!DI$45)*(Results!$B$2:$B$5001=4)*(Results!$G$2:$G$5001)*1),SUMPRODUCT((Results!$A$2:$A$5001=Schedule!DI$45)*(Results!$B$2:$B$5001=5)*(Results!$G$2:$G$5001)*1),SUMPRODUCT((Results!$A$2:$A$5001=Schedule!DI$45)*(Results!$B$2:$B$5001=6)*(Results!$G$2:$G$5001)*1),SUMPRODUCT((Results!$A$2:$A$5001=Schedule!DI$45)*(Results!$B$2:$B$5001=7)*(Results!$G$2:$G$5001)*1),SUMPRODUCT((Results!$A$2:$A$5001=Schedule!DI$45)*(Results!$B$2:$B$5001=8)*(Results!$G$2:$G$5001)*1),SUMPRODUCT((Results!$A$2:$A$5001=Schedule!DI$45)*(Results!$B$2:$B$5001=9)*(Results!$G$2:$G$5001)*1),SUMPRODUCT((Results!$A$2:$A$5001=Schedule!DI$45)*(Results!$B$2:$B$5001=10)*(Results!$G$2:$G$5001)*1),SUMPRODUCT((Results!$A$2:$A$5001=Schedule!DI$45)*(Results!$B$2:$B$5001=11)*(Results!$G$2:$G$5001)*1),SUMPRODUCT((Results!$A$2:$A$5001=Schedule!DI$45)*(Results!$B$2:$B$5001=12)*(Results!$G$2:$G$5001)*1),SUMPRODUCT((Results!$A$2:$A$5001=Schedule!DI$45)*(Results!$B$2:$B$5001=13)*(Results!$G$2:$G$5001)*1),SUMPRODUCT((Results!$A$2:$A$5001=Schedule!DI$45)*(Results!$B$2:$B$5001=14)*(Results!$G$2:$G$5001)*1),SUMPRODUCT((Results!$A$2:$A$5001=Schedule!DI$45)*(Results!$B$2:$B$5001=15)*(Results!$G$2:$G$5001)*1),SUMPRODUCT((Results!$A$2:$A$5001=Schedule!DI$45)*(Results!$B$2:$B$5001=16)*(Results!$G$2:$G$5001)*1),SUMPRODUCT((Results!$A$2:$A$5001=Schedule!DI$45)*(Results!$B$2:$B$5001=17)*(Results!$G$2:$G$5001)*1),SUMPRODUCT((Results!$A$2:$A$5001=Schedule!DI$45)*(Results!$B$2:$B$5001=18)*(Results!$G$2:$G$5001)*1),SUMPRODUCT((Results!$A$2:$A$5001=Schedule!DI$45)*(Results!$B$2:$B$5001=19)*(Results!$G$2:$G$5001)*1),SUMPRODUCT((Results!$A$2:$A$5001=Schedule!DI$45)*(Results!$B$2:$B$5001=20)*(Results!$G$2:$G$5001)*1))</f>
        <v>0</v>
      </c>
      <c r="DJ73" s="88">
        <f>MAX(SUMPRODUCT((Results!$A$2:$A$5001=Schedule!DJ$45)*(Results!$B$2:$B$5001=1)*(Results!$G$2:$G$5001)*1),SUMPRODUCT((Results!$A$2:$A$5001=Schedule!DJ$45)*(Results!$B$2:$B$5001=2)*(Results!$G$2:$G$5001)*1),SUMPRODUCT((Results!$A$2:$A$5001=Schedule!DJ$45)*(Results!$B$2:$B$5001=3)*(Results!$G$2:$G$5001)*1),SUMPRODUCT((Results!$A$2:$A$5001=Schedule!DJ$45)*(Results!$B$2:$B$5001=4)*(Results!$G$2:$G$5001)*1),SUMPRODUCT((Results!$A$2:$A$5001=Schedule!DJ$45)*(Results!$B$2:$B$5001=5)*(Results!$G$2:$G$5001)*1),SUMPRODUCT((Results!$A$2:$A$5001=Schedule!DJ$45)*(Results!$B$2:$B$5001=6)*(Results!$G$2:$G$5001)*1),SUMPRODUCT((Results!$A$2:$A$5001=Schedule!DJ$45)*(Results!$B$2:$B$5001=7)*(Results!$G$2:$G$5001)*1),SUMPRODUCT((Results!$A$2:$A$5001=Schedule!DJ$45)*(Results!$B$2:$B$5001=8)*(Results!$G$2:$G$5001)*1),SUMPRODUCT((Results!$A$2:$A$5001=Schedule!DJ$45)*(Results!$B$2:$B$5001=9)*(Results!$G$2:$G$5001)*1),SUMPRODUCT((Results!$A$2:$A$5001=Schedule!DJ$45)*(Results!$B$2:$B$5001=10)*(Results!$G$2:$G$5001)*1),SUMPRODUCT((Results!$A$2:$A$5001=Schedule!DJ$45)*(Results!$B$2:$B$5001=11)*(Results!$G$2:$G$5001)*1),SUMPRODUCT((Results!$A$2:$A$5001=Schedule!DJ$45)*(Results!$B$2:$B$5001=12)*(Results!$G$2:$G$5001)*1),SUMPRODUCT((Results!$A$2:$A$5001=Schedule!DJ$45)*(Results!$B$2:$B$5001=13)*(Results!$G$2:$G$5001)*1),SUMPRODUCT((Results!$A$2:$A$5001=Schedule!DJ$45)*(Results!$B$2:$B$5001=14)*(Results!$G$2:$G$5001)*1),SUMPRODUCT((Results!$A$2:$A$5001=Schedule!DJ$45)*(Results!$B$2:$B$5001=15)*(Results!$G$2:$G$5001)*1),SUMPRODUCT((Results!$A$2:$A$5001=Schedule!DJ$45)*(Results!$B$2:$B$5001=16)*(Results!$G$2:$G$5001)*1),SUMPRODUCT((Results!$A$2:$A$5001=Schedule!DJ$45)*(Results!$B$2:$B$5001=17)*(Results!$G$2:$G$5001)*1),SUMPRODUCT((Results!$A$2:$A$5001=Schedule!DJ$45)*(Results!$B$2:$B$5001=18)*(Results!$G$2:$G$5001)*1),SUMPRODUCT((Results!$A$2:$A$5001=Schedule!DJ$45)*(Results!$B$2:$B$5001=19)*(Results!$G$2:$G$5001)*1),SUMPRODUCT((Results!$A$2:$A$5001=Schedule!DJ$45)*(Results!$B$2:$B$5001=20)*(Results!$G$2:$G$5001)*1))</f>
        <v>0</v>
      </c>
      <c r="DK73" s="88">
        <f>MAX(SUMPRODUCT((Results!$A$2:$A$5001=Schedule!DK$45)*(Results!$B$2:$B$5001=1)*(Results!$G$2:$G$5001)*1),SUMPRODUCT((Results!$A$2:$A$5001=Schedule!DK$45)*(Results!$B$2:$B$5001=2)*(Results!$G$2:$G$5001)*1),SUMPRODUCT((Results!$A$2:$A$5001=Schedule!DK$45)*(Results!$B$2:$B$5001=3)*(Results!$G$2:$G$5001)*1),SUMPRODUCT((Results!$A$2:$A$5001=Schedule!DK$45)*(Results!$B$2:$B$5001=4)*(Results!$G$2:$G$5001)*1),SUMPRODUCT((Results!$A$2:$A$5001=Schedule!DK$45)*(Results!$B$2:$B$5001=5)*(Results!$G$2:$G$5001)*1),SUMPRODUCT((Results!$A$2:$A$5001=Schedule!DK$45)*(Results!$B$2:$B$5001=6)*(Results!$G$2:$G$5001)*1),SUMPRODUCT((Results!$A$2:$A$5001=Schedule!DK$45)*(Results!$B$2:$B$5001=7)*(Results!$G$2:$G$5001)*1),SUMPRODUCT((Results!$A$2:$A$5001=Schedule!DK$45)*(Results!$B$2:$B$5001=8)*(Results!$G$2:$G$5001)*1),SUMPRODUCT((Results!$A$2:$A$5001=Schedule!DK$45)*(Results!$B$2:$B$5001=9)*(Results!$G$2:$G$5001)*1),SUMPRODUCT((Results!$A$2:$A$5001=Schedule!DK$45)*(Results!$B$2:$B$5001=10)*(Results!$G$2:$G$5001)*1),SUMPRODUCT((Results!$A$2:$A$5001=Schedule!DK$45)*(Results!$B$2:$B$5001=11)*(Results!$G$2:$G$5001)*1),SUMPRODUCT((Results!$A$2:$A$5001=Schedule!DK$45)*(Results!$B$2:$B$5001=12)*(Results!$G$2:$G$5001)*1),SUMPRODUCT((Results!$A$2:$A$5001=Schedule!DK$45)*(Results!$B$2:$B$5001=13)*(Results!$G$2:$G$5001)*1),SUMPRODUCT((Results!$A$2:$A$5001=Schedule!DK$45)*(Results!$B$2:$B$5001=14)*(Results!$G$2:$G$5001)*1),SUMPRODUCT((Results!$A$2:$A$5001=Schedule!DK$45)*(Results!$B$2:$B$5001=15)*(Results!$G$2:$G$5001)*1),SUMPRODUCT((Results!$A$2:$A$5001=Schedule!DK$45)*(Results!$B$2:$B$5001=16)*(Results!$G$2:$G$5001)*1),SUMPRODUCT((Results!$A$2:$A$5001=Schedule!DK$45)*(Results!$B$2:$B$5001=17)*(Results!$G$2:$G$5001)*1),SUMPRODUCT((Results!$A$2:$A$5001=Schedule!DK$45)*(Results!$B$2:$B$5001=18)*(Results!$G$2:$G$5001)*1),SUMPRODUCT((Results!$A$2:$A$5001=Schedule!DK$45)*(Results!$B$2:$B$5001=19)*(Results!$G$2:$G$5001)*1),SUMPRODUCT((Results!$A$2:$A$5001=Schedule!DK$45)*(Results!$B$2:$B$5001=20)*(Results!$G$2:$G$5001)*1))</f>
        <v>0</v>
      </c>
      <c r="DL73" s="88">
        <f>MAX(SUMPRODUCT((Results!$A$2:$A$5001=Schedule!DL$45)*(Results!$B$2:$B$5001=1)*(Results!$G$2:$G$5001)*1),SUMPRODUCT((Results!$A$2:$A$5001=Schedule!DL$45)*(Results!$B$2:$B$5001=2)*(Results!$G$2:$G$5001)*1),SUMPRODUCT((Results!$A$2:$A$5001=Schedule!DL$45)*(Results!$B$2:$B$5001=3)*(Results!$G$2:$G$5001)*1),SUMPRODUCT((Results!$A$2:$A$5001=Schedule!DL$45)*(Results!$B$2:$B$5001=4)*(Results!$G$2:$G$5001)*1),SUMPRODUCT((Results!$A$2:$A$5001=Schedule!DL$45)*(Results!$B$2:$B$5001=5)*(Results!$G$2:$G$5001)*1),SUMPRODUCT((Results!$A$2:$A$5001=Schedule!DL$45)*(Results!$B$2:$B$5001=6)*(Results!$G$2:$G$5001)*1),SUMPRODUCT((Results!$A$2:$A$5001=Schedule!DL$45)*(Results!$B$2:$B$5001=7)*(Results!$G$2:$G$5001)*1),SUMPRODUCT((Results!$A$2:$A$5001=Schedule!DL$45)*(Results!$B$2:$B$5001=8)*(Results!$G$2:$G$5001)*1),SUMPRODUCT((Results!$A$2:$A$5001=Schedule!DL$45)*(Results!$B$2:$B$5001=9)*(Results!$G$2:$G$5001)*1),SUMPRODUCT((Results!$A$2:$A$5001=Schedule!DL$45)*(Results!$B$2:$B$5001=10)*(Results!$G$2:$G$5001)*1),SUMPRODUCT((Results!$A$2:$A$5001=Schedule!DL$45)*(Results!$B$2:$B$5001=11)*(Results!$G$2:$G$5001)*1),SUMPRODUCT((Results!$A$2:$A$5001=Schedule!DL$45)*(Results!$B$2:$B$5001=12)*(Results!$G$2:$G$5001)*1),SUMPRODUCT((Results!$A$2:$A$5001=Schedule!DL$45)*(Results!$B$2:$B$5001=13)*(Results!$G$2:$G$5001)*1),SUMPRODUCT((Results!$A$2:$A$5001=Schedule!DL$45)*(Results!$B$2:$B$5001=14)*(Results!$G$2:$G$5001)*1),SUMPRODUCT((Results!$A$2:$A$5001=Schedule!DL$45)*(Results!$B$2:$B$5001=15)*(Results!$G$2:$G$5001)*1),SUMPRODUCT((Results!$A$2:$A$5001=Schedule!DL$45)*(Results!$B$2:$B$5001=16)*(Results!$G$2:$G$5001)*1),SUMPRODUCT((Results!$A$2:$A$5001=Schedule!DL$45)*(Results!$B$2:$B$5001=17)*(Results!$G$2:$G$5001)*1),SUMPRODUCT((Results!$A$2:$A$5001=Schedule!DL$45)*(Results!$B$2:$B$5001=18)*(Results!$G$2:$G$5001)*1),SUMPRODUCT((Results!$A$2:$A$5001=Schedule!DL$45)*(Results!$B$2:$B$5001=19)*(Results!$G$2:$G$5001)*1),SUMPRODUCT((Results!$A$2:$A$5001=Schedule!DL$45)*(Results!$B$2:$B$5001=20)*(Results!$G$2:$G$5001)*1))</f>
        <v>0</v>
      </c>
      <c r="DM73" s="88">
        <f>MAX(SUMPRODUCT((Results!$A$2:$A$5001=Schedule!DM$45)*(Results!$B$2:$B$5001=1)*(Results!$G$2:$G$5001)*1),SUMPRODUCT((Results!$A$2:$A$5001=Schedule!DM$45)*(Results!$B$2:$B$5001=2)*(Results!$G$2:$G$5001)*1),SUMPRODUCT((Results!$A$2:$A$5001=Schedule!DM$45)*(Results!$B$2:$B$5001=3)*(Results!$G$2:$G$5001)*1),SUMPRODUCT((Results!$A$2:$A$5001=Schedule!DM$45)*(Results!$B$2:$B$5001=4)*(Results!$G$2:$G$5001)*1),SUMPRODUCT((Results!$A$2:$A$5001=Schedule!DM$45)*(Results!$B$2:$B$5001=5)*(Results!$G$2:$G$5001)*1),SUMPRODUCT((Results!$A$2:$A$5001=Schedule!DM$45)*(Results!$B$2:$B$5001=6)*(Results!$G$2:$G$5001)*1),SUMPRODUCT((Results!$A$2:$A$5001=Schedule!DM$45)*(Results!$B$2:$B$5001=7)*(Results!$G$2:$G$5001)*1),SUMPRODUCT((Results!$A$2:$A$5001=Schedule!DM$45)*(Results!$B$2:$B$5001=8)*(Results!$G$2:$G$5001)*1),SUMPRODUCT((Results!$A$2:$A$5001=Schedule!DM$45)*(Results!$B$2:$B$5001=9)*(Results!$G$2:$G$5001)*1),SUMPRODUCT((Results!$A$2:$A$5001=Schedule!DM$45)*(Results!$B$2:$B$5001=10)*(Results!$G$2:$G$5001)*1),SUMPRODUCT((Results!$A$2:$A$5001=Schedule!DM$45)*(Results!$B$2:$B$5001=11)*(Results!$G$2:$G$5001)*1),SUMPRODUCT((Results!$A$2:$A$5001=Schedule!DM$45)*(Results!$B$2:$B$5001=12)*(Results!$G$2:$G$5001)*1),SUMPRODUCT((Results!$A$2:$A$5001=Schedule!DM$45)*(Results!$B$2:$B$5001=13)*(Results!$G$2:$G$5001)*1),SUMPRODUCT((Results!$A$2:$A$5001=Schedule!DM$45)*(Results!$B$2:$B$5001=14)*(Results!$G$2:$G$5001)*1),SUMPRODUCT((Results!$A$2:$A$5001=Schedule!DM$45)*(Results!$B$2:$B$5001=15)*(Results!$G$2:$G$5001)*1),SUMPRODUCT((Results!$A$2:$A$5001=Schedule!DM$45)*(Results!$B$2:$B$5001=16)*(Results!$G$2:$G$5001)*1),SUMPRODUCT((Results!$A$2:$A$5001=Schedule!DM$45)*(Results!$B$2:$B$5001=17)*(Results!$G$2:$G$5001)*1),SUMPRODUCT((Results!$A$2:$A$5001=Schedule!DM$45)*(Results!$B$2:$B$5001=18)*(Results!$G$2:$G$5001)*1),SUMPRODUCT((Results!$A$2:$A$5001=Schedule!DM$45)*(Results!$B$2:$B$5001=19)*(Results!$G$2:$G$5001)*1),SUMPRODUCT((Results!$A$2:$A$5001=Schedule!DM$45)*(Results!$B$2:$B$5001=20)*(Results!$G$2:$G$5001)*1))</f>
        <v>0</v>
      </c>
      <c r="DN73" s="88">
        <f>MAX(SUMPRODUCT((Results!$A$2:$A$5001=Schedule!DN$45)*(Results!$B$2:$B$5001=1)*(Results!$G$2:$G$5001)*1),SUMPRODUCT((Results!$A$2:$A$5001=Schedule!DN$45)*(Results!$B$2:$B$5001=2)*(Results!$G$2:$G$5001)*1),SUMPRODUCT((Results!$A$2:$A$5001=Schedule!DN$45)*(Results!$B$2:$B$5001=3)*(Results!$G$2:$G$5001)*1),SUMPRODUCT((Results!$A$2:$A$5001=Schedule!DN$45)*(Results!$B$2:$B$5001=4)*(Results!$G$2:$G$5001)*1),SUMPRODUCT((Results!$A$2:$A$5001=Schedule!DN$45)*(Results!$B$2:$B$5001=5)*(Results!$G$2:$G$5001)*1),SUMPRODUCT((Results!$A$2:$A$5001=Schedule!DN$45)*(Results!$B$2:$B$5001=6)*(Results!$G$2:$G$5001)*1),SUMPRODUCT((Results!$A$2:$A$5001=Schedule!DN$45)*(Results!$B$2:$B$5001=7)*(Results!$G$2:$G$5001)*1),SUMPRODUCT((Results!$A$2:$A$5001=Schedule!DN$45)*(Results!$B$2:$B$5001=8)*(Results!$G$2:$G$5001)*1),SUMPRODUCT((Results!$A$2:$A$5001=Schedule!DN$45)*(Results!$B$2:$B$5001=9)*(Results!$G$2:$G$5001)*1),SUMPRODUCT((Results!$A$2:$A$5001=Schedule!DN$45)*(Results!$B$2:$B$5001=10)*(Results!$G$2:$G$5001)*1),SUMPRODUCT((Results!$A$2:$A$5001=Schedule!DN$45)*(Results!$B$2:$B$5001=11)*(Results!$G$2:$G$5001)*1),SUMPRODUCT((Results!$A$2:$A$5001=Schedule!DN$45)*(Results!$B$2:$B$5001=12)*(Results!$G$2:$G$5001)*1),SUMPRODUCT((Results!$A$2:$A$5001=Schedule!DN$45)*(Results!$B$2:$B$5001=13)*(Results!$G$2:$G$5001)*1),SUMPRODUCT((Results!$A$2:$A$5001=Schedule!DN$45)*(Results!$B$2:$B$5001=14)*(Results!$G$2:$G$5001)*1),SUMPRODUCT((Results!$A$2:$A$5001=Schedule!DN$45)*(Results!$B$2:$B$5001=15)*(Results!$G$2:$G$5001)*1),SUMPRODUCT((Results!$A$2:$A$5001=Schedule!DN$45)*(Results!$B$2:$B$5001=16)*(Results!$G$2:$G$5001)*1),SUMPRODUCT((Results!$A$2:$A$5001=Schedule!DN$45)*(Results!$B$2:$B$5001=17)*(Results!$G$2:$G$5001)*1),SUMPRODUCT((Results!$A$2:$A$5001=Schedule!DN$45)*(Results!$B$2:$B$5001=18)*(Results!$G$2:$G$5001)*1),SUMPRODUCT((Results!$A$2:$A$5001=Schedule!DN$45)*(Results!$B$2:$B$5001=19)*(Results!$G$2:$G$5001)*1),SUMPRODUCT((Results!$A$2:$A$5001=Schedule!DN$45)*(Results!$B$2:$B$5001=20)*(Results!$G$2:$G$5001)*1))</f>
        <v>0</v>
      </c>
      <c r="DO73" s="88">
        <f>MAX(SUMPRODUCT((Results!$A$2:$A$5001=Schedule!DO$45)*(Results!$B$2:$B$5001=1)*(Results!$G$2:$G$5001)*1),SUMPRODUCT((Results!$A$2:$A$5001=Schedule!DO$45)*(Results!$B$2:$B$5001=2)*(Results!$G$2:$G$5001)*1),SUMPRODUCT((Results!$A$2:$A$5001=Schedule!DO$45)*(Results!$B$2:$B$5001=3)*(Results!$G$2:$G$5001)*1),SUMPRODUCT((Results!$A$2:$A$5001=Schedule!DO$45)*(Results!$B$2:$B$5001=4)*(Results!$G$2:$G$5001)*1),SUMPRODUCT((Results!$A$2:$A$5001=Schedule!DO$45)*(Results!$B$2:$B$5001=5)*(Results!$G$2:$G$5001)*1),SUMPRODUCT((Results!$A$2:$A$5001=Schedule!DO$45)*(Results!$B$2:$B$5001=6)*(Results!$G$2:$G$5001)*1),SUMPRODUCT((Results!$A$2:$A$5001=Schedule!DO$45)*(Results!$B$2:$B$5001=7)*(Results!$G$2:$G$5001)*1),SUMPRODUCT((Results!$A$2:$A$5001=Schedule!DO$45)*(Results!$B$2:$B$5001=8)*(Results!$G$2:$G$5001)*1),SUMPRODUCT((Results!$A$2:$A$5001=Schedule!DO$45)*(Results!$B$2:$B$5001=9)*(Results!$G$2:$G$5001)*1),SUMPRODUCT((Results!$A$2:$A$5001=Schedule!DO$45)*(Results!$B$2:$B$5001=10)*(Results!$G$2:$G$5001)*1),SUMPRODUCT((Results!$A$2:$A$5001=Schedule!DO$45)*(Results!$B$2:$B$5001=11)*(Results!$G$2:$G$5001)*1),SUMPRODUCT((Results!$A$2:$A$5001=Schedule!DO$45)*(Results!$B$2:$B$5001=12)*(Results!$G$2:$G$5001)*1),SUMPRODUCT((Results!$A$2:$A$5001=Schedule!DO$45)*(Results!$B$2:$B$5001=13)*(Results!$G$2:$G$5001)*1),SUMPRODUCT((Results!$A$2:$A$5001=Schedule!DO$45)*(Results!$B$2:$B$5001=14)*(Results!$G$2:$G$5001)*1),SUMPRODUCT((Results!$A$2:$A$5001=Schedule!DO$45)*(Results!$B$2:$B$5001=15)*(Results!$G$2:$G$5001)*1),SUMPRODUCT((Results!$A$2:$A$5001=Schedule!DO$45)*(Results!$B$2:$B$5001=16)*(Results!$G$2:$G$5001)*1),SUMPRODUCT((Results!$A$2:$A$5001=Schedule!DO$45)*(Results!$B$2:$B$5001=17)*(Results!$G$2:$G$5001)*1),SUMPRODUCT((Results!$A$2:$A$5001=Schedule!DO$45)*(Results!$B$2:$B$5001=18)*(Results!$G$2:$G$5001)*1),SUMPRODUCT((Results!$A$2:$A$5001=Schedule!DO$45)*(Results!$B$2:$B$5001=19)*(Results!$G$2:$G$5001)*1),SUMPRODUCT((Results!$A$2:$A$5001=Schedule!DO$45)*(Results!$B$2:$B$5001=20)*(Results!$G$2:$G$5001)*1))</f>
        <v>0</v>
      </c>
      <c r="DP73" s="88">
        <f>MAX(SUMPRODUCT((Results!$A$2:$A$5001=Schedule!DP$45)*(Results!$B$2:$B$5001=1)*(Results!$G$2:$G$5001)*1),SUMPRODUCT((Results!$A$2:$A$5001=Schedule!DP$45)*(Results!$B$2:$B$5001=2)*(Results!$G$2:$G$5001)*1),SUMPRODUCT((Results!$A$2:$A$5001=Schedule!DP$45)*(Results!$B$2:$B$5001=3)*(Results!$G$2:$G$5001)*1),SUMPRODUCT((Results!$A$2:$A$5001=Schedule!DP$45)*(Results!$B$2:$B$5001=4)*(Results!$G$2:$G$5001)*1),SUMPRODUCT((Results!$A$2:$A$5001=Schedule!DP$45)*(Results!$B$2:$B$5001=5)*(Results!$G$2:$G$5001)*1),SUMPRODUCT((Results!$A$2:$A$5001=Schedule!DP$45)*(Results!$B$2:$B$5001=6)*(Results!$G$2:$G$5001)*1),SUMPRODUCT((Results!$A$2:$A$5001=Schedule!DP$45)*(Results!$B$2:$B$5001=7)*(Results!$G$2:$G$5001)*1),SUMPRODUCT((Results!$A$2:$A$5001=Schedule!DP$45)*(Results!$B$2:$B$5001=8)*(Results!$G$2:$G$5001)*1),SUMPRODUCT((Results!$A$2:$A$5001=Schedule!DP$45)*(Results!$B$2:$B$5001=9)*(Results!$G$2:$G$5001)*1),SUMPRODUCT((Results!$A$2:$A$5001=Schedule!DP$45)*(Results!$B$2:$B$5001=10)*(Results!$G$2:$G$5001)*1),SUMPRODUCT((Results!$A$2:$A$5001=Schedule!DP$45)*(Results!$B$2:$B$5001=11)*(Results!$G$2:$G$5001)*1),SUMPRODUCT((Results!$A$2:$A$5001=Schedule!DP$45)*(Results!$B$2:$B$5001=12)*(Results!$G$2:$G$5001)*1),SUMPRODUCT((Results!$A$2:$A$5001=Schedule!DP$45)*(Results!$B$2:$B$5001=13)*(Results!$G$2:$G$5001)*1),SUMPRODUCT((Results!$A$2:$A$5001=Schedule!DP$45)*(Results!$B$2:$B$5001=14)*(Results!$G$2:$G$5001)*1),SUMPRODUCT((Results!$A$2:$A$5001=Schedule!DP$45)*(Results!$B$2:$B$5001=15)*(Results!$G$2:$G$5001)*1),SUMPRODUCT((Results!$A$2:$A$5001=Schedule!DP$45)*(Results!$B$2:$B$5001=16)*(Results!$G$2:$G$5001)*1),SUMPRODUCT((Results!$A$2:$A$5001=Schedule!DP$45)*(Results!$B$2:$B$5001=17)*(Results!$G$2:$G$5001)*1),SUMPRODUCT((Results!$A$2:$A$5001=Schedule!DP$45)*(Results!$B$2:$B$5001=18)*(Results!$G$2:$G$5001)*1),SUMPRODUCT((Results!$A$2:$A$5001=Schedule!DP$45)*(Results!$B$2:$B$5001=19)*(Results!$G$2:$G$5001)*1),SUMPRODUCT((Results!$A$2:$A$5001=Schedule!DP$45)*(Results!$B$2:$B$5001=20)*(Results!$G$2:$G$5001)*1))</f>
        <v>0</v>
      </c>
      <c r="DQ73" s="88">
        <f>MAX(SUMPRODUCT((Results!$A$2:$A$5001=Schedule!DQ$45)*(Results!$B$2:$B$5001=1)*(Results!$G$2:$G$5001)*1),SUMPRODUCT((Results!$A$2:$A$5001=Schedule!DQ$45)*(Results!$B$2:$B$5001=2)*(Results!$G$2:$G$5001)*1),SUMPRODUCT((Results!$A$2:$A$5001=Schedule!DQ$45)*(Results!$B$2:$B$5001=3)*(Results!$G$2:$G$5001)*1),SUMPRODUCT((Results!$A$2:$A$5001=Schedule!DQ$45)*(Results!$B$2:$B$5001=4)*(Results!$G$2:$G$5001)*1),SUMPRODUCT((Results!$A$2:$A$5001=Schedule!DQ$45)*(Results!$B$2:$B$5001=5)*(Results!$G$2:$G$5001)*1),SUMPRODUCT((Results!$A$2:$A$5001=Schedule!DQ$45)*(Results!$B$2:$B$5001=6)*(Results!$G$2:$G$5001)*1),SUMPRODUCT((Results!$A$2:$A$5001=Schedule!DQ$45)*(Results!$B$2:$B$5001=7)*(Results!$G$2:$G$5001)*1),SUMPRODUCT((Results!$A$2:$A$5001=Schedule!DQ$45)*(Results!$B$2:$B$5001=8)*(Results!$G$2:$G$5001)*1),SUMPRODUCT((Results!$A$2:$A$5001=Schedule!DQ$45)*(Results!$B$2:$B$5001=9)*(Results!$G$2:$G$5001)*1),SUMPRODUCT((Results!$A$2:$A$5001=Schedule!DQ$45)*(Results!$B$2:$B$5001=10)*(Results!$G$2:$G$5001)*1),SUMPRODUCT((Results!$A$2:$A$5001=Schedule!DQ$45)*(Results!$B$2:$B$5001=11)*(Results!$G$2:$G$5001)*1),SUMPRODUCT((Results!$A$2:$A$5001=Schedule!DQ$45)*(Results!$B$2:$B$5001=12)*(Results!$G$2:$G$5001)*1),SUMPRODUCT((Results!$A$2:$A$5001=Schedule!DQ$45)*(Results!$B$2:$B$5001=13)*(Results!$G$2:$G$5001)*1),SUMPRODUCT((Results!$A$2:$A$5001=Schedule!DQ$45)*(Results!$B$2:$B$5001=14)*(Results!$G$2:$G$5001)*1),SUMPRODUCT((Results!$A$2:$A$5001=Schedule!DQ$45)*(Results!$B$2:$B$5001=15)*(Results!$G$2:$G$5001)*1),SUMPRODUCT((Results!$A$2:$A$5001=Schedule!DQ$45)*(Results!$B$2:$B$5001=16)*(Results!$G$2:$G$5001)*1),SUMPRODUCT((Results!$A$2:$A$5001=Schedule!DQ$45)*(Results!$B$2:$B$5001=17)*(Results!$G$2:$G$5001)*1),SUMPRODUCT((Results!$A$2:$A$5001=Schedule!DQ$45)*(Results!$B$2:$B$5001=18)*(Results!$G$2:$G$5001)*1),SUMPRODUCT((Results!$A$2:$A$5001=Schedule!DQ$45)*(Results!$B$2:$B$5001=19)*(Results!$G$2:$G$5001)*1),SUMPRODUCT((Results!$A$2:$A$5001=Schedule!DQ$45)*(Results!$B$2:$B$5001=20)*(Results!$G$2:$G$5001)*1))</f>
        <v>0</v>
      </c>
      <c r="DR73" s="88">
        <f>MAX(SUMPRODUCT((Results!$A$2:$A$5001=Schedule!DR$45)*(Results!$B$2:$B$5001=1)*(Results!$G$2:$G$5001)*1),SUMPRODUCT((Results!$A$2:$A$5001=Schedule!DR$45)*(Results!$B$2:$B$5001=2)*(Results!$G$2:$G$5001)*1),SUMPRODUCT((Results!$A$2:$A$5001=Schedule!DR$45)*(Results!$B$2:$B$5001=3)*(Results!$G$2:$G$5001)*1),SUMPRODUCT((Results!$A$2:$A$5001=Schedule!DR$45)*(Results!$B$2:$B$5001=4)*(Results!$G$2:$G$5001)*1),SUMPRODUCT((Results!$A$2:$A$5001=Schedule!DR$45)*(Results!$B$2:$B$5001=5)*(Results!$G$2:$G$5001)*1),SUMPRODUCT((Results!$A$2:$A$5001=Schedule!DR$45)*(Results!$B$2:$B$5001=6)*(Results!$G$2:$G$5001)*1),SUMPRODUCT((Results!$A$2:$A$5001=Schedule!DR$45)*(Results!$B$2:$B$5001=7)*(Results!$G$2:$G$5001)*1),SUMPRODUCT((Results!$A$2:$A$5001=Schedule!DR$45)*(Results!$B$2:$B$5001=8)*(Results!$G$2:$G$5001)*1),SUMPRODUCT((Results!$A$2:$A$5001=Schedule!DR$45)*(Results!$B$2:$B$5001=9)*(Results!$G$2:$G$5001)*1),SUMPRODUCT((Results!$A$2:$A$5001=Schedule!DR$45)*(Results!$B$2:$B$5001=10)*(Results!$G$2:$G$5001)*1),SUMPRODUCT((Results!$A$2:$A$5001=Schedule!DR$45)*(Results!$B$2:$B$5001=11)*(Results!$G$2:$G$5001)*1),SUMPRODUCT((Results!$A$2:$A$5001=Schedule!DR$45)*(Results!$B$2:$B$5001=12)*(Results!$G$2:$G$5001)*1),SUMPRODUCT((Results!$A$2:$A$5001=Schedule!DR$45)*(Results!$B$2:$B$5001=13)*(Results!$G$2:$G$5001)*1),SUMPRODUCT((Results!$A$2:$A$5001=Schedule!DR$45)*(Results!$B$2:$B$5001=14)*(Results!$G$2:$G$5001)*1),SUMPRODUCT((Results!$A$2:$A$5001=Schedule!DR$45)*(Results!$B$2:$B$5001=15)*(Results!$G$2:$G$5001)*1),SUMPRODUCT((Results!$A$2:$A$5001=Schedule!DR$45)*(Results!$B$2:$B$5001=16)*(Results!$G$2:$G$5001)*1),SUMPRODUCT((Results!$A$2:$A$5001=Schedule!DR$45)*(Results!$B$2:$B$5001=17)*(Results!$G$2:$G$5001)*1),SUMPRODUCT((Results!$A$2:$A$5001=Schedule!DR$45)*(Results!$B$2:$B$5001=18)*(Results!$G$2:$G$5001)*1),SUMPRODUCT((Results!$A$2:$A$5001=Schedule!DR$45)*(Results!$B$2:$B$5001=19)*(Results!$G$2:$G$5001)*1),SUMPRODUCT((Results!$A$2:$A$5001=Schedule!DR$45)*(Results!$B$2:$B$5001=20)*(Results!$G$2:$G$5001)*1))</f>
        <v>0</v>
      </c>
      <c r="DS73" s="88">
        <f>MAX(SUMPRODUCT((Results!$A$2:$A$5001=Schedule!DS$45)*(Results!$B$2:$B$5001=1)*(Results!$G$2:$G$5001)*1),SUMPRODUCT((Results!$A$2:$A$5001=Schedule!DS$45)*(Results!$B$2:$B$5001=2)*(Results!$G$2:$G$5001)*1),SUMPRODUCT((Results!$A$2:$A$5001=Schedule!DS$45)*(Results!$B$2:$B$5001=3)*(Results!$G$2:$G$5001)*1),SUMPRODUCT((Results!$A$2:$A$5001=Schedule!DS$45)*(Results!$B$2:$B$5001=4)*(Results!$G$2:$G$5001)*1),SUMPRODUCT((Results!$A$2:$A$5001=Schedule!DS$45)*(Results!$B$2:$B$5001=5)*(Results!$G$2:$G$5001)*1),SUMPRODUCT((Results!$A$2:$A$5001=Schedule!DS$45)*(Results!$B$2:$B$5001=6)*(Results!$G$2:$G$5001)*1),SUMPRODUCT((Results!$A$2:$A$5001=Schedule!DS$45)*(Results!$B$2:$B$5001=7)*(Results!$G$2:$G$5001)*1),SUMPRODUCT((Results!$A$2:$A$5001=Schedule!DS$45)*(Results!$B$2:$B$5001=8)*(Results!$G$2:$G$5001)*1),SUMPRODUCT((Results!$A$2:$A$5001=Schedule!DS$45)*(Results!$B$2:$B$5001=9)*(Results!$G$2:$G$5001)*1),SUMPRODUCT((Results!$A$2:$A$5001=Schedule!DS$45)*(Results!$B$2:$B$5001=10)*(Results!$G$2:$G$5001)*1),SUMPRODUCT((Results!$A$2:$A$5001=Schedule!DS$45)*(Results!$B$2:$B$5001=11)*(Results!$G$2:$G$5001)*1),SUMPRODUCT((Results!$A$2:$A$5001=Schedule!DS$45)*(Results!$B$2:$B$5001=12)*(Results!$G$2:$G$5001)*1),SUMPRODUCT((Results!$A$2:$A$5001=Schedule!DS$45)*(Results!$B$2:$B$5001=13)*(Results!$G$2:$G$5001)*1),SUMPRODUCT((Results!$A$2:$A$5001=Schedule!DS$45)*(Results!$B$2:$B$5001=14)*(Results!$G$2:$G$5001)*1),SUMPRODUCT((Results!$A$2:$A$5001=Schedule!DS$45)*(Results!$B$2:$B$5001=15)*(Results!$G$2:$G$5001)*1),SUMPRODUCT((Results!$A$2:$A$5001=Schedule!DS$45)*(Results!$B$2:$B$5001=16)*(Results!$G$2:$G$5001)*1),SUMPRODUCT((Results!$A$2:$A$5001=Schedule!DS$45)*(Results!$B$2:$B$5001=17)*(Results!$G$2:$G$5001)*1),SUMPRODUCT((Results!$A$2:$A$5001=Schedule!DS$45)*(Results!$B$2:$B$5001=18)*(Results!$G$2:$G$5001)*1),SUMPRODUCT((Results!$A$2:$A$5001=Schedule!DS$45)*(Results!$B$2:$B$5001=19)*(Results!$G$2:$G$5001)*1),SUMPRODUCT((Results!$A$2:$A$5001=Schedule!DS$45)*(Results!$B$2:$B$5001=20)*(Results!$G$2:$G$5001)*1))</f>
        <v>0</v>
      </c>
      <c r="DT73" s="88">
        <f>MAX(SUMPRODUCT((Results!$A$2:$A$5001=Schedule!DT$45)*(Results!$B$2:$B$5001=1)*(Results!$G$2:$G$5001)*1),SUMPRODUCT((Results!$A$2:$A$5001=Schedule!DT$45)*(Results!$B$2:$B$5001=2)*(Results!$G$2:$G$5001)*1),SUMPRODUCT((Results!$A$2:$A$5001=Schedule!DT$45)*(Results!$B$2:$B$5001=3)*(Results!$G$2:$G$5001)*1),SUMPRODUCT((Results!$A$2:$A$5001=Schedule!DT$45)*(Results!$B$2:$B$5001=4)*(Results!$G$2:$G$5001)*1),SUMPRODUCT((Results!$A$2:$A$5001=Schedule!DT$45)*(Results!$B$2:$B$5001=5)*(Results!$G$2:$G$5001)*1),SUMPRODUCT((Results!$A$2:$A$5001=Schedule!DT$45)*(Results!$B$2:$B$5001=6)*(Results!$G$2:$G$5001)*1),SUMPRODUCT((Results!$A$2:$A$5001=Schedule!DT$45)*(Results!$B$2:$B$5001=7)*(Results!$G$2:$G$5001)*1),SUMPRODUCT((Results!$A$2:$A$5001=Schedule!DT$45)*(Results!$B$2:$B$5001=8)*(Results!$G$2:$G$5001)*1),SUMPRODUCT((Results!$A$2:$A$5001=Schedule!DT$45)*(Results!$B$2:$B$5001=9)*(Results!$G$2:$G$5001)*1),SUMPRODUCT((Results!$A$2:$A$5001=Schedule!DT$45)*(Results!$B$2:$B$5001=10)*(Results!$G$2:$G$5001)*1),SUMPRODUCT((Results!$A$2:$A$5001=Schedule!DT$45)*(Results!$B$2:$B$5001=11)*(Results!$G$2:$G$5001)*1),SUMPRODUCT((Results!$A$2:$A$5001=Schedule!DT$45)*(Results!$B$2:$B$5001=12)*(Results!$G$2:$G$5001)*1),SUMPRODUCT((Results!$A$2:$A$5001=Schedule!DT$45)*(Results!$B$2:$B$5001=13)*(Results!$G$2:$G$5001)*1),SUMPRODUCT((Results!$A$2:$A$5001=Schedule!DT$45)*(Results!$B$2:$B$5001=14)*(Results!$G$2:$G$5001)*1),SUMPRODUCT((Results!$A$2:$A$5001=Schedule!DT$45)*(Results!$B$2:$B$5001=15)*(Results!$G$2:$G$5001)*1),SUMPRODUCT((Results!$A$2:$A$5001=Schedule!DT$45)*(Results!$B$2:$B$5001=16)*(Results!$G$2:$G$5001)*1),SUMPRODUCT((Results!$A$2:$A$5001=Schedule!DT$45)*(Results!$B$2:$B$5001=17)*(Results!$G$2:$G$5001)*1),SUMPRODUCT((Results!$A$2:$A$5001=Schedule!DT$45)*(Results!$B$2:$B$5001=18)*(Results!$G$2:$G$5001)*1),SUMPRODUCT((Results!$A$2:$A$5001=Schedule!DT$45)*(Results!$B$2:$B$5001=19)*(Results!$G$2:$G$5001)*1),SUMPRODUCT((Results!$A$2:$A$5001=Schedule!DT$45)*(Results!$B$2:$B$5001=20)*(Results!$G$2:$G$5001)*1))</f>
        <v>0</v>
      </c>
      <c r="DU73" s="88">
        <f>MAX(SUMPRODUCT((Results!$A$2:$A$5001=Schedule!DU$45)*(Results!$B$2:$B$5001=1)*(Results!$G$2:$G$5001)*1),SUMPRODUCT((Results!$A$2:$A$5001=Schedule!DU$45)*(Results!$B$2:$B$5001=2)*(Results!$G$2:$G$5001)*1),SUMPRODUCT((Results!$A$2:$A$5001=Schedule!DU$45)*(Results!$B$2:$B$5001=3)*(Results!$G$2:$G$5001)*1),SUMPRODUCT((Results!$A$2:$A$5001=Schedule!DU$45)*(Results!$B$2:$B$5001=4)*(Results!$G$2:$G$5001)*1),SUMPRODUCT((Results!$A$2:$A$5001=Schedule!DU$45)*(Results!$B$2:$B$5001=5)*(Results!$G$2:$G$5001)*1),SUMPRODUCT((Results!$A$2:$A$5001=Schedule!DU$45)*(Results!$B$2:$B$5001=6)*(Results!$G$2:$G$5001)*1),SUMPRODUCT((Results!$A$2:$A$5001=Schedule!DU$45)*(Results!$B$2:$B$5001=7)*(Results!$G$2:$G$5001)*1),SUMPRODUCT((Results!$A$2:$A$5001=Schedule!DU$45)*(Results!$B$2:$B$5001=8)*(Results!$G$2:$G$5001)*1),SUMPRODUCT((Results!$A$2:$A$5001=Schedule!DU$45)*(Results!$B$2:$B$5001=9)*(Results!$G$2:$G$5001)*1),SUMPRODUCT((Results!$A$2:$A$5001=Schedule!DU$45)*(Results!$B$2:$B$5001=10)*(Results!$G$2:$G$5001)*1),SUMPRODUCT((Results!$A$2:$A$5001=Schedule!DU$45)*(Results!$B$2:$B$5001=11)*(Results!$G$2:$G$5001)*1),SUMPRODUCT((Results!$A$2:$A$5001=Schedule!DU$45)*(Results!$B$2:$B$5001=12)*(Results!$G$2:$G$5001)*1),SUMPRODUCT((Results!$A$2:$A$5001=Schedule!DU$45)*(Results!$B$2:$B$5001=13)*(Results!$G$2:$G$5001)*1),SUMPRODUCT((Results!$A$2:$A$5001=Schedule!DU$45)*(Results!$B$2:$B$5001=14)*(Results!$G$2:$G$5001)*1),SUMPRODUCT((Results!$A$2:$A$5001=Schedule!DU$45)*(Results!$B$2:$B$5001=15)*(Results!$G$2:$G$5001)*1),SUMPRODUCT((Results!$A$2:$A$5001=Schedule!DU$45)*(Results!$B$2:$B$5001=16)*(Results!$G$2:$G$5001)*1),SUMPRODUCT((Results!$A$2:$A$5001=Schedule!DU$45)*(Results!$B$2:$B$5001=17)*(Results!$G$2:$G$5001)*1),SUMPRODUCT((Results!$A$2:$A$5001=Schedule!DU$45)*(Results!$B$2:$B$5001=18)*(Results!$G$2:$G$5001)*1),SUMPRODUCT((Results!$A$2:$A$5001=Schedule!DU$45)*(Results!$B$2:$B$5001=19)*(Results!$G$2:$G$5001)*1),SUMPRODUCT((Results!$A$2:$A$5001=Schedule!DU$45)*(Results!$B$2:$B$5001=20)*(Results!$G$2:$G$5001)*1))</f>
        <v>0</v>
      </c>
      <c r="DV73" s="88">
        <f>MAX(SUMPRODUCT((Results!$A$2:$A$5001=Schedule!DV$45)*(Results!$B$2:$B$5001=1)*(Results!$G$2:$G$5001)*1),SUMPRODUCT((Results!$A$2:$A$5001=Schedule!DV$45)*(Results!$B$2:$B$5001=2)*(Results!$G$2:$G$5001)*1),SUMPRODUCT((Results!$A$2:$A$5001=Schedule!DV$45)*(Results!$B$2:$B$5001=3)*(Results!$G$2:$G$5001)*1),SUMPRODUCT((Results!$A$2:$A$5001=Schedule!DV$45)*(Results!$B$2:$B$5001=4)*(Results!$G$2:$G$5001)*1),SUMPRODUCT((Results!$A$2:$A$5001=Schedule!DV$45)*(Results!$B$2:$B$5001=5)*(Results!$G$2:$G$5001)*1),SUMPRODUCT((Results!$A$2:$A$5001=Schedule!DV$45)*(Results!$B$2:$B$5001=6)*(Results!$G$2:$G$5001)*1),SUMPRODUCT((Results!$A$2:$A$5001=Schedule!DV$45)*(Results!$B$2:$B$5001=7)*(Results!$G$2:$G$5001)*1),SUMPRODUCT((Results!$A$2:$A$5001=Schedule!DV$45)*(Results!$B$2:$B$5001=8)*(Results!$G$2:$G$5001)*1),SUMPRODUCT((Results!$A$2:$A$5001=Schedule!DV$45)*(Results!$B$2:$B$5001=9)*(Results!$G$2:$G$5001)*1),SUMPRODUCT((Results!$A$2:$A$5001=Schedule!DV$45)*(Results!$B$2:$B$5001=10)*(Results!$G$2:$G$5001)*1),SUMPRODUCT((Results!$A$2:$A$5001=Schedule!DV$45)*(Results!$B$2:$B$5001=11)*(Results!$G$2:$G$5001)*1),SUMPRODUCT((Results!$A$2:$A$5001=Schedule!DV$45)*(Results!$B$2:$B$5001=12)*(Results!$G$2:$G$5001)*1),SUMPRODUCT((Results!$A$2:$A$5001=Schedule!DV$45)*(Results!$B$2:$B$5001=13)*(Results!$G$2:$G$5001)*1),SUMPRODUCT((Results!$A$2:$A$5001=Schedule!DV$45)*(Results!$B$2:$B$5001=14)*(Results!$G$2:$G$5001)*1),SUMPRODUCT((Results!$A$2:$A$5001=Schedule!DV$45)*(Results!$B$2:$B$5001=15)*(Results!$G$2:$G$5001)*1),SUMPRODUCT((Results!$A$2:$A$5001=Schedule!DV$45)*(Results!$B$2:$B$5001=16)*(Results!$G$2:$G$5001)*1),SUMPRODUCT((Results!$A$2:$A$5001=Schedule!DV$45)*(Results!$B$2:$B$5001=17)*(Results!$G$2:$G$5001)*1),SUMPRODUCT((Results!$A$2:$A$5001=Schedule!DV$45)*(Results!$B$2:$B$5001=18)*(Results!$G$2:$G$5001)*1),SUMPRODUCT((Results!$A$2:$A$5001=Schedule!DV$45)*(Results!$B$2:$B$5001=19)*(Results!$G$2:$G$5001)*1),SUMPRODUCT((Results!$A$2:$A$5001=Schedule!DV$45)*(Results!$B$2:$B$5001=20)*(Results!$G$2:$G$5001)*1))</f>
        <v>0</v>
      </c>
      <c r="DW73" s="88">
        <f>MAX(SUMPRODUCT((Results!$A$2:$A$5001=Schedule!DW$45)*(Results!$B$2:$B$5001=1)*(Results!$G$2:$G$5001)*1),SUMPRODUCT((Results!$A$2:$A$5001=Schedule!DW$45)*(Results!$B$2:$B$5001=2)*(Results!$G$2:$G$5001)*1),SUMPRODUCT((Results!$A$2:$A$5001=Schedule!DW$45)*(Results!$B$2:$B$5001=3)*(Results!$G$2:$G$5001)*1),SUMPRODUCT((Results!$A$2:$A$5001=Schedule!DW$45)*(Results!$B$2:$B$5001=4)*(Results!$G$2:$G$5001)*1),SUMPRODUCT((Results!$A$2:$A$5001=Schedule!DW$45)*(Results!$B$2:$B$5001=5)*(Results!$G$2:$G$5001)*1),SUMPRODUCT((Results!$A$2:$A$5001=Schedule!DW$45)*(Results!$B$2:$B$5001=6)*(Results!$G$2:$G$5001)*1),SUMPRODUCT((Results!$A$2:$A$5001=Schedule!DW$45)*(Results!$B$2:$B$5001=7)*(Results!$G$2:$G$5001)*1),SUMPRODUCT((Results!$A$2:$A$5001=Schedule!DW$45)*(Results!$B$2:$B$5001=8)*(Results!$G$2:$G$5001)*1),SUMPRODUCT((Results!$A$2:$A$5001=Schedule!DW$45)*(Results!$B$2:$B$5001=9)*(Results!$G$2:$G$5001)*1),SUMPRODUCT((Results!$A$2:$A$5001=Schedule!DW$45)*(Results!$B$2:$B$5001=10)*(Results!$G$2:$G$5001)*1),SUMPRODUCT((Results!$A$2:$A$5001=Schedule!DW$45)*(Results!$B$2:$B$5001=11)*(Results!$G$2:$G$5001)*1),SUMPRODUCT((Results!$A$2:$A$5001=Schedule!DW$45)*(Results!$B$2:$B$5001=12)*(Results!$G$2:$G$5001)*1),SUMPRODUCT((Results!$A$2:$A$5001=Schedule!DW$45)*(Results!$B$2:$B$5001=13)*(Results!$G$2:$G$5001)*1),SUMPRODUCT((Results!$A$2:$A$5001=Schedule!DW$45)*(Results!$B$2:$B$5001=14)*(Results!$G$2:$G$5001)*1),SUMPRODUCT((Results!$A$2:$A$5001=Schedule!DW$45)*(Results!$B$2:$B$5001=15)*(Results!$G$2:$G$5001)*1),SUMPRODUCT((Results!$A$2:$A$5001=Schedule!DW$45)*(Results!$B$2:$B$5001=16)*(Results!$G$2:$G$5001)*1),SUMPRODUCT((Results!$A$2:$A$5001=Schedule!DW$45)*(Results!$B$2:$B$5001=17)*(Results!$G$2:$G$5001)*1),SUMPRODUCT((Results!$A$2:$A$5001=Schedule!DW$45)*(Results!$B$2:$B$5001=18)*(Results!$G$2:$G$5001)*1),SUMPRODUCT((Results!$A$2:$A$5001=Schedule!DW$45)*(Results!$B$2:$B$5001=19)*(Results!$G$2:$G$5001)*1),SUMPRODUCT((Results!$A$2:$A$5001=Schedule!DW$45)*(Results!$B$2:$B$5001=20)*(Results!$G$2:$G$5001)*1))</f>
        <v>0</v>
      </c>
      <c r="DX73" s="88">
        <f>MAX(SUMPRODUCT((Results!$A$2:$A$5001=Schedule!DX$45)*(Results!$B$2:$B$5001=1)*(Results!$G$2:$G$5001)*1),SUMPRODUCT((Results!$A$2:$A$5001=Schedule!DX$45)*(Results!$B$2:$B$5001=2)*(Results!$G$2:$G$5001)*1),SUMPRODUCT((Results!$A$2:$A$5001=Schedule!DX$45)*(Results!$B$2:$B$5001=3)*(Results!$G$2:$G$5001)*1),SUMPRODUCT((Results!$A$2:$A$5001=Schedule!DX$45)*(Results!$B$2:$B$5001=4)*(Results!$G$2:$G$5001)*1),SUMPRODUCT((Results!$A$2:$A$5001=Schedule!DX$45)*(Results!$B$2:$B$5001=5)*(Results!$G$2:$G$5001)*1),SUMPRODUCT((Results!$A$2:$A$5001=Schedule!DX$45)*(Results!$B$2:$B$5001=6)*(Results!$G$2:$G$5001)*1),SUMPRODUCT((Results!$A$2:$A$5001=Schedule!DX$45)*(Results!$B$2:$B$5001=7)*(Results!$G$2:$G$5001)*1),SUMPRODUCT((Results!$A$2:$A$5001=Schedule!DX$45)*(Results!$B$2:$B$5001=8)*(Results!$G$2:$G$5001)*1),SUMPRODUCT((Results!$A$2:$A$5001=Schedule!DX$45)*(Results!$B$2:$B$5001=9)*(Results!$G$2:$G$5001)*1),SUMPRODUCT((Results!$A$2:$A$5001=Schedule!DX$45)*(Results!$B$2:$B$5001=10)*(Results!$G$2:$G$5001)*1),SUMPRODUCT((Results!$A$2:$A$5001=Schedule!DX$45)*(Results!$B$2:$B$5001=11)*(Results!$G$2:$G$5001)*1),SUMPRODUCT((Results!$A$2:$A$5001=Schedule!DX$45)*(Results!$B$2:$B$5001=12)*(Results!$G$2:$G$5001)*1),SUMPRODUCT((Results!$A$2:$A$5001=Schedule!DX$45)*(Results!$B$2:$B$5001=13)*(Results!$G$2:$G$5001)*1),SUMPRODUCT((Results!$A$2:$A$5001=Schedule!DX$45)*(Results!$B$2:$B$5001=14)*(Results!$G$2:$G$5001)*1),SUMPRODUCT((Results!$A$2:$A$5001=Schedule!DX$45)*(Results!$B$2:$B$5001=15)*(Results!$G$2:$G$5001)*1),SUMPRODUCT((Results!$A$2:$A$5001=Schedule!DX$45)*(Results!$B$2:$B$5001=16)*(Results!$G$2:$G$5001)*1),SUMPRODUCT((Results!$A$2:$A$5001=Schedule!DX$45)*(Results!$B$2:$B$5001=17)*(Results!$G$2:$G$5001)*1),SUMPRODUCT((Results!$A$2:$A$5001=Schedule!DX$45)*(Results!$B$2:$B$5001=18)*(Results!$G$2:$G$5001)*1),SUMPRODUCT((Results!$A$2:$A$5001=Schedule!DX$45)*(Results!$B$2:$B$5001=19)*(Results!$G$2:$G$5001)*1),SUMPRODUCT((Results!$A$2:$A$5001=Schedule!DX$45)*(Results!$B$2:$B$5001=20)*(Results!$G$2:$G$5001)*1))</f>
        <v>0</v>
      </c>
      <c r="DY73" s="88">
        <f>MAX(SUMPRODUCT((Results!$A$2:$A$5001=Schedule!DY$45)*(Results!$B$2:$B$5001=1)*(Results!$G$2:$G$5001)*1),SUMPRODUCT((Results!$A$2:$A$5001=Schedule!DY$45)*(Results!$B$2:$B$5001=2)*(Results!$G$2:$G$5001)*1),SUMPRODUCT((Results!$A$2:$A$5001=Schedule!DY$45)*(Results!$B$2:$B$5001=3)*(Results!$G$2:$G$5001)*1),SUMPRODUCT((Results!$A$2:$A$5001=Schedule!DY$45)*(Results!$B$2:$B$5001=4)*(Results!$G$2:$G$5001)*1),SUMPRODUCT((Results!$A$2:$A$5001=Schedule!DY$45)*(Results!$B$2:$B$5001=5)*(Results!$G$2:$G$5001)*1),SUMPRODUCT((Results!$A$2:$A$5001=Schedule!DY$45)*(Results!$B$2:$B$5001=6)*(Results!$G$2:$G$5001)*1),SUMPRODUCT((Results!$A$2:$A$5001=Schedule!DY$45)*(Results!$B$2:$B$5001=7)*(Results!$G$2:$G$5001)*1),SUMPRODUCT((Results!$A$2:$A$5001=Schedule!DY$45)*(Results!$B$2:$B$5001=8)*(Results!$G$2:$G$5001)*1),SUMPRODUCT((Results!$A$2:$A$5001=Schedule!DY$45)*(Results!$B$2:$B$5001=9)*(Results!$G$2:$G$5001)*1),SUMPRODUCT((Results!$A$2:$A$5001=Schedule!DY$45)*(Results!$B$2:$B$5001=10)*(Results!$G$2:$G$5001)*1),SUMPRODUCT((Results!$A$2:$A$5001=Schedule!DY$45)*(Results!$B$2:$B$5001=11)*(Results!$G$2:$G$5001)*1),SUMPRODUCT((Results!$A$2:$A$5001=Schedule!DY$45)*(Results!$B$2:$B$5001=12)*(Results!$G$2:$G$5001)*1),SUMPRODUCT((Results!$A$2:$A$5001=Schedule!DY$45)*(Results!$B$2:$B$5001=13)*(Results!$G$2:$G$5001)*1),SUMPRODUCT((Results!$A$2:$A$5001=Schedule!DY$45)*(Results!$B$2:$B$5001=14)*(Results!$G$2:$G$5001)*1),SUMPRODUCT((Results!$A$2:$A$5001=Schedule!DY$45)*(Results!$B$2:$B$5001=15)*(Results!$G$2:$G$5001)*1),SUMPRODUCT((Results!$A$2:$A$5001=Schedule!DY$45)*(Results!$B$2:$B$5001=16)*(Results!$G$2:$G$5001)*1),SUMPRODUCT((Results!$A$2:$A$5001=Schedule!DY$45)*(Results!$B$2:$B$5001=17)*(Results!$G$2:$G$5001)*1),SUMPRODUCT((Results!$A$2:$A$5001=Schedule!DY$45)*(Results!$B$2:$B$5001=18)*(Results!$G$2:$G$5001)*1),SUMPRODUCT((Results!$A$2:$A$5001=Schedule!DY$45)*(Results!$B$2:$B$5001=19)*(Results!$G$2:$G$5001)*1),SUMPRODUCT((Results!$A$2:$A$5001=Schedule!DY$45)*(Results!$B$2:$B$5001=20)*(Results!$G$2:$G$5001)*1))</f>
        <v>0</v>
      </c>
      <c r="DZ73" s="88">
        <f>MAX(SUMPRODUCT((Results!$A$2:$A$5001=Schedule!DZ$45)*(Results!$B$2:$B$5001=1)*(Results!$G$2:$G$5001)*1),SUMPRODUCT((Results!$A$2:$A$5001=Schedule!DZ$45)*(Results!$B$2:$B$5001=2)*(Results!$G$2:$G$5001)*1),SUMPRODUCT((Results!$A$2:$A$5001=Schedule!DZ$45)*(Results!$B$2:$B$5001=3)*(Results!$G$2:$G$5001)*1),SUMPRODUCT((Results!$A$2:$A$5001=Schedule!DZ$45)*(Results!$B$2:$B$5001=4)*(Results!$G$2:$G$5001)*1),SUMPRODUCT((Results!$A$2:$A$5001=Schedule!DZ$45)*(Results!$B$2:$B$5001=5)*(Results!$G$2:$G$5001)*1),SUMPRODUCT((Results!$A$2:$A$5001=Schedule!DZ$45)*(Results!$B$2:$B$5001=6)*(Results!$G$2:$G$5001)*1),SUMPRODUCT((Results!$A$2:$A$5001=Schedule!DZ$45)*(Results!$B$2:$B$5001=7)*(Results!$G$2:$G$5001)*1),SUMPRODUCT((Results!$A$2:$A$5001=Schedule!DZ$45)*(Results!$B$2:$B$5001=8)*(Results!$G$2:$G$5001)*1),SUMPRODUCT((Results!$A$2:$A$5001=Schedule!DZ$45)*(Results!$B$2:$B$5001=9)*(Results!$G$2:$G$5001)*1),SUMPRODUCT((Results!$A$2:$A$5001=Schedule!DZ$45)*(Results!$B$2:$B$5001=10)*(Results!$G$2:$G$5001)*1),SUMPRODUCT((Results!$A$2:$A$5001=Schedule!DZ$45)*(Results!$B$2:$B$5001=11)*(Results!$G$2:$G$5001)*1),SUMPRODUCT((Results!$A$2:$A$5001=Schedule!DZ$45)*(Results!$B$2:$B$5001=12)*(Results!$G$2:$G$5001)*1),SUMPRODUCT((Results!$A$2:$A$5001=Schedule!DZ$45)*(Results!$B$2:$B$5001=13)*(Results!$G$2:$G$5001)*1),SUMPRODUCT((Results!$A$2:$A$5001=Schedule!DZ$45)*(Results!$B$2:$B$5001=14)*(Results!$G$2:$G$5001)*1),SUMPRODUCT((Results!$A$2:$A$5001=Schedule!DZ$45)*(Results!$B$2:$B$5001=15)*(Results!$G$2:$G$5001)*1),SUMPRODUCT((Results!$A$2:$A$5001=Schedule!DZ$45)*(Results!$B$2:$B$5001=16)*(Results!$G$2:$G$5001)*1),SUMPRODUCT((Results!$A$2:$A$5001=Schedule!DZ$45)*(Results!$B$2:$B$5001=17)*(Results!$G$2:$G$5001)*1),SUMPRODUCT((Results!$A$2:$A$5001=Schedule!DZ$45)*(Results!$B$2:$B$5001=18)*(Results!$G$2:$G$5001)*1),SUMPRODUCT((Results!$A$2:$A$5001=Schedule!DZ$45)*(Results!$B$2:$B$5001=19)*(Results!$G$2:$G$5001)*1),SUMPRODUCT((Results!$A$2:$A$5001=Schedule!DZ$45)*(Results!$B$2:$B$5001=20)*(Results!$G$2:$G$5001)*1))</f>
        <v>0</v>
      </c>
      <c r="EA73" s="88">
        <f>MAX(SUMPRODUCT((Results!$A$2:$A$5001=Schedule!EA$45)*(Results!$B$2:$B$5001=1)*(Results!$G$2:$G$5001)*1),SUMPRODUCT((Results!$A$2:$A$5001=Schedule!EA$45)*(Results!$B$2:$B$5001=2)*(Results!$G$2:$G$5001)*1),SUMPRODUCT((Results!$A$2:$A$5001=Schedule!EA$45)*(Results!$B$2:$B$5001=3)*(Results!$G$2:$G$5001)*1),SUMPRODUCT((Results!$A$2:$A$5001=Schedule!EA$45)*(Results!$B$2:$B$5001=4)*(Results!$G$2:$G$5001)*1),SUMPRODUCT((Results!$A$2:$A$5001=Schedule!EA$45)*(Results!$B$2:$B$5001=5)*(Results!$G$2:$G$5001)*1),SUMPRODUCT((Results!$A$2:$A$5001=Schedule!EA$45)*(Results!$B$2:$B$5001=6)*(Results!$G$2:$G$5001)*1),SUMPRODUCT((Results!$A$2:$A$5001=Schedule!EA$45)*(Results!$B$2:$B$5001=7)*(Results!$G$2:$G$5001)*1),SUMPRODUCT((Results!$A$2:$A$5001=Schedule!EA$45)*(Results!$B$2:$B$5001=8)*(Results!$G$2:$G$5001)*1),SUMPRODUCT((Results!$A$2:$A$5001=Schedule!EA$45)*(Results!$B$2:$B$5001=9)*(Results!$G$2:$G$5001)*1),SUMPRODUCT((Results!$A$2:$A$5001=Schedule!EA$45)*(Results!$B$2:$B$5001=10)*(Results!$G$2:$G$5001)*1),SUMPRODUCT((Results!$A$2:$A$5001=Schedule!EA$45)*(Results!$B$2:$B$5001=11)*(Results!$G$2:$G$5001)*1),SUMPRODUCT((Results!$A$2:$A$5001=Schedule!EA$45)*(Results!$B$2:$B$5001=12)*(Results!$G$2:$G$5001)*1),SUMPRODUCT((Results!$A$2:$A$5001=Schedule!EA$45)*(Results!$B$2:$B$5001=13)*(Results!$G$2:$G$5001)*1),SUMPRODUCT((Results!$A$2:$A$5001=Schedule!EA$45)*(Results!$B$2:$B$5001=14)*(Results!$G$2:$G$5001)*1),SUMPRODUCT((Results!$A$2:$A$5001=Schedule!EA$45)*(Results!$B$2:$B$5001=15)*(Results!$G$2:$G$5001)*1),SUMPRODUCT((Results!$A$2:$A$5001=Schedule!EA$45)*(Results!$B$2:$B$5001=16)*(Results!$G$2:$G$5001)*1),SUMPRODUCT((Results!$A$2:$A$5001=Schedule!EA$45)*(Results!$B$2:$B$5001=17)*(Results!$G$2:$G$5001)*1),SUMPRODUCT((Results!$A$2:$A$5001=Schedule!EA$45)*(Results!$B$2:$B$5001=18)*(Results!$G$2:$G$5001)*1),SUMPRODUCT((Results!$A$2:$A$5001=Schedule!EA$45)*(Results!$B$2:$B$5001=19)*(Results!$G$2:$G$5001)*1),SUMPRODUCT((Results!$A$2:$A$5001=Schedule!EA$45)*(Results!$B$2:$B$5001=20)*(Results!$G$2:$G$5001)*1))</f>
        <v>0</v>
      </c>
      <c r="EB73" s="88">
        <f>MAX(SUMPRODUCT((Results!$A$2:$A$5001=Schedule!EB$45)*(Results!$B$2:$B$5001=1)*(Results!$G$2:$G$5001)*1),SUMPRODUCT((Results!$A$2:$A$5001=Schedule!EB$45)*(Results!$B$2:$B$5001=2)*(Results!$G$2:$G$5001)*1),SUMPRODUCT((Results!$A$2:$A$5001=Schedule!EB$45)*(Results!$B$2:$B$5001=3)*(Results!$G$2:$G$5001)*1),SUMPRODUCT((Results!$A$2:$A$5001=Schedule!EB$45)*(Results!$B$2:$B$5001=4)*(Results!$G$2:$G$5001)*1),SUMPRODUCT((Results!$A$2:$A$5001=Schedule!EB$45)*(Results!$B$2:$B$5001=5)*(Results!$G$2:$G$5001)*1),SUMPRODUCT((Results!$A$2:$A$5001=Schedule!EB$45)*(Results!$B$2:$B$5001=6)*(Results!$G$2:$G$5001)*1),SUMPRODUCT((Results!$A$2:$A$5001=Schedule!EB$45)*(Results!$B$2:$B$5001=7)*(Results!$G$2:$G$5001)*1),SUMPRODUCT((Results!$A$2:$A$5001=Schedule!EB$45)*(Results!$B$2:$B$5001=8)*(Results!$G$2:$G$5001)*1),SUMPRODUCT((Results!$A$2:$A$5001=Schedule!EB$45)*(Results!$B$2:$B$5001=9)*(Results!$G$2:$G$5001)*1),SUMPRODUCT((Results!$A$2:$A$5001=Schedule!EB$45)*(Results!$B$2:$B$5001=10)*(Results!$G$2:$G$5001)*1),SUMPRODUCT((Results!$A$2:$A$5001=Schedule!EB$45)*(Results!$B$2:$B$5001=11)*(Results!$G$2:$G$5001)*1),SUMPRODUCT((Results!$A$2:$A$5001=Schedule!EB$45)*(Results!$B$2:$B$5001=12)*(Results!$G$2:$G$5001)*1),SUMPRODUCT((Results!$A$2:$A$5001=Schedule!EB$45)*(Results!$B$2:$B$5001=13)*(Results!$G$2:$G$5001)*1),SUMPRODUCT((Results!$A$2:$A$5001=Schedule!EB$45)*(Results!$B$2:$B$5001=14)*(Results!$G$2:$G$5001)*1),SUMPRODUCT((Results!$A$2:$A$5001=Schedule!EB$45)*(Results!$B$2:$B$5001=15)*(Results!$G$2:$G$5001)*1),SUMPRODUCT((Results!$A$2:$A$5001=Schedule!EB$45)*(Results!$B$2:$B$5001=16)*(Results!$G$2:$G$5001)*1),SUMPRODUCT((Results!$A$2:$A$5001=Schedule!EB$45)*(Results!$B$2:$B$5001=17)*(Results!$G$2:$G$5001)*1),SUMPRODUCT((Results!$A$2:$A$5001=Schedule!EB$45)*(Results!$B$2:$B$5001=18)*(Results!$G$2:$G$5001)*1),SUMPRODUCT((Results!$A$2:$A$5001=Schedule!EB$45)*(Results!$B$2:$B$5001=19)*(Results!$G$2:$G$5001)*1),SUMPRODUCT((Results!$A$2:$A$5001=Schedule!EB$45)*(Results!$B$2:$B$5001=20)*(Results!$G$2:$G$5001)*1))</f>
        <v>0</v>
      </c>
      <c r="EC73" s="88">
        <f>MAX(SUMPRODUCT((Results!$A$2:$A$5001=Schedule!EC$45)*(Results!$B$2:$B$5001=1)*(Results!$G$2:$G$5001)*1),SUMPRODUCT((Results!$A$2:$A$5001=Schedule!EC$45)*(Results!$B$2:$B$5001=2)*(Results!$G$2:$G$5001)*1),SUMPRODUCT((Results!$A$2:$A$5001=Schedule!EC$45)*(Results!$B$2:$B$5001=3)*(Results!$G$2:$G$5001)*1),SUMPRODUCT((Results!$A$2:$A$5001=Schedule!EC$45)*(Results!$B$2:$B$5001=4)*(Results!$G$2:$G$5001)*1),SUMPRODUCT((Results!$A$2:$A$5001=Schedule!EC$45)*(Results!$B$2:$B$5001=5)*(Results!$G$2:$G$5001)*1),SUMPRODUCT((Results!$A$2:$A$5001=Schedule!EC$45)*(Results!$B$2:$B$5001=6)*(Results!$G$2:$G$5001)*1),SUMPRODUCT((Results!$A$2:$A$5001=Schedule!EC$45)*(Results!$B$2:$B$5001=7)*(Results!$G$2:$G$5001)*1),SUMPRODUCT((Results!$A$2:$A$5001=Schedule!EC$45)*(Results!$B$2:$B$5001=8)*(Results!$G$2:$G$5001)*1),SUMPRODUCT((Results!$A$2:$A$5001=Schedule!EC$45)*(Results!$B$2:$B$5001=9)*(Results!$G$2:$G$5001)*1),SUMPRODUCT((Results!$A$2:$A$5001=Schedule!EC$45)*(Results!$B$2:$B$5001=10)*(Results!$G$2:$G$5001)*1),SUMPRODUCT((Results!$A$2:$A$5001=Schedule!EC$45)*(Results!$B$2:$B$5001=11)*(Results!$G$2:$G$5001)*1),SUMPRODUCT((Results!$A$2:$A$5001=Schedule!EC$45)*(Results!$B$2:$B$5001=12)*(Results!$G$2:$G$5001)*1),SUMPRODUCT((Results!$A$2:$A$5001=Schedule!EC$45)*(Results!$B$2:$B$5001=13)*(Results!$G$2:$G$5001)*1),SUMPRODUCT((Results!$A$2:$A$5001=Schedule!EC$45)*(Results!$B$2:$B$5001=14)*(Results!$G$2:$G$5001)*1),SUMPRODUCT((Results!$A$2:$A$5001=Schedule!EC$45)*(Results!$B$2:$B$5001=15)*(Results!$G$2:$G$5001)*1),SUMPRODUCT((Results!$A$2:$A$5001=Schedule!EC$45)*(Results!$B$2:$B$5001=16)*(Results!$G$2:$G$5001)*1),SUMPRODUCT((Results!$A$2:$A$5001=Schedule!EC$45)*(Results!$B$2:$B$5001=17)*(Results!$G$2:$G$5001)*1),SUMPRODUCT((Results!$A$2:$A$5001=Schedule!EC$45)*(Results!$B$2:$B$5001=18)*(Results!$G$2:$G$5001)*1),SUMPRODUCT((Results!$A$2:$A$5001=Schedule!EC$45)*(Results!$B$2:$B$5001=19)*(Results!$G$2:$G$5001)*1),SUMPRODUCT((Results!$A$2:$A$5001=Schedule!EC$45)*(Results!$B$2:$B$5001=20)*(Results!$G$2:$G$5001)*1))</f>
        <v>0</v>
      </c>
      <c r="ED73" s="88">
        <f>MAX(SUMPRODUCT((Results!$A$2:$A$5001=Schedule!ED$45)*(Results!$B$2:$B$5001=1)*(Results!$G$2:$G$5001)*1),SUMPRODUCT((Results!$A$2:$A$5001=Schedule!ED$45)*(Results!$B$2:$B$5001=2)*(Results!$G$2:$G$5001)*1),SUMPRODUCT((Results!$A$2:$A$5001=Schedule!ED$45)*(Results!$B$2:$B$5001=3)*(Results!$G$2:$G$5001)*1),SUMPRODUCT((Results!$A$2:$A$5001=Schedule!ED$45)*(Results!$B$2:$B$5001=4)*(Results!$G$2:$G$5001)*1),SUMPRODUCT((Results!$A$2:$A$5001=Schedule!ED$45)*(Results!$B$2:$B$5001=5)*(Results!$G$2:$G$5001)*1),SUMPRODUCT((Results!$A$2:$A$5001=Schedule!ED$45)*(Results!$B$2:$B$5001=6)*(Results!$G$2:$G$5001)*1),SUMPRODUCT((Results!$A$2:$A$5001=Schedule!ED$45)*(Results!$B$2:$B$5001=7)*(Results!$G$2:$G$5001)*1),SUMPRODUCT((Results!$A$2:$A$5001=Schedule!ED$45)*(Results!$B$2:$B$5001=8)*(Results!$G$2:$G$5001)*1),SUMPRODUCT((Results!$A$2:$A$5001=Schedule!ED$45)*(Results!$B$2:$B$5001=9)*(Results!$G$2:$G$5001)*1),SUMPRODUCT((Results!$A$2:$A$5001=Schedule!ED$45)*(Results!$B$2:$B$5001=10)*(Results!$G$2:$G$5001)*1),SUMPRODUCT((Results!$A$2:$A$5001=Schedule!ED$45)*(Results!$B$2:$B$5001=11)*(Results!$G$2:$G$5001)*1),SUMPRODUCT((Results!$A$2:$A$5001=Schedule!ED$45)*(Results!$B$2:$B$5001=12)*(Results!$G$2:$G$5001)*1),SUMPRODUCT((Results!$A$2:$A$5001=Schedule!ED$45)*(Results!$B$2:$B$5001=13)*(Results!$G$2:$G$5001)*1),SUMPRODUCT((Results!$A$2:$A$5001=Schedule!ED$45)*(Results!$B$2:$B$5001=14)*(Results!$G$2:$G$5001)*1),SUMPRODUCT((Results!$A$2:$A$5001=Schedule!ED$45)*(Results!$B$2:$B$5001=15)*(Results!$G$2:$G$5001)*1),SUMPRODUCT((Results!$A$2:$A$5001=Schedule!ED$45)*(Results!$B$2:$B$5001=16)*(Results!$G$2:$G$5001)*1),SUMPRODUCT((Results!$A$2:$A$5001=Schedule!ED$45)*(Results!$B$2:$B$5001=17)*(Results!$G$2:$G$5001)*1),SUMPRODUCT((Results!$A$2:$A$5001=Schedule!ED$45)*(Results!$B$2:$B$5001=18)*(Results!$G$2:$G$5001)*1),SUMPRODUCT((Results!$A$2:$A$5001=Schedule!ED$45)*(Results!$B$2:$B$5001=19)*(Results!$G$2:$G$5001)*1),SUMPRODUCT((Results!$A$2:$A$5001=Schedule!ED$45)*(Results!$B$2:$B$5001=20)*(Results!$G$2:$G$5001)*1))</f>
        <v>0</v>
      </c>
      <c r="EE73" s="88">
        <f>MAX(SUMPRODUCT((Results!$A$2:$A$5001=Schedule!EE$45)*(Results!$B$2:$B$5001=1)*(Results!$G$2:$G$5001)*1),SUMPRODUCT((Results!$A$2:$A$5001=Schedule!EE$45)*(Results!$B$2:$B$5001=2)*(Results!$G$2:$G$5001)*1),SUMPRODUCT((Results!$A$2:$A$5001=Schedule!EE$45)*(Results!$B$2:$B$5001=3)*(Results!$G$2:$G$5001)*1),SUMPRODUCT((Results!$A$2:$A$5001=Schedule!EE$45)*(Results!$B$2:$B$5001=4)*(Results!$G$2:$G$5001)*1),SUMPRODUCT((Results!$A$2:$A$5001=Schedule!EE$45)*(Results!$B$2:$B$5001=5)*(Results!$G$2:$G$5001)*1),SUMPRODUCT((Results!$A$2:$A$5001=Schedule!EE$45)*(Results!$B$2:$B$5001=6)*(Results!$G$2:$G$5001)*1),SUMPRODUCT((Results!$A$2:$A$5001=Schedule!EE$45)*(Results!$B$2:$B$5001=7)*(Results!$G$2:$G$5001)*1),SUMPRODUCT((Results!$A$2:$A$5001=Schedule!EE$45)*(Results!$B$2:$B$5001=8)*(Results!$G$2:$G$5001)*1),SUMPRODUCT((Results!$A$2:$A$5001=Schedule!EE$45)*(Results!$B$2:$B$5001=9)*(Results!$G$2:$G$5001)*1),SUMPRODUCT((Results!$A$2:$A$5001=Schedule!EE$45)*(Results!$B$2:$B$5001=10)*(Results!$G$2:$G$5001)*1),SUMPRODUCT((Results!$A$2:$A$5001=Schedule!EE$45)*(Results!$B$2:$B$5001=11)*(Results!$G$2:$G$5001)*1),SUMPRODUCT((Results!$A$2:$A$5001=Schedule!EE$45)*(Results!$B$2:$B$5001=12)*(Results!$G$2:$G$5001)*1),SUMPRODUCT((Results!$A$2:$A$5001=Schedule!EE$45)*(Results!$B$2:$B$5001=13)*(Results!$G$2:$G$5001)*1),SUMPRODUCT((Results!$A$2:$A$5001=Schedule!EE$45)*(Results!$B$2:$B$5001=14)*(Results!$G$2:$G$5001)*1),SUMPRODUCT((Results!$A$2:$A$5001=Schedule!EE$45)*(Results!$B$2:$B$5001=15)*(Results!$G$2:$G$5001)*1),SUMPRODUCT((Results!$A$2:$A$5001=Schedule!EE$45)*(Results!$B$2:$B$5001=16)*(Results!$G$2:$G$5001)*1),SUMPRODUCT((Results!$A$2:$A$5001=Schedule!EE$45)*(Results!$B$2:$B$5001=17)*(Results!$G$2:$G$5001)*1),SUMPRODUCT((Results!$A$2:$A$5001=Schedule!EE$45)*(Results!$B$2:$B$5001=18)*(Results!$G$2:$G$5001)*1),SUMPRODUCT((Results!$A$2:$A$5001=Schedule!EE$45)*(Results!$B$2:$B$5001=19)*(Results!$G$2:$G$5001)*1),SUMPRODUCT((Results!$A$2:$A$5001=Schedule!EE$45)*(Results!$B$2:$B$5001=20)*(Results!$G$2:$G$5001)*1))</f>
        <v>0</v>
      </c>
      <c r="EF73" s="88">
        <f>MAX(SUMPRODUCT((Results!$A$2:$A$5001=Schedule!EF$45)*(Results!$B$2:$B$5001=1)*(Results!$G$2:$G$5001)*1),SUMPRODUCT((Results!$A$2:$A$5001=Schedule!EF$45)*(Results!$B$2:$B$5001=2)*(Results!$G$2:$G$5001)*1),SUMPRODUCT((Results!$A$2:$A$5001=Schedule!EF$45)*(Results!$B$2:$B$5001=3)*(Results!$G$2:$G$5001)*1),SUMPRODUCT((Results!$A$2:$A$5001=Schedule!EF$45)*(Results!$B$2:$B$5001=4)*(Results!$G$2:$G$5001)*1),SUMPRODUCT((Results!$A$2:$A$5001=Schedule!EF$45)*(Results!$B$2:$B$5001=5)*(Results!$G$2:$G$5001)*1),SUMPRODUCT((Results!$A$2:$A$5001=Schedule!EF$45)*(Results!$B$2:$B$5001=6)*(Results!$G$2:$G$5001)*1),SUMPRODUCT((Results!$A$2:$A$5001=Schedule!EF$45)*(Results!$B$2:$B$5001=7)*(Results!$G$2:$G$5001)*1),SUMPRODUCT((Results!$A$2:$A$5001=Schedule!EF$45)*(Results!$B$2:$B$5001=8)*(Results!$G$2:$G$5001)*1),SUMPRODUCT((Results!$A$2:$A$5001=Schedule!EF$45)*(Results!$B$2:$B$5001=9)*(Results!$G$2:$G$5001)*1),SUMPRODUCT((Results!$A$2:$A$5001=Schedule!EF$45)*(Results!$B$2:$B$5001=10)*(Results!$G$2:$G$5001)*1),SUMPRODUCT((Results!$A$2:$A$5001=Schedule!EF$45)*(Results!$B$2:$B$5001=11)*(Results!$G$2:$G$5001)*1),SUMPRODUCT((Results!$A$2:$A$5001=Schedule!EF$45)*(Results!$B$2:$B$5001=12)*(Results!$G$2:$G$5001)*1),SUMPRODUCT((Results!$A$2:$A$5001=Schedule!EF$45)*(Results!$B$2:$B$5001=13)*(Results!$G$2:$G$5001)*1),SUMPRODUCT((Results!$A$2:$A$5001=Schedule!EF$45)*(Results!$B$2:$B$5001=14)*(Results!$G$2:$G$5001)*1),SUMPRODUCT((Results!$A$2:$A$5001=Schedule!EF$45)*(Results!$B$2:$B$5001=15)*(Results!$G$2:$G$5001)*1),SUMPRODUCT((Results!$A$2:$A$5001=Schedule!EF$45)*(Results!$B$2:$B$5001=16)*(Results!$G$2:$G$5001)*1),SUMPRODUCT((Results!$A$2:$A$5001=Schedule!EF$45)*(Results!$B$2:$B$5001=17)*(Results!$G$2:$G$5001)*1),SUMPRODUCT((Results!$A$2:$A$5001=Schedule!EF$45)*(Results!$B$2:$B$5001=18)*(Results!$G$2:$G$5001)*1),SUMPRODUCT((Results!$A$2:$A$5001=Schedule!EF$45)*(Results!$B$2:$B$5001=19)*(Results!$G$2:$G$5001)*1),SUMPRODUCT((Results!$A$2:$A$5001=Schedule!EF$45)*(Results!$B$2:$B$5001=20)*(Results!$G$2:$G$5001)*1))</f>
        <v>0</v>
      </c>
      <c r="EG73" s="88">
        <f>MAX(SUMPRODUCT((Results!$A$2:$A$5001=Schedule!EG$45)*(Results!$B$2:$B$5001=1)*(Results!$G$2:$G$5001)*1),SUMPRODUCT((Results!$A$2:$A$5001=Schedule!EG$45)*(Results!$B$2:$B$5001=2)*(Results!$G$2:$G$5001)*1),SUMPRODUCT((Results!$A$2:$A$5001=Schedule!EG$45)*(Results!$B$2:$B$5001=3)*(Results!$G$2:$G$5001)*1),SUMPRODUCT((Results!$A$2:$A$5001=Schedule!EG$45)*(Results!$B$2:$B$5001=4)*(Results!$G$2:$G$5001)*1),SUMPRODUCT((Results!$A$2:$A$5001=Schedule!EG$45)*(Results!$B$2:$B$5001=5)*(Results!$G$2:$G$5001)*1),SUMPRODUCT((Results!$A$2:$A$5001=Schedule!EG$45)*(Results!$B$2:$B$5001=6)*(Results!$G$2:$G$5001)*1),SUMPRODUCT((Results!$A$2:$A$5001=Schedule!EG$45)*(Results!$B$2:$B$5001=7)*(Results!$G$2:$G$5001)*1),SUMPRODUCT((Results!$A$2:$A$5001=Schedule!EG$45)*(Results!$B$2:$B$5001=8)*(Results!$G$2:$G$5001)*1),SUMPRODUCT((Results!$A$2:$A$5001=Schedule!EG$45)*(Results!$B$2:$B$5001=9)*(Results!$G$2:$G$5001)*1),SUMPRODUCT((Results!$A$2:$A$5001=Schedule!EG$45)*(Results!$B$2:$B$5001=10)*(Results!$G$2:$G$5001)*1),SUMPRODUCT((Results!$A$2:$A$5001=Schedule!EG$45)*(Results!$B$2:$B$5001=11)*(Results!$G$2:$G$5001)*1),SUMPRODUCT((Results!$A$2:$A$5001=Schedule!EG$45)*(Results!$B$2:$B$5001=12)*(Results!$G$2:$G$5001)*1),SUMPRODUCT((Results!$A$2:$A$5001=Schedule!EG$45)*(Results!$B$2:$B$5001=13)*(Results!$G$2:$G$5001)*1),SUMPRODUCT((Results!$A$2:$A$5001=Schedule!EG$45)*(Results!$B$2:$B$5001=14)*(Results!$G$2:$G$5001)*1),SUMPRODUCT((Results!$A$2:$A$5001=Schedule!EG$45)*(Results!$B$2:$B$5001=15)*(Results!$G$2:$G$5001)*1),SUMPRODUCT((Results!$A$2:$A$5001=Schedule!EG$45)*(Results!$B$2:$B$5001=16)*(Results!$G$2:$G$5001)*1),SUMPRODUCT((Results!$A$2:$A$5001=Schedule!EG$45)*(Results!$B$2:$B$5001=17)*(Results!$G$2:$G$5001)*1),SUMPRODUCT((Results!$A$2:$A$5001=Schedule!EG$45)*(Results!$B$2:$B$5001=18)*(Results!$G$2:$G$5001)*1),SUMPRODUCT((Results!$A$2:$A$5001=Schedule!EG$45)*(Results!$B$2:$B$5001=19)*(Results!$G$2:$G$5001)*1),SUMPRODUCT((Results!$A$2:$A$5001=Schedule!EG$45)*(Results!$B$2:$B$5001=20)*(Results!$G$2:$G$5001)*1))</f>
        <v>0</v>
      </c>
      <c r="EH73" s="88">
        <f>MAX(SUMPRODUCT((Results!$A$2:$A$5001=Schedule!EH$45)*(Results!$B$2:$B$5001=1)*(Results!$G$2:$G$5001)*1),SUMPRODUCT((Results!$A$2:$A$5001=Schedule!EH$45)*(Results!$B$2:$B$5001=2)*(Results!$G$2:$G$5001)*1),SUMPRODUCT((Results!$A$2:$A$5001=Schedule!EH$45)*(Results!$B$2:$B$5001=3)*(Results!$G$2:$G$5001)*1),SUMPRODUCT((Results!$A$2:$A$5001=Schedule!EH$45)*(Results!$B$2:$B$5001=4)*(Results!$G$2:$G$5001)*1),SUMPRODUCT((Results!$A$2:$A$5001=Schedule!EH$45)*(Results!$B$2:$B$5001=5)*(Results!$G$2:$G$5001)*1),SUMPRODUCT((Results!$A$2:$A$5001=Schedule!EH$45)*(Results!$B$2:$B$5001=6)*(Results!$G$2:$G$5001)*1),SUMPRODUCT((Results!$A$2:$A$5001=Schedule!EH$45)*(Results!$B$2:$B$5001=7)*(Results!$G$2:$G$5001)*1),SUMPRODUCT((Results!$A$2:$A$5001=Schedule!EH$45)*(Results!$B$2:$B$5001=8)*(Results!$G$2:$G$5001)*1),SUMPRODUCT((Results!$A$2:$A$5001=Schedule!EH$45)*(Results!$B$2:$B$5001=9)*(Results!$G$2:$G$5001)*1),SUMPRODUCT((Results!$A$2:$A$5001=Schedule!EH$45)*(Results!$B$2:$B$5001=10)*(Results!$G$2:$G$5001)*1),SUMPRODUCT((Results!$A$2:$A$5001=Schedule!EH$45)*(Results!$B$2:$B$5001=11)*(Results!$G$2:$G$5001)*1),SUMPRODUCT((Results!$A$2:$A$5001=Schedule!EH$45)*(Results!$B$2:$B$5001=12)*(Results!$G$2:$G$5001)*1),SUMPRODUCT((Results!$A$2:$A$5001=Schedule!EH$45)*(Results!$B$2:$B$5001=13)*(Results!$G$2:$G$5001)*1),SUMPRODUCT((Results!$A$2:$A$5001=Schedule!EH$45)*(Results!$B$2:$B$5001=14)*(Results!$G$2:$G$5001)*1),SUMPRODUCT((Results!$A$2:$A$5001=Schedule!EH$45)*(Results!$B$2:$B$5001=15)*(Results!$G$2:$G$5001)*1),SUMPRODUCT((Results!$A$2:$A$5001=Schedule!EH$45)*(Results!$B$2:$B$5001=16)*(Results!$G$2:$G$5001)*1),SUMPRODUCT((Results!$A$2:$A$5001=Schedule!EH$45)*(Results!$B$2:$B$5001=17)*(Results!$G$2:$G$5001)*1),SUMPRODUCT((Results!$A$2:$A$5001=Schedule!EH$45)*(Results!$B$2:$B$5001=18)*(Results!$G$2:$G$5001)*1),SUMPRODUCT((Results!$A$2:$A$5001=Schedule!EH$45)*(Results!$B$2:$B$5001=19)*(Results!$G$2:$G$5001)*1),SUMPRODUCT((Results!$A$2:$A$5001=Schedule!EH$45)*(Results!$B$2:$B$5001=20)*(Results!$G$2:$G$5001)*1))</f>
        <v>0</v>
      </c>
      <c r="EI73" s="88">
        <f>MAX(SUMPRODUCT((Results!$A$2:$A$5001=Schedule!EI$45)*(Results!$B$2:$B$5001=1)*(Results!$G$2:$G$5001)*1),SUMPRODUCT((Results!$A$2:$A$5001=Schedule!EI$45)*(Results!$B$2:$B$5001=2)*(Results!$G$2:$G$5001)*1),SUMPRODUCT((Results!$A$2:$A$5001=Schedule!EI$45)*(Results!$B$2:$B$5001=3)*(Results!$G$2:$G$5001)*1),SUMPRODUCT((Results!$A$2:$A$5001=Schedule!EI$45)*(Results!$B$2:$B$5001=4)*(Results!$G$2:$G$5001)*1),SUMPRODUCT((Results!$A$2:$A$5001=Schedule!EI$45)*(Results!$B$2:$B$5001=5)*(Results!$G$2:$G$5001)*1),SUMPRODUCT((Results!$A$2:$A$5001=Schedule!EI$45)*(Results!$B$2:$B$5001=6)*(Results!$G$2:$G$5001)*1),SUMPRODUCT((Results!$A$2:$A$5001=Schedule!EI$45)*(Results!$B$2:$B$5001=7)*(Results!$G$2:$G$5001)*1),SUMPRODUCT((Results!$A$2:$A$5001=Schedule!EI$45)*(Results!$B$2:$B$5001=8)*(Results!$G$2:$G$5001)*1),SUMPRODUCT((Results!$A$2:$A$5001=Schedule!EI$45)*(Results!$B$2:$B$5001=9)*(Results!$G$2:$G$5001)*1),SUMPRODUCT((Results!$A$2:$A$5001=Schedule!EI$45)*(Results!$B$2:$B$5001=10)*(Results!$G$2:$G$5001)*1),SUMPRODUCT((Results!$A$2:$A$5001=Schedule!EI$45)*(Results!$B$2:$B$5001=11)*(Results!$G$2:$G$5001)*1),SUMPRODUCT((Results!$A$2:$A$5001=Schedule!EI$45)*(Results!$B$2:$B$5001=12)*(Results!$G$2:$G$5001)*1),SUMPRODUCT((Results!$A$2:$A$5001=Schedule!EI$45)*(Results!$B$2:$B$5001=13)*(Results!$G$2:$G$5001)*1),SUMPRODUCT((Results!$A$2:$A$5001=Schedule!EI$45)*(Results!$B$2:$B$5001=14)*(Results!$G$2:$G$5001)*1),SUMPRODUCT((Results!$A$2:$A$5001=Schedule!EI$45)*(Results!$B$2:$B$5001=15)*(Results!$G$2:$G$5001)*1),SUMPRODUCT((Results!$A$2:$A$5001=Schedule!EI$45)*(Results!$B$2:$B$5001=16)*(Results!$G$2:$G$5001)*1),SUMPRODUCT((Results!$A$2:$A$5001=Schedule!EI$45)*(Results!$B$2:$B$5001=17)*(Results!$G$2:$G$5001)*1),SUMPRODUCT((Results!$A$2:$A$5001=Schedule!EI$45)*(Results!$B$2:$B$5001=18)*(Results!$G$2:$G$5001)*1),SUMPRODUCT((Results!$A$2:$A$5001=Schedule!EI$45)*(Results!$B$2:$B$5001=19)*(Results!$G$2:$G$5001)*1),SUMPRODUCT((Results!$A$2:$A$5001=Schedule!EI$45)*(Results!$B$2:$B$5001=20)*(Results!$G$2:$G$5001)*1))</f>
        <v>0</v>
      </c>
      <c r="EJ73" s="88">
        <f>MAX(SUMPRODUCT((Results!$A$2:$A$5001=Schedule!EJ$45)*(Results!$B$2:$B$5001=1)*(Results!$G$2:$G$5001)*1),SUMPRODUCT((Results!$A$2:$A$5001=Schedule!EJ$45)*(Results!$B$2:$B$5001=2)*(Results!$G$2:$G$5001)*1),SUMPRODUCT((Results!$A$2:$A$5001=Schedule!EJ$45)*(Results!$B$2:$B$5001=3)*(Results!$G$2:$G$5001)*1),SUMPRODUCT((Results!$A$2:$A$5001=Schedule!EJ$45)*(Results!$B$2:$B$5001=4)*(Results!$G$2:$G$5001)*1),SUMPRODUCT((Results!$A$2:$A$5001=Schedule!EJ$45)*(Results!$B$2:$B$5001=5)*(Results!$G$2:$G$5001)*1),SUMPRODUCT((Results!$A$2:$A$5001=Schedule!EJ$45)*(Results!$B$2:$B$5001=6)*(Results!$G$2:$G$5001)*1),SUMPRODUCT((Results!$A$2:$A$5001=Schedule!EJ$45)*(Results!$B$2:$B$5001=7)*(Results!$G$2:$G$5001)*1),SUMPRODUCT((Results!$A$2:$A$5001=Schedule!EJ$45)*(Results!$B$2:$B$5001=8)*(Results!$G$2:$G$5001)*1),SUMPRODUCT((Results!$A$2:$A$5001=Schedule!EJ$45)*(Results!$B$2:$B$5001=9)*(Results!$G$2:$G$5001)*1),SUMPRODUCT((Results!$A$2:$A$5001=Schedule!EJ$45)*(Results!$B$2:$B$5001=10)*(Results!$G$2:$G$5001)*1),SUMPRODUCT((Results!$A$2:$A$5001=Schedule!EJ$45)*(Results!$B$2:$B$5001=11)*(Results!$G$2:$G$5001)*1),SUMPRODUCT((Results!$A$2:$A$5001=Schedule!EJ$45)*(Results!$B$2:$B$5001=12)*(Results!$G$2:$G$5001)*1),SUMPRODUCT((Results!$A$2:$A$5001=Schedule!EJ$45)*(Results!$B$2:$B$5001=13)*(Results!$G$2:$G$5001)*1),SUMPRODUCT((Results!$A$2:$A$5001=Schedule!EJ$45)*(Results!$B$2:$B$5001=14)*(Results!$G$2:$G$5001)*1),SUMPRODUCT((Results!$A$2:$A$5001=Schedule!EJ$45)*(Results!$B$2:$B$5001=15)*(Results!$G$2:$G$5001)*1),SUMPRODUCT((Results!$A$2:$A$5001=Schedule!EJ$45)*(Results!$B$2:$B$5001=16)*(Results!$G$2:$G$5001)*1),SUMPRODUCT((Results!$A$2:$A$5001=Schedule!EJ$45)*(Results!$B$2:$B$5001=17)*(Results!$G$2:$G$5001)*1),SUMPRODUCT((Results!$A$2:$A$5001=Schedule!EJ$45)*(Results!$B$2:$B$5001=18)*(Results!$G$2:$G$5001)*1),SUMPRODUCT((Results!$A$2:$A$5001=Schedule!EJ$45)*(Results!$B$2:$B$5001=19)*(Results!$G$2:$G$5001)*1),SUMPRODUCT((Results!$A$2:$A$5001=Schedule!EJ$45)*(Results!$B$2:$B$5001=20)*(Results!$G$2:$G$5001)*1))</f>
        <v>0</v>
      </c>
      <c r="EK73" s="88">
        <f>MAX(SUMPRODUCT((Results!$A$2:$A$5001=Schedule!EK$45)*(Results!$B$2:$B$5001=1)*(Results!$G$2:$G$5001)*1),SUMPRODUCT((Results!$A$2:$A$5001=Schedule!EK$45)*(Results!$B$2:$B$5001=2)*(Results!$G$2:$G$5001)*1),SUMPRODUCT((Results!$A$2:$A$5001=Schedule!EK$45)*(Results!$B$2:$B$5001=3)*(Results!$G$2:$G$5001)*1),SUMPRODUCT((Results!$A$2:$A$5001=Schedule!EK$45)*(Results!$B$2:$B$5001=4)*(Results!$G$2:$G$5001)*1),SUMPRODUCT((Results!$A$2:$A$5001=Schedule!EK$45)*(Results!$B$2:$B$5001=5)*(Results!$G$2:$G$5001)*1),SUMPRODUCT((Results!$A$2:$A$5001=Schedule!EK$45)*(Results!$B$2:$B$5001=6)*(Results!$G$2:$G$5001)*1),SUMPRODUCT((Results!$A$2:$A$5001=Schedule!EK$45)*(Results!$B$2:$B$5001=7)*(Results!$G$2:$G$5001)*1),SUMPRODUCT((Results!$A$2:$A$5001=Schedule!EK$45)*(Results!$B$2:$B$5001=8)*(Results!$G$2:$G$5001)*1),SUMPRODUCT((Results!$A$2:$A$5001=Schedule!EK$45)*(Results!$B$2:$B$5001=9)*(Results!$G$2:$G$5001)*1),SUMPRODUCT((Results!$A$2:$A$5001=Schedule!EK$45)*(Results!$B$2:$B$5001=10)*(Results!$G$2:$G$5001)*1),SUMPRODUCT((Results!$A$2:$A$5001=Schedule!EK$45)*(Results!$B$2:$B$5001=11)*(Results!$G$2:$G$5001)*1),SUMPRODUCT((Results!$A$2:$A$5001=Schedule!EK$45)*(Results!$B$2:$B$5001=12)*(Results!$G$2:$G$5001)*1),SUMPRODUCT((Results!$A$2:$A$5001=Schedule!EK$45)*(Results!$B$2:$B$5001=13)*(Results!$G$2:$G$5001)*1),SUMPRODUCT((Results!$A$2:$A$5001=Schedule!EK$45)*(Results!$B$2:$B$5001=14)*(Results!$G$2:$G$5001)*1),SUMPRODUCT((Results!$A$2:$A$5001=Schedule!EK$45)*(Results!$B$2:$B$5001=15)*(Results!$G$2:$G$5001)*1),SUMPRODUCT((Results!$A$2:$A$5001=Schedule!EK$45)*(Results!$B$2:$B$5001=16)*(Results!$G$2:$G$5001)*1),SUMPRODUCT((Results!$A$2:$A$5001=Schedule!EK$45)*(Results!$B$2:$B$5001=17)*(Results!$G$2:$G$5001)*1),SUMPRODUCT((Results!$A$2:$A$5001=Schedule!EK$45)*(Results!$B$2:$B$5001=18)*(Results!$G$2:$G$5001)*1),SUMPRODUCT((Results!$A$2:$A$5001=Schedule!EK$45)*(Results!$B$2:$B$5001=19)*(Results!$G$2:$G$5001)*1),SUMPRODUCT((Results!$A$2:$A$5001=Schedule!EK$45)*(Results!$B$2:$B$5001=20)*(Results!$G$2:$G$5001)*1))</f>
        <v>0</v>
      </c>
      <c r="EL73" s="88">
        <f>MAX(SUMPRODUCT((Results!$A$2:$A$5001=Schedule!EL$45)*(Results!$B$2:$B$5001=1)*(Results!$G$2:$G$5001)*1),SUMPRODUCT((Results!$A$2:$A$5001=Schedule!EL$45)*(Results!$B$2:$B$5001=2)*(Results!$G$2:$G$5001)*1),SUMPRODUCT((Results!$A$2:$A$5001=Schedule!EL$45)*(Results!$B$2:$B$5001=3)*(Results!$G$2:$G$5001)*1),SUMPRODUCT((Results!$A$2:$A$5001=Schedule!EL$45)*(Results!$B$2:$B$5001=4)*(Results!$G$2:$G$5001)*1),SUMPRODUCT((Results!$A$2:$A$5001=Schedule!EL$45)*(Results!$B$2:$B$5001=5)*(Results!$G$2:$G$5001)*1),SUMPRODUCT((Results!$A$2:$A$5001=Schedule!EL$45)*(Results!$B$2:$B$5001=6)*(Results!$G$2:$G$5001)*1),SUMPRODUCT((Results!$A$2:$A$5001=Schedule!EL$45)*(Results!$B$2:$B$5001=7)*(Results!$G$2:$G$5001)*1),SUMPRODUCT((Results!$A$2:$A$5001=Schedule!EL$45)*(Results!$B$2:$B$5001=8)*(Results!$G$2:$G$5001)*1),SUMPRODUCT((Results!$A$2:$A$5001=Schedule!EL$45)*(Results!$B$2:$B$5001=9)*(Results!$G$2:$G$5001)*1),SUMPRODUCT((Results!$A$2:$A$5001=Schedule!EL$45)*(Results!$B$2:$B$5001=10)*(Results!$G$2:$G$5001)*1),SUMPRODUCT((Results!$A$2:$A$5001=Schedule!EL$45)*(Results!$B$2:$B$5001=11)*(Results!$G$2:$G$5001)*1),SUMPRODUCT((Results!$A$2:$A$5001=Schedule!EL$45)*(Results!$B$2:$B$5001=12)*(Results!$G$2:$G$5001)*1),SUMPRODUCT((Results!$A$2:$A$5001=Schedule!EL$45)*(Results!$B$2:$B$5001=13)*(Results!$G$2:$G$5001)*1),SUMPRODUCT((Results!$A$2:$A$5001=Schedule!EL$45)*(Results!$B$2:$B$5001=14)*(Results!$G$2:$G$5001)*1),SUMPRODUCT((Results!$A$2:$A$5001=Schedule!EL$45)*(Results!$B$2:$B$5001=15)*(Results!$G$2:$G$5001)*1),SUMPRODUCT((Results!$A$2:$A$5001=Schedule!EL$45)*(Results!$B$2:$B$5001=16)*(Results!$G$2:$G$5001)*1),SUMPRODUCT((Results!$A$2:$A$5001=Schedule!EL$45)*(Results!$B$2:$B$5001=17)*(Results!$G$2:$G$5001)*1),SUMPRODUCT((Results!$A$2:$A$5001=Schedule!EL$45)*(Results!$B$2:$B$5001=18)*(Results!$G$2:$G$5001)*1),SUMPRODUCT((Results!$A$2:$A$5001=Schedule!EL$45)*(Results!$B$2:$B$5001=19)*(Results!$G$2:$G$5001)*1),SUMPRODUCT((Results!$A$2:$A$5001=Schedule!EL$45)*(Results!$B$2:$B$5001=20)*(Results!$G$2:$G$5001)*1))</f>
        <v>0</v>
      </c>
      <c r="EM73" s="88">
        <f>MAX(SUMPRODUCT((Results!$A$2:$A$5001=Schedule!EM$45)*(Results!$B$2:$B$5001=1)*(Results!$G$2:$G$5001)*1),SUMPRODUCT((Results!$A$2:$A$5001=Schedule!EM$45)*(Results!$B$2:$B$5001=2)*(Results!$G$2:$G$5001)*1),SUMPRODUCT((Results!$A$2:$A$5001=Schedule!EM$45)*(Results!$B$2:$B$5001=3)*(Results!$G$2:$G$5001)*1),SUMPRODUCT((Results!$A$2:$A$5001=Schedule!EM$45)*(Results!$B$2:$B$5001=4)*(Results!$G$2:$G$5001)*1),SUMPRODUCT((Results!$A$2:$A$5001=Schedule!EM$45)*(Results!$B$2:$B$5001=5)*(Results!$G$2:$G$5001)*1),SUMPRODUCT((Results!$A$2:$A$5001=Schedule!EM$45)*(Results!$B$2:$B$5001=6)*(Results!$G$2:$G$5001)*1),SUMPRODUCT((Results!$A$2:$A$5001=Schedule!EM$45)*(Results!$B$2:$B$5001=7)*(Results!$G$2:$G$5001)*1),SUMPRODUCT((Results!$A$2:$A$5001=Schedule!EM$45)*(Results!$B$2:$B$5001=8)*(Results!$G$2:$G$5001)*1),SUMPRODUCT((Results!$A$2:$A$5001=Schedule!EM$45)*(Results!$B$2:$B$5001=9)*(Results!$G$2:$G$5001)*1),SUMPRODUCT((Results!$A$2:$A$5001=Schedule!EM$45)*(Results!$B$2:$B$5001=10)*(Results!$G$2:$G$5001)*1),SUMPRODUCT((Results!$A$2:$A$5001=Schedule!EM$45)*(Results!$B$2:$B$5001=11)*(Results!$G$2:$G$5001)*1),SUMPRODUCT((Results!$A$2:$A$5001=Schedule!EM$45)*(Results!$B$2:$B$5001=12)*(Results!$G$2:$G$5001)*1),SUMPRODUCT((Results!$A$2:$A$5001=Schedule!EM$45)*(Results!$B$2:$B$5001=13)*(Results!$G$2:$G$5001)*1),SUMPRODUCT((Results!$A$2:$A$5001=Schedule!EM$45)*(Results!$B$2:$B$5001=14)*(Results!$G$2:$G$5001)*1),SUMPRODUCT((Results!$A$2:$A$5001=Schedule!EM$45)*(Results!$B$2:$B$5001=15)*(Results!$G$2:$G$5001)*1),SUMPRODUCT((Results!$A$2:$A$5001=Schedule!EM$45)*(Results!$B$2:$B$5001=16)*(Results!$G$2:$G$5001)*1),SUMPRODUCT((Results!$A$2:$A$5001=Schedule!EM$45)*(Results!$B$2:$B$5001=17)*(Results!$G$2:$G$5001)*1),SUMPRODUCT((Results!$A$2:$A$5001=Schedule!EM$45)*(Results!$B$2:$B$5001=18)*(Results!$G$2:$G$5001)*1),SUMPRODUCT((Results!$A$2:$A$5001=Schedule!EM$45)*(Results!$B$2:$B$5001=19)*(Results!$G$2:$G$5001)*1),SUMPRODUCT((Results!$A$2:$A$5001=Schedule!EM$45)*(Results!$B$2:$B$5001=20)*(Results!$G$2:$G$5001)*1))</f>
        <v>0</v>
      </c>
      <c r="EN73" s="88">
        <f>MAX(SUMPRODUCT((Results!$A$2:$A$5001=Schedule!EN$45)*(Results!$B$2:$B$5001=1)*(Results!$G$2:$G$5001)*1),SUMPRODUCT((Results!$A$2:$A$5001=Schedule!EN$45)*(Results!$B$2:$B$5001=2)*(Results!$G$2:$G$5001)*1),SUMPRODUCT((Results!$A$2:$A$5001=Schedule!EN$45)*(Results!$B$2:$B$5001=3)*(Results!$G$2:$G$5001)*1),SUMPRODUCT((Results!$A$2:$A$5001=Schedule!EN$45)*(Results!$B$2:$B$5001=4)*(Results!$G$2:$G$5001)*1),SUMPRODUCT((Results!$A$2:$A$5001=Schedule!EN$45)*(Results!$B$2:$B$5001=5)*(Results!$G$2:$G$5001)*1),SUMPRODUCT((Results!$A$2:$A$5001=Schedule!EN$45)*(Results!$B$2:$B$5001=6)*(Results!$G$2:$G$5001)*1),SUMPRODUCT((Results!$A$2:$A$5001=Schedule!EN$45)*(Results!$B$2:$B$5001=7)*(Results!$G$2:$G$5001)*1),SUMPRODUCT((Results!$A$2:$A$5001=Schedule!EN$45)*(Results!$B$2:$B$5001=8)*(Results!$G$2:$G$5001)*1),SUMPRODUCT((Results!$A$2:$A$5001=Schedule!EN$45)*(Results!$B$2:$B$5001=9)*(Results!$G$2:$G$5001)*1),SUMPRODUCT((Results!$A$2:$A$5001=Schedule!EN$45)*(Results!$B$2:$B$5001=10)*(Results!$G$2:$G$5001)*1),SUMPRODUCT((Results!$A$2:$A$5001=Schedule!EN$45)*(Results!$B$2:$B$5001=11)*(Results!$G$2:$G$5001)*1),SUMPRODUCT((Results!$A$2:$A$5001=Schedule!EN$45)*(Results!$B$2:$B$5001=12)*(Results!$G$2:$G$5001)*1),SUMPRODUCT((Results!$A$2:$A$5001=Schedule!EN$45)*(Results!$B$2:$B$5001=13)*(Results!$G$2:$G$5001)*1),SUMPRODUCT((Results!$A$2:$A$5001=Schedule!EN$45)*(Results!$B$2:$B$5001=14)*(Results!$G$2:$G$5001)*1),SUMPRODUCT((Results!$A$2:$A$5001=Schedule!EN$45)*(Results!$B$2:$B$5001=15)*(Results!$G$2:$G$5001)*1),SUMPRODUCT((Results!$A$2:$A$5001=Schedule!EN$45)*(Results!$B$2:$B$5001=16)*(Results!$G$2:$G$5001)*1),SUMPRODUCT((Results!$A$2:$A$5001=Schedule!EN$45)*(Results!$B$2:$B$5001=17)*(Results!$G$2:$G$5001)*1),SUMPRODUCT((Results!$A$2:$A$5001=Schedule!EN$45)*(Results!$B$2:$B$5001=18)*(Results!$G$2:$G$5001)*1),SUMPRODUCT((Results!$A$2:$A$5001=Schedule!EN$45)*(Results!$B$2:$B$5001=19)*(Results!$G$2:$G$5001)*1),SUMPRODUCT((Results!$A$2:$A$5001=Schedule!EN$45)*(Results!$B$2:$B$5001=20)*(Results!$G$2:$G$5001)*1))</f>
        <v>0</v>
      </c>
      <c r="EO73" s="88">
        <f>MAX(SUMPRODUCT((Results!$A$2:$A$5001=Schedule!EO$45)*(Results!$B$2:$B$5001=1)*(Results!$G$2:$G$5001)*1),SUMPRODUCT((Results!$A$2:$A$5001=Schedule!EO$45)*(Results!$B$2:$B$5001=2)*(Results!$G$2:$G$5001)*1),SUMPRODUCT((Results!$A$2:$A$5001=Schedule!EO$45)*(Results!$B$2:$B$5001=3)*(Results!$G$2:$G$5001)*1),SUMPRODUCT((Results!$A$2:$A$5001=Schedule!EO$45)*(Results!$B$2:$B$5001=4)*(Results!$G$2:$G$5001)*1),SUMPRODUCT((Results!$A$2:$A$5001=Schedule!EO$45)*(Results!$B$2:$B$5001=5)*(Results!$G$2:$G$5001)*1),SUMPRODUCT((Results!$A$2:$A$5001=Schedule!EO$45)*(Results!$B$2:$B$5001=6)*(Results!$G$2:$G$5001)*1),SUMPRODUCT((Results!$A$2:$A$5001=Schedule!EO$45)*(Results!$B$2:$B$5001=7)*(Results!$G$2:$G$5001)*1),SUMPRODUCT((Results!$A$2:$A$5001=Schedule!EO$45)*(Results!$B$2:$B$5001=8)*(Results!$G$2:$G$5001)*1),SUMPRODUCT((Results!$A$2:$A$5001=Schedule!EO$45)*(Results!$B$2:$B$5001=9)*(Results!$G$2:$G$5001)*1),SUMPRODUCT((Results!$A$2:$A$5001=Schedule!EO$45)*(Results!$B$2:$B$5001=10)*(Results!$G$2:$G$5001)*1),SUMPRODUCT((Results!$A$2:$A$5001=Schedule!EO$45)*(Results!$B$2:$B$5001=11)*(Results!$G$2:$G$5001)*1),SUMPRODUCT((Results!$A$2:$A$5001=Schedule!EO$45)*(Results!$B$2:$B$5001=12)*(Results!$G$2:$G$5001)*1),SUMPRODUCT((Results!$A$2:$A$5001=Schedule!EO$45)*(Results!$B$2:$B$5001=13)*(Results!$G$2:$G$5001)*1),SUMPRODUCT((Results!$A$2:$A$5001=Schedule!EO$45)*(Results!$B$2:$B$5001=14)*(Results!$G$2:$G$5001)*1),SUMPRODUCT((Results!$A$2:$A$5001=Schedule!EO$45)*(Results!$B$2:$B$5001=15)*(Results!$G$2:$G$5001)*1),SUMPRODUCT((Results!$A$2:$A$5001=Schedule!EO$45)*(Results!$B$2:$B$5001=16)*(Results!$G$2:$G$5001)*1),SUMPRODUCT((Results!$A$2:$A$5001=Schedule!EO$45)*(Results!$B$2:$B$5001=17)*(Results!$G$2:$G$5001)*1),SUMPRODUCT((Results!$A$2:$A$5001=Schedule!EO$45)*(Results!$B$2:$B$5001=18)*(Results!$G$2:$G$5001)*1),SUMPRODUCT((Results!$A$2:$A$5001=Schedule!EO$45)*(Results!$B$2:$B$5001=19)*(Results!$G$2:$G$5001)*1),SUMPRODUCT((Results!$A$2:$A$5001=Schedule!EO$45)*(Results!$B$2:$B$5001=20)*(Results!$G$2:$G$5001)*1))</f>
        <v>0</v>
      </c>
      <c r="EP73" s="88">
        <f>MAX(SUMPRODUCT((Results!$A$2:$A$5001=Schedule!EP$45)*(Results!$B$2:$B$5001=1)*(Results!$G$2:$G$5001)*1),SUMPRODUCT((Results!$A$2:$A$5001=Schedule!EP$45)*(Results!$B$2:$B$5001=2)*(Results!$G$2:$G$5001)*1),SUMPRODUCT((Results!$A$2:$A$5001=Schedule!EP$45)*(Results!$B$2:$B$5001=3)*(Results!$G$2:$G$5001)*1),SUMPRODUCT((Results!$A$2:$A$5001=Schedule!EP$45)*(Results!$B$2:$B$5001=4)*(Results!$G$2:$G$5001)*1),SUMPRODUCT((Results!$A$2:$A$5001=Schedule!EP$45)*(Results!$B$2:$B$5001=5)*(Results!$G$2:$G$5001)*1),SUMPRODUCT((Results!$A$2:$A$5001=Schedule!EP$45)*(Results!$B$2:$B$5001=6)*(Results!$G$2:$G$5001)*1),SUMPRODUCT((Results!$A$2:$A$5001=Schedule!EP$45)*(Results!$B$2:$B$5001=7)*(Results!$G$2:$G$5001)*1),SUMPRODUCT((Results!$A$2:$A$5001=Schedule!EP$45)*(Results!$B$2:$B$5001=8)*(Results!$G$2:$G$5001)*1),SUMPRODUCT((Results!$A$2:$A$5001=Schedule!EP$45)*(Results!$B$2:$B$5001=9)*(Results!$G$2:$G$5001)*1),SUMPRODUCT((Results!$A$2:$A$5001=Schedule!EP$45)*(Results!$B$2:$B$5001=10)*(Results!$G$2:$G$5001)*1),SUMPRODUCT((Results!$A$2:$A$5001=Schedule!EP$45)*(Results!$B$2:$B$5001=11)*(Results!$G$2:$G$5001)*1),SUMPRODUCT((Results!$A$2:$A$5001=Schedule!EP$45)*(Results!$B$2:$B$5001=12)*(Results!$G$2:$G$5001)*1),SUMPRODUCT((Results!$A$2:$A$5001=Schedule!EP$45)*(Results!$B$2:$B$5001=13)*(Results!$G$2:$G$5001)*1),SUMPRODUCT((Results!$A$2:$A$5001=Schedule!EP$45)*(Results!$B$2:$B$5001=14)*(Results!$G$2:$G$5001)*1),SUMPRODUCT((Results!$A$2:$A$5001=Schedule!EP$45)*(Results!$B$2:$B$5001=15)*(Results!$G$2:$G$5001)*1),SUMPRODUCT((Results!$A$2:$A$5001=Schedule!EP$45)*(Results!$B$2:$B$5001=16)*(Results!$G$2:$G$5001)*1),SUMPRODUCT((Results!$A$2:$A$5001=Schedule!EP$45)*(Results!$B$2:$B$5001=17)*(Results!$G$2:$G$5001)*1),SUMPRODUCT((Results!$A$2:$A$5001=Schedule!EP$45)*(Results!$B$2:$B$5001=18)*(Results!$G$2:$G$5001)*1),SUMPRODUCT((Results!$A$2:$A$5001=Schedule!EP$45)*(Results!$B$2:$B$5001=19)*(Results!$G$2:$G$5001)*1),SUMPRODUCT((Results!$A$2:$A$5001=Schedule!EP$45)*(Results!$B$2:$B$5001=20)*(Results!$G$2:$G$5001)*1))</f>
        <v>0</v>
      </c>
      <c r="EQ73" s="88">
        <f>MAX(SUMPRODUCT((Results!$A$2:$A$5001=Schedule!EQ$45)*(Results!$B$2:$B$5001=1)*(Results!$G$2:$G$5001)*1),SUMPRODUCT((Results!$A$2:$A$5001=Schedule!EQ$45)*(Results!$B$2:$B$5001=2)*(Results!$G$2:$G$5001)*1),SUMPRODUCT((Results!$A$2:$A$5001=Schedule!EQ$45)*(Results!$B$2:$B$5001=3)*(Results!$G$2:$G$5001)*1),SUMPRODUCT((Results!$A$2:$A$5001=Schedule!EQ$45)*(Results!$B$2:$B$5001=4)*(Results!$G$2:$G$5001)*1),SUMPRODUCT((Results!$A$2:$A$5001=Schedule!EQ$45)*(Results!$B$2:$B$5001=5)*(Results!$G$2:$G$5001)*1),SUMPRODUCT((Results!$A$2:$A$5001=Schedule!EQ$45)*(Results!$B$2:$B$5001=6)*(Results!$G$2:$G$5001)*1),SUMPRODUCT((Results!$A$2:$A$5001=Schedule!EQ$45)*(Results!$B$2:$B$5001=7)*(Results!$G$2:$G$5001)*1),SUMPRODUCT((Results!$A$2:$A$5001=Schedule!EQ$45)*(Results!$B$2:$B$5001=8)*(Results!$G$2:$G$5001)*1),SUMPRODUCT((Results!$A$2:$A$5001=Schedule!EQ$45)*(Results!$B$2:$B$5001=9)*(Results!$G$2:$G$5001)*1),SUMPRODUCT((Results!$A$2:$A$5001=Schedule!EQ$45)*(Results!$B$2:$B$5001=10)*(Results!$G$2:$G$5001)*1),SUMPRODUCT((Results!$A$2:$A$5001=Schedule!EQ$45)*(Results!$B$2:$B$5001=11)*(Results!$G$2:$G$5001)*1),SUMPRODUCT((Results!$A$2:$A$5001=Schedule!EQ$45)*(Results!$B$2:$B$5001=12)*(Results!$G$2:$G$5001)*1),SUMPRODUCT((Results!$A$2:$A$5001=Schedule!EQ$45)*(Results!$B$2:$B$5001=13)*(Results!$G$2:$G$5001)*1),SUMPRODUCT((Results!$A$2:$A$5001=Schedule!EQ$45)*(Results!$B$2:$B$5001=14)*(Results!$G$2:$G$5001)*1),SUMPRODUCT((Results!$A$2:$A$5001=Schedule!EQ$45)*(Results!$B$2:$B$5001=15)*(Results!$G$2:$G$5001)*1),SUMPRODUCT((Results!$A$2:$A$5001=Schedule!EQ$45)*(Results!$B$2:$B$5001=16)*(Results!$G$2:$G$5001)*1),SUMPRODUCT((Results!$A$2:$A$5001=Schedule!EQ$45)*(Results!$B$2:$B$5001=17)*(Results!$G$2:$G$5001)*1),SUMPRODUCT((Results!$A$2:$A$5001=Schedule!EQ$45)*(Results!$B$2:$B$5001=18)*(Results!$G$2:$G$5001)*1),SUMPRODUCT((Results!$A$2:$A$5001=Schedule!EQ$45)*(Results!$B$2:$B$5001=19)*(Results!$G$2:$G$5001)*1),SUMPRODUCT((Results!$A$2:$A$5001=Schedule!EQ$45)*(Results!$B$2:$B$5001=20)*(Results!$G$2:$G$5001)*1))</f>
        <v>0</v>
      </c>
      <c r="ER73" s="88">
        <f>MAX(SUMPRODUCT((Results!$A$2:$A$5001=Schedule!ER$45)*(Results!$B$2:$B$5001=1)*(Results!$G$2:$G$5001)*1),SUMPRODUCT((Results!$A$2:$A$5001=Schedule!ER$45)*(Results!$B$2:$B$5001=2)*(Results!$G$2:$G$5001)*1),SUMPRODUCT((Results!$A$2:$A$5001=Schedule!ER$45)*(Results!$B$2:$B$5001=3)*(Results!$G$2:$G$5001)*1),SUMPRODUCT((Results!$A$2:$A$5001=Schedule!ER$45)*(Results!$B$2:$B$5001=4)*(Results!$G$2:$G$5001)*1),SUMPRODUCT((Results!$A$2:$A$5001=Schedule!ER$45)*(Results!$B$2:$B$5001=5)*(Results!$G$2:$G$5001)*1),SUMPRODUCT((Results!$A$2:$A$5001=Schedule!ER$45)*(Results!$B$2:$B$5001=6)*(Results!$G$2:$G$5001)*1),SUMPRODUCT((Results!$A$2:$A$5001=Schedule!ER$45)*(Results!$B$2:$B$5001=7)*(Results!$G$2:$G$5001)*1),SUMPRODUCT((Results!$A$2:$A$5001=Schedule!ER$45)*(Results!$B$2:$B$5001=8)*(Results!$G$2:$G$5001)*1),SUMPRODUCT((Results!$A$2:$A$5001=Schedule!ER$45)*(Results!$B$2:$B$5001=9)*(Results!$G$2:$G$5001)*1),SUMPRODUCT((Results!$A$2:$A$5001=Schedule!ER$45)*(Results!$B$2:$B$5001=10)*(Results!$G$2:$G$5001)*1),SUMPRODUCT((Results!$A$2:$A$5001=Schedule!ER$45)*(Results!$B$2:$B$5001=11)*(Results!$G$2:$G$5001)*1),SUMPRODUCT((Results!$A$2:$A$5001=Schedule!ER$45)*(Results!$B$2:$B$5001=12)*(Results!$G$2:$G$5001)*1),SUMPRODUCT((Results!$A$2:$A$5001=Schedule!ER$45)*(Results!$B$2:$B$5001=13)*(Results!$G$2:$G$5001)*1),SUMPRODUCT((Results!$A$2:$A$5001=Schedule!ER$45)*(Results!$B$2:$B$5001=14)*(Results!$G$2:$G$5001)*1),SUMPRODUCT((Results!$A$2:$A$5001=Schedule!ER$45)*(Results!$B$2:$B$5001=15)*(Results!$G$2:$G$5001)*1),SUMPRODUCT((Results!$A$2:$A$5001=Schedule!ER$45)*(Results!$B$2:$B$5001=16)*(Results!$G$2:$G$5001)*1),SUMPRODUCT((Results!$A$2:$A$5001=Schedule!ER$45)*(Results!$B$2:$B$5001=17)*(Results!$G$2:$G$5001)*1),SUMPRODUCT((Results!$A$2:$A$5001=Schedule!ER$45)*(Results!$B$2:$B$5001=18)*(Results!$G$2:$G$5001)*1),SUMPRODUCT((Results!$A$2:$A$5001=Schedule!ER$45)*(Results!$B$2:$B$5001=19)*(Results!$G$2:$G$5001)*1),SUMPRODUCT((Results!$A$2:$A$5001=Schedule!ER$45)*(Results!$B$2:$B$5001=20)*(Results!$G$2:$G$5001)*1))</f>
        <v>0</v>
      </c>
      <c r="ES73" s="88">
        <f>MAX(SUMPRODUCT((Results!$A$2:$A$5001=Schedule!ES$45)*(Results!$B$2:$B$5001=1)*(Results!$G$2:$G$5001)*1),SUMPRODUCT((Results!$A$2:$A$5001=Schedule!ES$45)*(Results!$B$2:$B$5001=2)*(Results!$G$2:$G$5001)*1),SUMPRODUCT((Results!$A$2:$A$5001=Schedule!ES$45)*(Results!$B$2:$B$5001=3)*(Results!$G$2:$G$5001)*1),SUMPRODUCT((Results!$A$2:$A$5001=Schedule!ES$45)*(Results!$B$2:$B$5001=4)*(Results!$G$2:$G$5001)*1),SUMPRODUCT((Results!$A$2:$A$5001=Schedule!ES$45)*(Results!$B$2:$B$5001=5)*(Results!$G$2:$G$5001)*1),SUMPRODUCT((Results!$A$2:$A$5001=Schedule!ES$45)*(Results!$B$2:$B$5001=6)*(Results!$G$2:$G$5001)*1),SUMPRODUCT((Results!$A$2:$A$5001=Schedule!ES$45)*(Results!$B$2:$B$5001=7)*(Results!$G$2:$G$5001)*1),SUMPRODUCT((Results!$A$2:$A$5001=Schedule!ES$45)*(Results!$B$2:$B$5001=8)*(Results!$G$2:$G$5001)*1),SUMPRODUCT((Results!$A$2:$A$5001=Schedule!ES$45)*(Results!$B$2:$B$5001=9)*(Results!$G$2:$G$5001)*1),SUMPRODUCT((Results!$A$2:$A$5001=Schedule!ES$45)*(Results!$B$2:$B$5001=10)*(Results!$G$2:$G$5001)*1),SUMPRODUCT((Results!$A$2:$A$5001=Schedule!ES$45)*(Results!$B$2:$B$5001=11)*(Results!$G$2:$G$5001)*1),SUMPRODUCT((Results!$A$2:$A$5001=Schedule!ES$45)*(Results!$B$2:$B$5001=12)*(Results!$G$2:$G$5001)*1),SUMPRODUCT((Results!$A$2:$A$5001=Schedule!ES$45)*(Results!$B$2:$B$5001=13)*(Results!$G$2:$G$5001)*1),SUMPRODUCT((Results!$A$2:$A$5001=Schedule!ES$45)*(Results!$B$2:$B$5001=14)*(Results!$G$2:$G$5001)*1),SUMPRODUCT((Results!$A$2:$A$5001=Schedule!ES$45)*(Results!$B$2:$B$5001=15)*(Results!$G$2:$G$5001)*1),SUMPRODUCT((Results!$A$2:$A$5001=Schedule!ES$45)*(Results!$B$2:$B$5001=16)*(Results!$G$2:$G$5001)*1),SUMPRODUCT((Results!$A$2:$A$5001=Schedule!ES$45)*(Results!$B$2:$B$5001=17)*(Results!$G$2:$G$5001)*1),SUMPRODUCT((Results!$A$2:$A$5001=Schedule!ES$45)*(Results!$B$2:$B$5001=18)*(Results!$G$2:$G$5001)*1),SUMPRODUCT((Results!$A$2:$A$5001=Schedule!ES$45)*(Results!$B$2:$B$5001=19)*(Results!$G$2:$G$5001)*1),SUMPRODUCT((Results!$A$2:$A$5001=Schedule!ES$45)*(Results!$B$2:$B$5001=20)*(Results!$G$2:$G$5001)*1))</f>
        <v>0</v>
      </c>
      <c r="ET73" s="88">
        <f>MAX(SUMPRODUCT((Results!$A$2:$A$5001=Schedule!ET$45)*(Results!$B$2:$B$5001=1)*(Results!$G$2:$G$5001)*1),SUMPRODUCT((Results!$A$2:$A$5001=Schedule!ET$45)*(Results!$B$2:$B$5001=2)*(Results!$G$2:$G$5001)*1),SUMPRODUCT((Results!$A$2:$A$5001=Schedule!ET$45)*(Results!$B$2:$B$5001=3)*(Results!$G$2:$G$5001)*1),SUMPRODUCT((Results!$A$2:$A$5001=Schedule!ET$45)*(Results!$B$2:$B$5001=4)*(Results!$G$2:$G$5001)*1),SUMPRODUCT((Results!$A$2:$A$5001=Schedule!ET$45)*(Results!$B$2:$B$5001=5)*(Results!$G$2:$G$5001)*1),SUMPRODUCT((Results!$A$2:$A$5001=Schedule!ET$45)*(Results!$B$2:$B$5001=6)*(Results!$G$2:$G$5001)*1),SUMPRODUCT((Results!$A$2:$A$5001=Schedule!ET$45)*(Results!$B$2:$B$5001=7)*(Results!$G$2:$G$5001)*1),SUMPRODUCT((Results!$A$2:$A$5001=Schedule!ET$45)*(Results!$B$2:$B$5001=8)*(Results!$G$2:$G$5001)*1),SUMPRODUCT((Results!$A$2:$A$5001=Schedule!ET$45)*(Results!$B$2:$B$5001=9)*(Results!$G$2:$G$5001)*1),SUMPRODUCT((Results!$A$2:$A$5001=Schedule!ET$45)*(Results!$B$2:$B$5001=10)*(Results!$G$2:$G$5001)*1),SUMPRODUCT((Results!$A$2:$A$5001=Schedule!ET$45)*(Results!$B$2:$B$5001=11)*(Results!$G$2:$G$5001)*1),SUMPRODUCT((Results!$A$2:$A$5001=Schedule!ET$45)*(Results!$B$2:$B$5001=12)*(Results!$G$2:$G$5001)*1),SUMPRODUCT((Results!$A$2:$A$5001=Schedule!ET$45)*(Results!$B$2:$B$5001=13)*(Results!$G$2:$G$5001)*1),SUMPRODUCT((Results!$A$2:$A$5001=Schedule!ET$45)*(Results!$B$2:$B$5001=14)*(Results!$G$2:$G$5001)*1),SUMPRODUCT((Results!$A$2:$A$5001=Schedule!ET$45)*(Results!$B$2:$B$5001=15)*(Results!$G$2:$G$5001)*1),SUMPRODUCT((Results!$A$2:$A$5001=Schedule!ET$45)*(Results!$B$2:$B$5001=16)*(Results!$G$2:$G$5001)*1),SUMPRODUCT((Results!$A$2:$A$5001=Schedule!ET$45)*(Results!$B$2:$B$5001=17)*(Results!$G$2:$G$5001)*1),SUMPRODUCT((Results!$A$2:$A$5001=Schedule!ET$45)*(Results!$B$2:$B$5001=18)*(Results!$G$2:$G$5001)*1),SUMPRODUCT((Results!$A$2:$A$5001=Schedule!ET$45)*(Results!$B$2:$B$5001=19)*(Results!$G$2:$G$5001)*1),SUMPRODUCT((Results!$A$2:$A$5001=Schedule!ET$45)*(Results!$B$2:$B$5001=20)*(Results!$G$2:$G$5001)*1))</f>
        <v>0</v>
      </c>
      <c r="EU73" s="88">
        <f>MAX(SUMPRODUCT((Results!$A$2:$A$5001=Schedule!EU$45)*(Results!$B$2:$B$5001=1)*(Results!$G$2:$G$5001)*1),SUMPRODUCT((Results!$A$2:$A$5001=Schedule!EU$45)*(Results!$B$2:$B$5001=2)*(Results!$G$2:$G$5001)*1),SUMPRODUCT((Results!$A$2:$A$5001=Schedule!EU$45)*(Results!$B$2:$B$5001=3)*(Results!$G$2:$G$5001)*1),SUMPRODUCT((Results!$A$2:$A$5001=Schedule!EU$45)*(Results!$B$2:$B$5001=4)*(Results!$G$2:$G$5001)*1),SUMPRODUCT((Results!$A$2:$A$5001=Schedule!EU$45)*(Results!$B$2:$B$5001=5)*(Results!$G$2:$G$5001)*1),SUMPRODUCT((Results!$A$2:$A$5001=Schedule!EU$45)*(Results!$B$2:$B$5001=6)*(Results!$G$2:$G$5001)*1),SUMPRODUCT((Results!$A$2:$A$5001=Schedule!EU$45)*(Results!$B$2:$B$5001=7)*(Results!$G$2:$G$5001)*1),SUMPRODUCT((Results!$A$2:$A$5001=Schedule!EU$45)*(Results!$B$2:$B$5001=8)*(Results!$G$2:$G$5001)*1),SUMPRODUCT((Results!$A$2:$A$5001=Schedule!EU$45)*(Results!$B$2:$B$5001=9)*(Results!$G$2:$G$5001)*1),SUMPRODUCT((Results!$A$2:$A$5001=Schedule!EU$45)*(Results!$B$2:$B$5001=10)*(Results!$G$2:$G$5001)*1),SUMPRODUCT((Results!$A$2:$A$5001=Schedule!EU$45)*(Results!$B$2:$B$5001=11)*(Results!$G$2:$G$5001)*1),SUMPRODUCT((Results!$A$2:$A$5001=Schedule!EU$45)*(Results!$B$2:$B$5001=12)*(Results!$G$2:$G$5001)*1),SUMPRODUCT((Results!$A$2:$A$5001=Schedule!EU$45)*(Results!$B$2:$B$5001=13)*(Results!$G$2:$G$5001)*1),SUMPRODUCT((Results!$A$2:$A$5001=Schedule!EU$45)*(Results!$B$2:$B$5001=14)*(Results!$G$2:$G$5001)*1),SUMPRODUCT((Results!$A$2:$A$5001=Schedule!EU$45)*(Results!$B$2:$B$5001=15)*(Results!$G$2:$G$5001)*1),SUMPRODUCT((Results!$A$2:$A$5001=Schedule!EU$45)*(Results!$B$2:$B$5001=16)*(Results!$G$2:$G$5001)*1),SUMPRODUCT((Results!$A$2:$A$5001=Schedule!EU$45)*(Results!$B$2:$B$5001=17)*(Results!$G$2:$G$5001)*1),SUMPRODUCT((Results!$A$2:$A$5001=Schedule!EU$45)*(Results!$B$2:$B$5001=18)*(Results!$G$2:$G$5001)*1),SUMPRODUCT((Results!$A$2:$A$5001=Schedule!EU$45)*(Results!$B$2:$B$5001=19)*(Results!$G$2:$G$5001)*1),SUMPRODUCT((Results!$A$2:$A$5001=Schedule!EU$45)*(Results!$B$2:$B$5001=20)*(Results!$G$2:$G$5001)*1))</f>
        <v>0</v>
      </c>
      <c r="EV73" s="88">
        <f>MAX(SUMPRODUCT((Results!$A$2:$A$5001=Schedule!EV$45)*(Results!$B$2:$B$5001=1)*(Results!$G$2:$G$5001)*1),SUMPRODUCT((Results!$A$2:$A$5001=Schedule!EV$45)*(Results!$B$2:$B$5001=2)*(Results!$G$2:$G$5001)*1),SUMPRODUCT((Results!$A$2:$A$5001=Schedule!EV$45)*(Results!$B$2:$B$5001=3)*(Results!$G$2:$G$5001)*1),SUMPRODUCT((Results!$A$2:$A$5001=Schedule!EV$45)*(Results!$B$2:$B$5001=4)*(Results!$G$2:$G$5001)*1),SUMPRODUCT((Results!$A$2:$A$5001=Schedule!EV$45)*(Results!$B$2:$B$5001=5)*(Results!$G$2:$G$5001)*1),SUMPRODUCT((Results!$A$2:$A$5001=Schedule!EV$45)*(Results!$B$2:$B$5001=6)*(Results!$G$2:$G$5001)*1),SUMPRODUCT((Results!$A$2:$A$5001=Schedule!EV$45)*(Results!$B$2:$B$5001=7)*(Results!$G$2:$G$5001)*1),SUMPRODUCT((Results!$A$2:$A$5001=Schedule!EV$45)*(Results!$B$2:$B$5001=8)*(Results!$G$2:$G$5001)*1),SUMPRODUCT((Results!$A$2:$A$5001=Schedule!EV$45)*(Results!$B$2:$B$5001=9)*(Results!$G$2:$G$5001)*1),SUMPRODUCT((Results!$A$2:$A$5001=Schedule!EV$45)*(Results!$B$2:$B$5001=10)*(Results!$G$2:$G$5001)*1),SUMPRODUCT((Results!$A$2:$A$5001=Schedule!EV$45)*(Results!$B$2:$B$5001=11)*(Results!$G$2:$G$5001)*1),SUMPRODUCT((Results!$A$2:$A$5001=Schedule!EV$45)*(Results!$B$2:$B$5001=12)*(Results!$G$2:$G$5001)*1),SUMPRODUCT((Results!$A$2:$A$5001=Schedule!EV$45)*(Results!$B$2:$B$5001=13)*(Results!$G$2:$G$5001)*1),SUMPRODUCT((Results!$A$2:$A$5001=Schedule!EV$45)*(Results!$B$2:$B$5001=14)*(Results!$G$2:$G$5001)*1),SUMPRODUCT((Results!$A$2:$A$5001=Schedule!EV$45)*(Results!$B$2:$B$5001=15)*(Results!$G$2:$G$5001)*1),SUMPRODUCT((Results!$A$2:$A$5001=Schedule!EV$45)*(Results!$B$2:$B$5001=16)*(Results!$G$2:$G$5001)*1),SUMPRODUCT((Results!$A$2:$A$5001=Schedule!EV$45)*(Results!$B$2:$B$5001=17)*(Results!$G$2:$G$5001)*1),SUMPRODUCT((Results!$A$2:$A$5001=Schedule!EV$45)*(Results!$B$2:$B$5001=18)*(Results!$G$2:$G$5001)*1),SUMPRODUCT((Results!$A$2:$A$5001=Schedule!EV$45)*(Results!$B$2:$B$5001=19)*(Results!$G$2:$G$5001)*1),SUMPRODUCT((Results!$A$2:$A$5001=Schedule!EV$45)*(Results!$B$2:$B$5001=20)*(Results!$G$2:$G$5001)*1))</f>
        <v>0</v>
      </c>
      <c r="EW73" s="88">
        <f>MAX(SUMPRODUCT((Results!$A$2:$A$5001=Schedule!EW$45)*(Results!$B$2:$B$5001=1)*(Results!$G$2:$G$5001)*1),SUMPRODUCT((Results!$A$2:$A$5001=Schedule!EW$45)*(Results!$B$2:$B$5001=2)*(Results!$G$2:$G$5001)*1),SUMPRODUCT((Results!$A$2:$A$5001=Schedule!EW$45)*(Results!$B$2:$B$5001=3)*(Results!$G$2:$G$5001)*1),SUMPRODUCT((Results!$A$2:$A$5001=Schedule!EW$45)*(Results!$B$2:$B$5001=4)*(Results!$G$2:$G$5001)*1),SUMPRODUCT((Results!$A$2:$A$5001=Schedule!EW$45)*(Results!$B$2:$B$5001=5)*(Results!$G$2:$G$5001)*1),SUMPRODUCT((Results!$A$2:$A$5001=Schedule!EW$45)*(Results!$B$2:$B$5001=6)*(Results!$G$2:$G$5001)*1),SUMPRODUCT((Results!$A$2:$A$5001=Schedule!EW$45)*(Results!$B$2:$B$5001=7)*(Results!$G$2:$G$5001)*1),SUMPRODUCT((Results!$A$2:$A$5001=Schedule!EW$45)*(Results!$B$2:$B$5001=8)*(Results!$G$2:$G$5001)*1),SUMPRODUCT((Results!$A$2:$A$5001=Schedule!EW$45)*(Results!$B$2:$B$5001=9)*(Results!$G$2:$G$5001)*1),SUMPRODUCT((Results!$A$2:$A$5001=Schedule!EW$45)*(Results!$B$2:$B$5001=10)*(Results!$G$2:$G$5001)*1),SUMPRODUCT((Results!$A$2:$A$5001=Schedule!EW$45)*(Results!$B$2:$B$5001=11)*(Results!$G$2:$G$5001)*1),SUMPRODUCT((Results!$A$2:$A$5001=Schedule!EW$45)*(Results!$B$2:$B$5001=12)*(Results!$G$2:$G$5001)*1),SUMPRODUCT((Results!$A$2:$A$5001=Schedule!EW$45)*(Results!$B$2:$B$5001=13)*(Results!$G$2:$G$5001)*1),SUMPRODUCT((Results!$A$2:$A$5001=Schedule!EW$45)*(Results!$B$2:$B$5001=14)*(Results!$G$2:$G$5001)*1),SUMPRODUCT((Results!$A$2:$A$5001=Schedule!EW$45)*(Results!$B$2:$B$5001=15)*(Results!$G$2:$G$5001)*1),SUMPRODUCT((Results!$A$2:$A$5001=Schedule!EW$45)*(Results!$B$2:$B$5001=16)*(Results!$G$2:$G$5001)*1),SUMPRODUCT((Results!$A$2:$A$5001=Schedule!EW$45)*(Results!$B$2:$B$5001=17)*(Results!$G$2:$G$5001)*1),SUMPRODUCT((Results!$A$2:$A$5001=Schedule!EW$45)*(Results!$B$2:$B$5001=18)*(Results!$G$2:$G$5001)*1),SUMPRODUCT((Results!$A$2:$A$5001=Schedule!EW$45)*(Results!$B$2:$B$5001=19)*(Results!$G$2:$G$5001)*1),SUMPRODUCT((Results!$A$2:$A$5001=Schedule!EW$45)*(Results!$B$2:$B$5001=20)*(Results!$G$2:$G$5001)*1))</f>
        <v>0</v>
      </c>
      <c r="EX73" s="88">
        <f>MAX(SUMPRODUCT((Results!$A$2:$A$5001=Schedule!EX$45)*(Results!$B$2:$B$5001=1)*(Results!$G$2:$G$5001)*1),SUMPRODUCT((Results!$A$2:$A$5001=Schedule!EX$45)*(Results!$B$2:$B$5001=2)*(Results!$G$2:$G$5001)*1),SUMPRODUCT((Results!$A$2:$A$5001=Schedule!EX$45)*(Results!$B$2:$B$5001=3)*(Results!$G$2:$G$5001)*1),SUMPRODUCT((Results!$A$2:$A$5001=Schedule!EX$45)*(Results!$B$2:$B$5001=4)*(Results!$G$2:$G$5001)*1),SUMPRODUCT((Results!$A$2:$A$5001=Schedule!EX$45)*(Results!$B$2:$B$5001=5)*(Results!$G$2:$G$5001)*1),SUMPRODUCT((Results!$A$2:$A$5001=Schedule!EX$45)*(Results!$B$2:$B$5001=6)*(Results!$G$2:$G$5001)*1),SUMPRODUCT((Results!$A$2:$A$5001=Schedule!EX$45)*(Results!$B$2:$B$5001=7)*(Results!$G$2:$G$5001)*1),SUMPRODUCT((Results!$A$2:$A$5001=Schedule!EX$45)*(Results!$B$2:$B$5001=8)*(Results!$G$2:$G$5001)*1),SUMPRODUCT((Results!$A$2:$A$5001=Schedule!EX$45)*(Results!$B$2:$B$5001=9)*(Results!$G$2:$G$5001)*1),SUMPRODUCT((Results!$A$2:$A$5001=Schedule!EX$45)*(Results!$B$2:$B$5001=10)*(Results!$G$2:$G$5001)*1),SUMPRODUCT((Results!$A$2:$A$5001=Schedule!EX$45)*(Results!$B$2:$B$5001=11)*(Results!$G$2:$G$5001)*1),SUMPRODUCT((Results!$A$2:$A$5001=Schedule!EX$45)*(Results!$B$2:$B$5001=12)*(Results!$G$2:$G$5001)*1),SUMPRODUCT((Results!$A$2:$A$5001=Schedule!EX$45)*(Results!$B$2:$B$5001=13)*(Results!$G$2:$G$5001)*1),SUMPRODUCT((Results!$A$2:$A$5001=Schedule!EX$45)*(Results!$B$2:$B$5001=14)*(Results!$G$2:$G$5001)*1),SUMPRODUCT((Results!$A$2:$A$5001=Schedule!EX$45)*(Results!$B$2:$B$5001=15)*(Results!$G$2:$G$5001)*1),SUMPRODUCT((Results!$A$2:$A$5001=Schedule!EX$45)*(Results!$B$2:$B$5001=16)*(Results!$G$2:$G$5001)*1),SUMPRODUCT((Results!$A$2:$A$5001=Schedule!EX$45)*(Results!$B$2:$B$5001=17)*(Results!$G$2:$G$5001)*1),SUMPRODUCT((Results!$A$2:$A$5001=Schedule!EX$45)*(Results!$B$2:$B$5001=18)*(Results!$G$2:$G$5001)*1),SUMPRODUCT((Results!$A$2:$A$5001=Schedule!EX$45)*(Results!$B$2:$B$5001=19)*(Results!$G$2:$G$5001)*1),SUMPRODUCT((Results!$A$2:$A$5001=Schedule!EX$45)*(Results!$B$2:$B$5001=20)*(Results!$G$2:$G$5001)*1))</f>
        <v>0</v>
      </c>
      <c r="EY73" s="88">
        <f>MAX(SUMPRODUCT((Results!$A$2:$A$5001=Schedule!EY$45)*(Results!$B$2:$B$5001=1)*(Results!$G$2:$G$5001)*1),SUMPRODUCT((Results!$A$2:$A$5001=Schedule!EY$45)*(Results!$B$2:$B$5001=2)*(Results!$G$2:$G$5001)*1),SUMPRODUCT((Results!$A$2:$A$5001=Schedule!EY$45)*(Results!$B$2:$B$5001=3)*(Results!$G$2:$G$5001)*1),SUMPRODUCT((Results!$A$2:$A$5001=Schedule!EY$45)*(Results!$B$2:$B$5001=4)*(Results!$G$2:$G$5001)*1),SUMPRODUCT((Results!$A$2:$A$5001=Schedule!EY$45)*(Results!$B$2:$B$5001=5)*(Results!$G$2:$G$5001)*1),SUMPRODUCT((Results!$A$2:$A$5001=Schedule!EY$45)*(Results!$B$2:$B$5001=6)*(Results!$G$2:$G$5001)*1),SUMPRODUCT((Results!$A$2:$A$5001=Schedule!EY$45)*(Results!$B$2:$B$5001=7)*(Results!$G$2:$G$5001)*1),SUMPRODUCT((Results!$A$2:$A$5001=Schedule!EY$45)*(Results!$B$2:$B$5001=8)*(Results!$G$2:$G$5001)*1),SUMPRODUCT((Results!$A$2:$A$5001=Schedule!EY$45)*(Results!$B$2:$B$5001=9)*(Results!$G$2:$G$5001)*1),SUMPRODUCT((Results!$A$2:$A$5001=Schedule!EY$45)*(Results!$B$2:$B$5001=10)*(Results!$G$2:$G$5001)*1),SUMPRODUCT((Results!$A$2:$A$5001=Schedule!EY$45)*(Results!$B$2:$B$5001=11)*(Results!$G$2:$G$5001)*1),SUMPRODUCT((Results!$A$2:$A$5001=Schedule!EY$45)*(Results!$B$2:$B$5001=12)*(Results!$G$2:$G$5001)*1),SUMPRODUCT((Results!$A$2:$A$5001=Schedule!EY$45)*(Results!$B$2:$B$5001=13)*(Results!$G$2:$G$5001)*1),SUMPRODUCT((Results!$A$2:$A$5001=Schedule!EY$45)*(Results!$B$2:$B$5001=14)*(Results!$G$2:$G$5001)*1),SUMPRODUCT((Results!$A$2:$A$5001=Schedule!EY$45)*(Results!$B$2:$B$5001=15)*(Results!$G$2:$G$5001)*1),SUMPRODUCT((Results!$A$2:$A$5001=Schedule!EY$45)*(Results!$B$2:$B$5001=16)*(Results!$G$2:$G$5001)*1),SUMPRODUCT((Results!$A$2:$A$5001=Schedule!EY$45)*(Results!$B$2:$B$5001=17)*(Results!$G$2:$G$5001)*1),SUMPRODUCT((Results!$A$2:$A$5001=Schedule!EY$45)*(Results!$B$2:$B$5001=18)*(Results!$G$2:$G$5001)*1),SUMPRODUCT((Results!$A$2:$A$5001=Schedule!EY$45)*(Results!$B$2:$B$5001=19)*(Results!$G$2:$G$5001)*1),SUMPRODUCT((Results!$A$2:$A$5001=Schedule!EY$45)*(Results!$B$2:$B$5001=20)*(Results!$G$2:$G$5001)*1))</f>
        <v>0</v>
      </c>
      <c r="EZ73" s="88">
        <f>MAX(SUMPRODUCT((Results!$A$2:$A$5001=Schedule!EZ$45)*(Results!$B$2:$B$5001=1)*(Results!$G$2:$G$5001)*1),SUMPRODUCT((Results!$A$2:$A$5001=Schedule!EZ$45)*(Results!$B$2:$B$5001=2)*(Results!$G$2:$G$5001)*1),SUMPRODUCT((Results!$A$2:$A$5001=Schedule!EZ$45)*(Results!$B$2:$B$5001=3)*(Results!$G$2:$G$5001)*1),SUMPRODUCT((Results!$A$2:$A$5001=Schedule!EZ$45)*(Results!$B$2:$B$5001=4)*(Results!$G$2:$G$5001)*1),SUMPRODUCT((Results!$A$2:$A$5001=Schedule!EZ$45)*(Results!$B$2:$B$5001=5)*(Results!$G$2:$G$5001)*1),SUMPRODUCT((Results!$A$2:$A$5001=Schedule!EZ$45)*(Results!$B$2:$B$5001=6)*(Results!$G$2:$G$5001)*1),SUMPRODUCT((Results!$A$2:$A$5001=Schedule!EZ$45)*(Results!$B$2:$B$5001=7)*(Results!$G$2:$G$5001)*1),SUMPRODUCT((Results!$A$2:$A$5001=Schedule!EZ$45)*(Results!$B$2:$B$5001=8)*(Results!$G$2:$G$5001)*1),SUMPRODUCT((Results!$A$2:$A$5001=Schedule!EZ$45)*(Results!$B$2:$B$5001=9)*(Results!$G$2:$G$5001)*1),SUMPRODUCT((Results!$A$2:$A$5001=Schedule!EZ$45)*(Results!$B$2:$B$5001=10)*(Results!$G$2:$G$5001)*1),SUMPRODUCT((Results!$A$2:$A$5001=Schedule!EZ$45)*(Results!$B$2:$B$5001=11)*(Results!$G$2:$G$5001)*1),SUMPRODUCT((Results!$A$2:$A$5001=Schedule!EZ$45)*(Results!$B$2:$B$5001=12)*(Results!$G$2:$G$5001)*1),SUMPRODUCT((Results!$A$2:$A$5001=Schedule!EZ$45)*(Results!$B$2:$B$5001=13)*(Results!$G$2:$G$5001)*1),SUMPRODUCT((Results!$A$2:$A$5001=Schedule!EZ$45)*(Results!$B$2:$B$5001=14)*(Results!$G$2:$G$5001)*1),SUMPRODUCT((Results!$A$2:$A$5001=Schedule!EZ$45)*(Results!$B$2:$B$5001=15)*(Results!$G$2:$G$5001)*1),SUMPRODUCT((Results!$A$2:$A$5001=Schedule!EZ$45)*(Results!$B$2:$B$5001=16)*(Results!$G$2:$G$5001)*1),SUMPRODUCT((Results!$A$2:$A$5001=Schedule!EZ$45)*(Results!$B$2:$B$5001=17)*(Results!$G$2:$G$5001)*1),SUMPRODUCT((Results!$A$2:$A$5001=Schedule!EZ$45)*(Results!$B$2:$B$5001=18)*(Results!$G$2:$G$5001)*1),SUMPRODUCT((Results!$A$2:$A$5001=Schedule!EZ$45)*(Results!$B$2:$B$5001=19)*(Results!$G$2:$G$5001)*1),SUMPRODUCT((Results!$A$2:$A$5001=Schedule!EZ$45)*(Results!$B$2:$B$5001=20)*(Results!$G$2:$G$5001)*1))</f>
        <v>0</v>
      </c>
      <c r="FA73" s="88">
        <f>MAX(SUMPRODUCT((Results!$A$2:$A$5001=Schedule!FA$45)*(Results!$B$2:$B$5001=1)*(Results!$G$2:$G$5001)*1),SUMPRODUCT((Results!$A$2:$A$5001=Schedule!FA$45)*(Results!$B$2:$B$5001=2)*(Results!$G$2:$G$5001)*1),SUMPRODUCT((Results!$A$2:$A$5001=Schedule!FA$45)*(Results!$B$2:$B$5001=3)*(Results!$G$2:$G$5001)*1),SUMPRODUCT((Results!$A$2:$A$5001=Schedule!FA$45)*(Results!$B$2:$B$5001=4)*(Results!$G$2:$G$5001)*1),SUMPRODUCT((Results!$A$2:$A$5001=Schedule!FA$45)*(Results!$B$2:$B$5001=5)*(Results!$G$2:$G$5001)*1),SUMPRODUCT((Results!$A$2:$A$5001=Schedule!FA$45)*(Results!$B$2:$B$5001=6)*(Results!$G$2:$G$5001)*1),SUMPRODUCT((Results!$A$2:$A$5001=Schedule!FA$45)*(Results!$B$2:$B$5001=7)*(Results!$G$2:$G$5001)*1),SUMPRODUCT((Results!$A$2:$A$5001=Schedule!FA$45)*(Results!$B$2:$B$5001=8)*(Results!$G$2:$G$5001)*1),SUMPRODUCT((Results!$A$2:$A$5001=Schedule!FA$45)*(Results!$B$2:$B$5001=9)*(Results!$G$2:$G$5001)*1),SUMPRODUCT((Results!$A$2:$A$5001=Schedule!FA$45)*(Results!$B$2:$B$5001=10)*(Results!$G$2:$G$5001)*1),SUMPRODUCT((Results!$A$2:$A$5001=Schedule!FA$45)*(Results!$B$2:$B$5001=11)*(Results!$G$2:$G$5001)*1),SUMPRODUCT((Results!$A$2:$A$5001=Schedule!FA$45)*(Results!$B$2:$B$5001=12)*(Results!$G$2:$G$5001)*1),SUMPRODUCT((Results!$A$2:$A$5001=Schedule!FA$45)*(Results!$B$2:$B$5001=13)*(Results!$G$2:$G$5001)*1),SUMPRODUCT((Results!$A$2:$A$5001=Schedule!FA$45)*(Results!$B$2:$B$5001=14)*(Results!$G$2:$G$5001)*1),SUMPRODUCT((Results!$A$2:$A$5001=Schedule!FA$45)*(Results!$B$2:$B$5001=15)*(Results!$G$2:$G$5001)*1),SUMPRODUCT((Results!$A$2:$A$5001=Schedule!FA$45)*(Results!$B$2:$B$5001=16)*(Results!$G$2:$G$5001)*1),SUMPRODUCT((Results!$A$2:$A$5001=Schedule!FA$45)*(Results!$B$2:$B$5001=17)*(Results!$G$2:$G$5001)*1),SUMPRODUCT((Results!$A$2:$A$5001=Schedule!FA$45)*(Results!$B$2:$B$5001=18)*(Results!$G$2:$G$5001)*1),SUMPRODUCT((Results!$A$2:$A$5001=Schedule!FA$45)*(Results!$B$2:$B$5001=19)*(Results!$G$2:$G$5001)*1),SUMPRODUCT((Results!$A$2:$A$5001=Schedule!FA$45)*(Results!$B$2:$B$5001=20)*(Results!$G$2:$G$5001)*1))</f>
        <v>0</v>
      </c>
      <c r="FB73" s="88">
        <f>MAX(SUMPRODUCT((Results!$A$2:$A$5001=Schedule!FB$45)*(Results!$B$2:$B$5001=1)*(Results!$G$2:$G$5001)*1),SUMPRODUCT((Results!$A$2:$A$5001=Schedule!FB$45)*(Results!$B$2:$B$5001=2)*(Results!$G$2:$G$5001)*1),SUMPRODUCT((Results!$A$2:$A$5001=Schedule!FB$45)*(Results!$B$2:$B$5001=3)*(Results!$G$2:$G$5001)*1),SUMPRODUCT((Results!$A$2:$A$5001=Schedule!FB$45)*(Results!$B$2:$B$5001=4)*(Results!$G$2:$G$5001)*1),SUMPRODUCT((Results!$A$2:$A$5001=Schedule!FB$45)*(Results!$B$2:$B$5001=5)*(Results!$G$2:$G$5001)*1),SUMPRODUCT((Results!$A$2:$A$5001=Schedule!FB$45)*(Results!$B$2:$B$5001=6)*(Results!$G$2:$G$5001)*1),SUMPRODUCT((Results!$A$2:$A$5001=Schedule!FB$45)*(Results!$B$2:$B$5001=7)*(Results!$G$2:$G$5001)*1),SUMPRODUCT((Results!$A$2:$A$5001=Schedule!FB$45)*(Results!$B$2:$B$5001=8)*(Results!$G$2:$G$5001)*1),SUMPRODUCT((Results!$A$2:$A$5001=Schedule!FB$45)*(Results!$B$2:$B$5001=9)*(Results!$G$2:$G$5001)*1),SUMPRODUCT((Results!$A$2:$A$5001=Schedule!FB$45)*(Results!$B$2:$B$5001=10)*(Results!$G$2:$G$5001)*1),SUMPRODUCT((Results!$A$2:$A$5001=Schedule!FB$45)*(Results!$B$2:$B$5001=11)*(Results!$G$2:$G$5001)*1),SUMPRODUCT((Results!$A$2:$A$5001=Schedule!FB$45)*(Results!$B$2:$B$5001=12)*(Results!$G$2:$G$5001)*1),SUMPRODUCT((Results!$A$2:$A$5001=Schedule!FB$45)*(Results!$B$2:$B$5001=13)*(Results!$G$2:$G$5001)*1),SUMPRODUCT((Results!$A$2:$A$5001=Schedule!FB$45)*(Results!$B$2:$B$5001=14)*(Results!$G$2:$G$5001)*1),SUMPRODUCT((Results!$A$2:$A$5001=Schedule!FB$45)*(Results!$B$2:$B$5001=15)*(Results!$G$2:$G$5001)*1),SUMPRODUCT((Results!$A$2:$A$5001=Schedule!FB$45)*(Results!$B$2:$B$5001=16)*(Results!$G$2:$G$5001)*1),SUMPRODUCT((Results!$A$2:$A$5001=Schedule!FB$45)*(Results!$B$2:$B$5001=17)*(Results!$G$2:$G$5001)*1),SUMPRODUCT((Results!$A$2:$A$5001=Schedule!FB$45)*(Results!$B$2:$B$5001=18)*(Results!$G$2:$G$5001)*1),SUMPRODUCT((Results!$A$2:$A$5001=Schedule!FB$45)*(Results!$B$2:$B$5001=19)*(Results!$G$2:$G$5001)*1),SUMPRODUCT((Results!$A$2:$A$5001=Schedule!FB$45)*(Results!$B$2:$B$5001=20)*(Results!$G$2:$G$5001)*1))</f>
        <v>0</v>
      </c>
      <c r="FC73" s="88">
        <f>MAX(SUMPRODUCT((Results!$A$2:$A$5001=Schedule!FC$45)*(Results!$B$2:$B$5001=1)*(Results!$G$2:$G$5001)*1),SUMPRODUCT((Results!$A$2:$A$5001=Schedule!FC$45)*(Results!$B$2:$B$5001=2)*(Results!$G$2:$G$5001)*1),SUMPRODUCT((Results!$A$2:$A$5001=Schedule!FC$45)*(Results!$B$2:$B$5001=3)*(Results!$G$2:$G$5001)*1),SUMPRODUCT((Results!$A$2:$A$5001=Schedule!FC$45)*(Results!$B$2:$B$5001=4)*(Results!$G$2:$G$5001)*1),SUMPRODUCT((Results!$A$2:$A$5001=Schedule!FC$45)*(Results!$B$2:$B$5001=5)*(Results!$G$2:$G$5001)*1),SUMPRODUCT((Results!$A$2:$A$5001=Schedule!FC$45)*(Results!$B$2:$B$5001=6)*(Results!$G$2:$G$5001)*1),SUMPRODUCT((Results!$A$2:$A$5001=Schedule!FC$45)*(Results!$B$2:$B$5001=7)*(Results!$G$2:$G$5001)*1),SUMPRODUCT((Results!$A$2:$A$5001=Schedule!FC$45)*(Results!$B$2:$B$5001=8)*(Results!$G$2:$G$5001)*1),SUMPRODUCT((Results!$A$2:$A$5001=Schedule!FC$45)*(Results!$B$2:$B$5001=9)*(Results!$G$2:$G$5001)*1),SUMPRODUCT((Results!$A$2:$A$5001=Schedule!FC$45)*(Results!$B$2:$B$5001=10)*(Results!$G$2:$G$5001)*1),SUMPRODUCT((Results!$A$2:$A$5001=Schedule!FC$45)*(Results!$B$2:$B$5001=11)*(Results!$G$2:$G$5001)*1),SUMPRODUCT((Results!$A$2:$A$5001=Schedule!FC$45)*(Results!$B$2:$B$5001=12)*(Results!$G$2:$G$5001)*1),SUMPRODUCT((Results!$A$2:$A$5001=Schedule!FC$45)*(Results!$B$2:$B$5001=13)*(Results!$G$2:$G$5001)*1),SUMPRODUCT((Results!$A$2:$A$5001=Schedule!FC$45)*(Results!$B$2:$B$5001=14)*(Results!$G$2:$G$5001)*1),SUMPRODUCT((Results!$A$2:$A$5001=Schedule!FC$45)*(Results!$B$2:$B$5001=15)*(Results!$G$2:$G$5001)*1),SUMPRODUCT((Results!$A$2:$A$5001=Schedule!FC$45)*(Results!$B$2:$B$5001=16)*(Results!$G$2:$G$5001)*1),SUMPRODUCT((Results!$A$2:$A$5001=Schedule!FC$45)*(Results!$B$2:$B$5001=17)*(Results!$G$2:$G$5001)*1),SUMPRODUCT((Results!$A$2:$A$5001=Schedule!FC$45)*(Results!$B$2:$B$5001=18)*(Results!$G$2:$G$5001)*1),SUMPRODUCT((Results!$A$2:$A$5001=Schedule!FC$45)*(Results!$B$2:$B$5001=19)*(Results!$G$2:$G$5001)*1),SUMPRODUCT((Results!$A$2:$A$5001=Schedule!FC$45)*(Results!$B$2:$B$5001=20)*(Results!$G$2:$G$5001)*1))</f>
        <v>0</v>
      </c>
      <c r="FD73" s="88">
        <f>MAX(SUMPRODUCT((Results!$A$2:$A$5001=Schedule!FD$45)*(Results!$B$2:$B$5001=1)*(Results!$G$2:$G$5001)*1),SUMPRODUCT((Results!$A$2:$A$5001=Schedule!FD$45)*(Results!$B$2:$B$5001=2)*(Results!$G$2:$G$5001)*1),SUMPRODUCT((Results!$A$2:$A$5001=Schedule!FD$45)*(Results!$B$2:$B$5001=3)*(Results!$G$2:$G$5001)*1),SUMPRODUCT((Results!$A$2:$A$5001=Schedule!FD$45)*(Results!$B$2:$B$5001=4)*(Results!$G$2:$G$5001)*1),SUMPRODUCT((Results!$A$2:$A$5001=Schedule!FD$45)*(Results!$B$2:$B$5001=5)*(Results!$G$2:$G$5001)*1),SUMPRODUCT((Results!$A$2:$A$5001=Schedule!FD$45)*(Results!$B$2:$B$5001=6)*(Results!$G$2:$G$5001)*1),SUMPRODUCT((Results!$A$2:$A$5001=Schedule!FD$45)*(Results!$B$2:$B$5001=7)*(Results!$G$2:$G$5001)*1),SUMPRODUCT((Results!$A$2:$A$5001=Schedule!FD$45)*(Results!$B$2:$B$5001=8)*(Results!$G$2:$G$5001)*1),SUMPRODUCT((Results!$A$2:$A$5001=Schedule!FD$45)*(Results!$B$2:$B$5001=9)*(Results!$G$2:$G$5001)*1),SUMPRODUCT((Results!$A$2:$A$5001=Schedule!FD$45)*(Results!$B$2:$B$5001=10)*(Results!$G$2:$G$5001)*1),SUMPRODUCT((Results!$A$2:$A$5001=Schedule!FD$45)*(Results!$B$2:$B$5001=11)*(Results!$G$2:$G$5001)*1),SUMPRODUCT((Results!$A$2:$A$5001=Schedule!FD$45)*(Results!$B$2:$B$5001=12)*(Results!$G$2:$G$5001)*1),SUMPRODUCT((Results!$A$2:$A$5001=Schedule!FD$45)*(Results!$B$2:$B$5001=13)*(Results!$G$2:$G$5001)*1),SUMPRODUCT((Results!$A$2:$A$5001=Schedule!FD$45)*(Results!$B$2:$B$5001=14)*(Results!$G$2:$G$5001)*1),SUMPRODUCT((Results!$A$2:$A$5001=Schedule!FD$45)*(Results!$B$2:$B$5001=15)*(Results!$G$2:$G$5001)*1),SUMPRODUCT((Results!$A$2:$A$5001=Schedule!FD$45)*(Results!$B$2:$B$5001=16)*(Results!$G$2:$G$5001)*1),SUMPRODUCT((Results!$A$2:$A$5001=Schedule!FD$45)*(Results!$B$2:$B$5001=17)*(Results!$G$2:$G$5001)*1),SUMPRODUCT((Results!$A$2:$A$5001=Schedule!FD$45)*(Results!$B$2:$B$5001=18)*(Results!$G$2:$G$5001)*1),SUMPRODUCT((Results!$A$2:$A$5001=Schedule!FD$45)*(Results!$B$2:$B$5001=19)*(Results!$G$2:$G$5001)*1),SUMPRODUCT((Results!$A$2:$A$5001=Schedule!FD$45)*(Results!$B$2:$B$5001=20)*(Results!$G$2:$G$5001)*1))</f>
        <v>0</v>
      </c>
      <c r="FE73" s="88">
        <f>MAX(SUMPRODUCT((Results!$A$2:$A$5001=Schedule!FE$45)*(Results!$B$2:$B$5001=1)*(Results!$G$2:$G$5001)*1),SUMPRODUCT((Results!$A$2:$A$5001=Schedule!FE$45)*(Results!$B$2:$B$5001=2)*(Results!$G$2:$G$5001)*1),SUMPRODUCT((Results!$A$2:$A$5001=Schedule!FE$45)*(Results!$B$2:$B$5001=3)*(Results!$G$2:$G$5001)*1),SUMPRODUCT((Results!$A$2:$A$5001=Schedule!FE$45)*(Results!$B$2:$B$5001=4)*(Results!$G$2:$G$5001)*1),SUMPRODUCT((Results!$A$2:$A$5001=Schedule!FE$45)*(Results!$B$2:$B$5001=5)*(Results!$G$2:$G$5001)*1),SUMPRODUCT((Results!$A$2:$A$5001=Schedule!FE$45)*(Results!$B$2:$B$5001=6)*(Results!$G$2:$G$5001)*1),SUMPRODUCT((Results!$A$2:$A$5001=Schedule!FE$45)*(Results!$B$2:$B$5001=7)*(Results!$G$2:$G$5001)*1),SUMPRODUCT((Results!$A$2:$A$5001=Schedule!FE$45)*(Results!$B$2:$B$5001=8)*(Results!$G$2:$G$5001)*1),SUMPRODUCT((Results!$A$2:$A$5001=Schedule!FE$45)*(Results!$B$2:$B$5001=9)*(Results!$G$2:$G$5001)*1),SUMPRODUCT((Results!$A$2:$A$5001=Schedule!FE$45)*(Results!$B$2:$B$5001=10)*(Results!$G$2:$G$5001)*1),SUMPRODUCT((Results!$A$2:$A$5001=Schedule!FE$45)*(Results!$B$2:$B$5001=11)*(Results!$G$2:$G$5001)*1),SUMPRODUCT((Results!$A$2:$A$5001=Schedule!FE$45)*(Results!$B$2:$B$5001=12)*(Results!$G$2:$G$5001)*1),SUMPRODUCT((Results!$A$2:$A$5001=Schedule!FE$45)*(Results!$B$2:$B$5001=13)*(Results!$G$2:$G$5001)*1),SUMPRODUCT((Results!$A$2:$A$5001=Schedule!FE$45)*(Results!$B$2:$B$5001=14)*(Results!$G$2:$G$5001)*1),SUMPRODUCT((Results!$A$2:$A$5001=Schedule!FE$45)*(Results!$B$2:$B$5001=15)*(Results!$G$2:$G$5001)*1),SUMPRODUCT((Results!$A$2:$A$5001=Schedule!FE$45)*(Results!$B$2:$B$5001=16)*(Results!$G$2:$G$5001)*1),SUMPRODUCT((Results!$A$2:$A$5001=Schedule!FE$45)*(Results!$B$2:$B$5001=17)*(Results!$G$2:$G$5001)*1),SUMPRODUCT((Results!$A$2:$A$5001=Schedule!FE$45)*(Results!$B$2:$B$5001=18)*(Results!$G$2:$G$5001)*1),SUMPRODUCT((Results!$A$2:$A$5001=Schedule!FE$45)*(Results!$B$2:$B$5001=19)*(Results!$G$2:$G$5001)*1),SUMPRODUCT((Results!$A$2:$A$5001=Schedule!FE$45)*(Results!$B$2:$B$5001=20)*(Results!$G$2:$G$5001)*1))</f>
        <v>0</v>
      </c>
      <c r="FF73" s="88">
        <f>MAX(SUMPRODUCT((Results!$A$2:$A$5001=Schedule!FF$45)*(Results!$B$2:$B$5001=1)*(Results!$G$2:$G$5001)*1),SUMPRODUCT((Results!$A$2:$A$5001=Schedule!FF$45)*(Results!$B$2:$B$5001=2)*(Results!$G$2:$G$5001)*1),SUMPRODUCT((Results!$A$2:$A$5001=Schedule!FF$45)*(Results!$B$2:$B$5001=3)*(Results!$G$2:$G$5001)*1),SUMPRODUCT((Results!$A$2:$A$5001=Schedule!FF$45)*(Results!$B$2:$B$5001=4)*(Results!$G$2:$G$5001)*1),SUMPRODUCT((Results!$A$2:$A$5001=Schedule!FF$45)*(Results!$B$2:$B$5001=5)*(Results!$G$2:$G$5001)*1),SUMPRODUCT((Results!$A$2:$A$5001=Schedule!FF$45)*(Results!$B$2:$B$5001=6)*(Results!$G$2:$G$5001)*1),SUMPRODUCT((Results!$A$2:$A$5001=Schedule!FF$45)*(Results!$B$2:$B$5001=7)*(Results!$G$2:$G$5001)*1),SUMPRODUCT((Results!$A$2:$A$5001=Schedule!FF$45)*(Results!$B$2:$B$5001=8)*(Results!$G$2:$G$5001)*1),SUMPRODUCT((Results!$A$2:$A$5001=Schedule!FF$45)*(Results!$B$2:$B$5001=9)*(Results!$G$2:$G$5001)*1),SUMPRODUCT((Results!$A$2:$A$5001=Schedule!FF$45)*(Results!$B$2:$B$5001=10)*(Results!$G$2:$G$5001)*1),SUMPRODUCT((Results!$A$2:$A$5001=Schedule!FF$45)*(Results!$B$2:$B$5001=11)*(Results!$G$2:$G$5001)*1),SUMPRODUCT((Results!$A$2:$A$5001=Schedule!FF$45)*(Results!$B$2:$B$5001=12)*(Results!$G$2:$G$5001)*1),SUMPRODUCT((Results!$A$2:$A$5001=Schedule!FF$45)*(Results!$B$2:$B$5001=13)*(Results!$G$2:$G$5001)*1),SUMPRODUCT((Results!$A$2:$A$5001=Schedule!FF$45)*(Results!$B$2:$B$5001=14)*(Results!$G$2:$G$5001)*1),SUMPRODUCT((Results!$A$2:$A$5001=Schedule!FF$45)*(Results!$B$2:$B$5001=15)*(Results!$G$2:$G$5001)*1),SUMPRODUCT((Results!$A$2:$A$5001=Schedule!FF$45)*(Results!$B$2:$B$5001=16)*(Results!$G$2:$G$5001)*1),SUMPRODUCT((Results!$A$2:$A$5001=Schedule!FF$45)*(Results!$B$2:$B$5001=17)*(Results!$G$2:$G$5001)*1),SUMPRODUCT((Results!$A$2:$A$5001=Schedule!FF$45)*(Results!$B$2:$B$5001=18)*(Results!$G$2:$G$5001)*1),SUMPRODUCT((Results!$A$2:$A$5001=Schedule!FF$45)*(Results!$B$2:$B$5001=19)*(Results!$G$2:$G$5001)*1),SUMPRODUCT((Results!$A$2:$A$5001=Schedule!FF$45)*(Results!$B$2:$B$5001=20)*(Results!$G$2:$G$5001)*1))</f>
        <v>0</v>
      </c>
      <c r="FG73" s="88">
        <f>MAX(SUMPRODUCT((Results!$A$2:$A$5001=Schedule!FG$45)*(Results!$B$2:$B$5001=1)*(Results!$G$2:$G$5001)*1),SUMPRODUCT((Results!$A$2:$A$5001=Schedule!FG$45)*(Results!$B$2:$B$5001=2)*(Results!$G$2:$G$5001)*1),SUMPRODUCT((Results!$A$2:$A$5001=Schedule!FG$45)*(Results!$B$2:$B$5001=3)*(Results!$G$2:$G$5001)*1),SUMPRODUCT((Results!$A$2:$A$5001=Schedule!FG$45)*(Results!$B$2:$B$5001=4)*(Results!$G$2:$G$5001)*1),SUMPRODUCT((Results!$A$2:$A$5001=Schedule!FG$45)*(Results!$B$2:$B$5001=5)*(Results!$G$2:$G$5001)*1),SUMPRODUCT((Results!$A$2:$A$5001=Schedule!FG$45)*(Results!$B$2:$B$5001=6)*(Results!$G$2:$G$5001)*1),SUMPRODUCT((Results!$A$2:$A$5001=Schedule!FG$45)*(Results!$B$2:$B$5001=7)*(Results!$G$2:$G$5001)*1),SUMPRODUCT((Results!$A$2:$A$5001=Schedule!FG$45)*(Results!$B$2:$B$5001=8)*(Results!$G$2:$G$5001)*1),SUMPRODUCT((Results!$A$2:$A$5001=Schedule!FG$45)*(Results!$B$2:$B$5001=9)*(Results!$G$2:$G$5001)*1),SUMPRODUCT((Results!$A$2:$A$5001=Schedule!FG$45)*(Results!$B$2:$B$5001=10)*(Results!$G$2:$G$5001)*1),SUMPRODUCT((Results!$A$2:$A$5001=Schedule!FG$45)*(Results!$B$2:$B$5001=11)*(Results!$G$2:$G$5001)*1),SUMPRODUCT((Results!$A$2:$A$5001=Schedule!FG$45)*(Results!$B$2:$B$5001=12)*(Results!$G$2:$G$5001)*1),SUMPRODUCT((Results!$A$2:$A$5001=Schedule!FG$45)*(Results!$B$2:$B$5001=13)*(Results!$G$2:$G$5001)*1),SUMPRODUCT((Results!$A$2:$A$5001=Schedule!FG$45)*(Results!$B$2:$B$5001=14)*(Results!$G$2:$G$5001)*1),SUMPRODUCT((Results!$A$2:$A$5001=Schedule!FG$45)*(Results!$B$2:$B$5001=15)*(Results!$G$2:$G$5001)*1),SUMPRODUCT((Results!$A$2:$A$5001=Schedule!FG$45)*(Results!$B$2:$B$5001=16)*(Results!$G$2:$G$5001)*1),SUMPRODUCT((Results!$A$2:$A$5001=Schedule!FG$45)*(Results!$B$2:$B$5001=17)*(Results!$G$2:$G$5001)*1),SUMPRODUCT((Results!$A$2:$A$5001=Schedule!FG$45)*(Results!$B$2:$B$5001=18)*(Results!$G$2:$G$5001)*1),SUMPRODUCT((Results!$A$2:$A$5001=Schedule!FG$45)*(Results!$B$2:$B$5001=19)*(Results!$G$2:$G$5001)*1),SUMPRODUCT((Results!$A$2:$A$5001=Schedule!FG$45)*(Results!$B$2:$B$5001=20)*(Results!$G$2:$G$5001)*1))</f>
        <v>0</v>
      </c>
      <c r="FH73" s="88">
        <f>MAX(SUMPRODUCT((Results!$A$2:$A$5001=Schedule!FH$45)*(Results!$B$2:$B$5001=1)*(Results!$G$2:$G$5001)*1),SUMPRODUCT((Results!$A$2:$A$5001=Schedule!FH$45)*(Results!$B$2:$B$5001=2)*(Results!$G$2:$G$5001)*1),SUMPRODUCT((Results!$A$2:$A$5001=Schedule!FH$45)*(Results!$B$2:$B$5001=3)*(Results!$G$2:$G$5001)*1),SUMPRODUCT((Results!$A$2:$A$5001=Schedule!FH$45)*(Results!$B$2:$B$5001=4)*(Results!$G$2:$G$5001)*1),SUMPRODUCT((Results!$A$2:$A$5001=Schedule!FH$45)*(Results!$B$2:$B$5001=5)*(Results!$G$2:$G$5001)*1),SUMPRODUCT((Results!$A$2:$A$5001=Schedule!FH$45)*(Results!$B$2:$B$5001=6)*(Results!$G$2:$G$5001)*1),SUMPRODUCT((Results!$A$2:$A$5001=Schedule!FH$45)*(Results!$B$2:$B$5001=7)*(Results!$G$2:$G$5001)*1),SUMPRODUCT((Results!$A$2:$A$5001=Schedule!FH$45)*(Results!$B$2:$B$5001=8)*(Results!$G$2:$G$5001)*1),SUMPRODUCT((Results!$A$2:$A$5001=Schedule!FH$45)*(Results!$B$2:$B$5001=9)*(Results!$G$2:$G$5001)*1),SUMPRODUCT((Results!$A$2:$A$5001=Schedule!FH$45)*(Results!$B$2:$B$5001=10)*(Results!$G$2:$G$5001)*1),SUMPRODUCT((Results!$A$2:$A$5001=Schedule!FH$45)*(Results!$B$2:$B$5001=11)*(Results!$G$2:$G$5001)*1),SUMPRODUCT((Results!$A$2:$A$5001=Schedule!FH$45)*(Results!$B$2:$B$5001=12)*(Results!$G$2:$G$5001)*1),SUMPRODUCT((Results!$A$2:$A$5001=Schedule!FH$45)*(Results!$B$2:$B$5001=13)*(Results!$G$2:$G$5001)*1),SUMPRODUCT((Results!$A$2:$A$5001=Schedule!FH$45)*(Results!$B$2:$B$5001=14)*(Results!$G$2:$G$5001)*1),SUMPRODUCT((Results!$A$2:$A$5001=Schedule!FH$45)*(Results!$B$2:$B$5001=15)*(Results!$G$2:$G$5001)*1),SUMPRODUCT((Results!$A$2:$A$5001=Schedule!FH$45)*(Results!$B$2:$B$5001=16)*(Results!$G$2:$G$5001)*1),SUMPRODUCT((Results!$A$2:$A$5001=Schedule!FH$45)*(Results!$B$2:$B$5001=17)*(Results!$G$2:$G$5001)*1),SUMPRODUCT((Results!$A$2:$A$5001=Schedule!FH$45)*(Results!$B$2:$B$5001=18)*(Results!$G$2:$G$5001)*1),SUMPRODUCT((Results!$A$2:$A$5001=Schedule!FH$45)*(Results!$B$2:$B$5001=19)*(Results!$G$2:$G$5001)*1),SUMPRODUCT((Results!$A$2:$A$5001=Schedule!FH$45)*(Results!$B$2:$B$5001=20)*(Results!$G$2:$G$5001)*1))</f>
        <v>0</v>
      </c>
      <c r="FI73" s="88">
        <f>MAX(SUMPRODUCT((Results!$A$2:$A$5001=Schedule!FI$45)*(Results!$B$2:$B$5001=1)*(Results!$G$2:$G$5001)*1),SUMPRODUCT((Results!$A$2:$A$5001=Schedule!FI$45)*(Results!$B$2:$B$5001=2)*(Results!$G$2:$G$5001)*1),SUMPRODUCT((Results!$A$2:$A$5001=Schedule!FI$45)*(Results!$B$2:$B$5001=3)*(Results!$G$2:$G$5001)*1),SUMPRODUCT((Results!$A$2:$A$5001=Schedule!FI$45)*(Results!$B$2:$B$5001=4)*(Results!$G$2:$G$5001)*1),SUMPRODUCT((Results!$A$2:$A$5001=Schedule!FI$45)*(Results!$B$2:$B$5001=5)*(Results!$G$2:$G$5001)*1),SUMPRODUCT((Results!$A$2:$A$5001=Schedule!FI$45)*(Results!$B$2:$B$5001=6)*(Results!$G$2:$G$5001)*1),SUMPRODUCT((Results!$A$2:$A$5001=Schedule!FI$45)*(Results!$B$2:$B$5001=7)*(Results!$G$2:$G$5001)*1),SUMPRODUCT((Results!$A$2:$A$5001=Schedule!FI$45)*(Results!$B$2:$B$5001=8)*(Results!$G$2:$G$5001)*1),SUMPRODUCT((Results!$A$2:$A$5001=Schedule!FI$45)*(Results!$B$2:$B$5001=9)*(Results!$G$2:$G$5001)*1),SUMPRODUCT((Results!$A$2:$A$5001=Schedule!FI$45)*(Results!$B$2:$B$5001=10)*(Results!$G$2:$G$5001)*1),SUMPRODUCT((Results!$A$2:$A$5001=Schedule!FI$45)*(Results!$B$2:$B$5001=11)*(Results!$G$2:$G$5001)*1),SUMPRODUCT((Results!$A$2:$A$5001=Schedule!FI$45)*(Results!$B$2:$B$5001=12)*(Results!$G$2:$G$5001)*1),SUMPRODUCT((Results!$A$2:$A$5001=Schedule!FI$45)*(Results!$B$2:$B$5001=13)*(Results!$G$2:$G$5001)*1),SUMPRODUCT((Results!$A$2:$A$5001=Schedule!FI$45)*(Results!$B$2:$B$5001=14)*(Results!$G$2:$G$5001)*1),SUMPRODUCT((Results!$A$2:$A$5001=Schedule!FI$45)*(Results!$B$2:$B$5001=15)*(Results!$G$2:$G$5001)*1),SUMPRODUCT((Results!$A$2:$A$5001=Schedule!FI$45)*(Results!$B$2:$B$5001=16)*(Results!$G$2:$G$5001)*1),SUMPRODUCT((Results!$A$2:$A$5001=Schedule!FI$45)*(Results!$B$2:$B$5001=17)*(Results!$G$2:$G$5001)*1),SUMPRODUCT((Results!$A$2:$A$5001=Schedule!FI$45)*(Results!$B$2:$B$5001=18)*(Results!$G$2:$G$5001)*1),SUMPRODUCT((Results!$A$2:$A$5001=Schedule!FI$45)*(Results!$B$2:$B$5001=19)*(Results!$G$2:$G$5001)*1),SUMPRODUCT((Results!$A$2:$A$5001=Schedule!FI$45)*(Results!$B$2:$B$5001=20)*(Results!$G$2:$G$5001)*1))</f>
        <v>0</v>
      </c>
      <c r="FJ73" s="88">
        <f>MAX(SUMPRODUCT((Results!$A$2:$A$5001=Schedule!FJ$45)*(Results!$B$2:$B$5001=1)*(Results!$G$2:$G$5001)*1),SUMPRODUCT((Results!$A$2:$A$5001=Schedule!FJ$45)*(Results!$B$2:$B$5001=2)*(Results!$G$2:$G$5001)*1),SUMPRODUCT((Results!$A$2:$A$5001=Schedule!FJ$45)*(Results!$B$2:$B$5001=3)*(Results!$G$2:$G$5001)*1),SUMPRODUCT((Results!$A$2:$A$5001=Schedule!FJ$45)*(Results!$B$2:$B$5001=4)*(Results!$G$2:$G$5001)*1),SUMPRODUCT((Results!$A$2:$A$5001=Schedule!FJ$45)*(Results!$B$2:$B$5001=5)*(Results!$G$2:$G$5001)*1),SUMPRODUCT((Results!$A$2:$A$5001=Schedule!FJ$45)*(Results!$B$2:$B$5001=6)*(Results!$G$2:$G$5001)*1),SUMPRODUCT((Results!$A$2:$A$5001=Schedule!FJ$45)*(Results!$B$2:$B$5001=7)*(Results!$G$2:$G$5001)*1),SUMPRODUCT((Results!$A$2:$A$5001=Schedule!FJ$45)*(Results!$B$2:$B$5001=8)*(Results!$G$2:$G$5001)*1),SUMPRODUCT((Results!$A$2:$A$5001=Schedule!FJ$45)*(Results!$B$2:$B$5001=9)*(Results!$G$2:$G$5001)*1),SUMPRODUCT((Results!$A$2:$A$5001=Schedule!FJ$45)*(Results!$B$2:$B$5001=10)*(Results!$G$2:$G$5001)*1),SUMPRODUCT((Results!$A$2:$A$5001=Schedule!FJ$45)*(Results!$B$2:$B$5001=11)*(Results!$G$2:$G$5001)*1),SUMPRODUCT((Results!$A$2:$A$5001=Schedule!FJ$45)*(Results!$B$2:$B$5001=12)*(Results!$G$2:$G$5001)*1),SUMPRODUCT((Results!$A$2:$A$5001=Schedule!FJ$45)*(Results!$B$2:$B$5001=13)*(Results!$G$2:$G$5001)*1),SUMPRODUCT((Results!$A$2:$A$5001=Schedule!FJ$45)*(Results!$B$2:$B$5001=14)*(Results!$G$2:$G$5001)*1),SUMPRODUCT((Results!$A$2:$A$5001=Schedule!FJ$45)*(Results!$B$2:$B$5001=15)*(Results!$G$2:$G$5001)*1),SUMPRODUCT((Results!$A$2:$A$5001=Schedule!FJ$45)*(Results!$B$2:$B$5001=16)*(Results!$G$2:$G$5001)*1),SUMPRODUCT((Results!$A$2:$A$5001=Schedule!FJ$45)*(Results!$B$2:$B$5001=17)*(Results!$G$2:$G$5001)*1),SUMPRODUCT((Results!$A$2:$A$5001=Schedule!FJ$45)*(Results!$B$2:$B$5001=18)*(Results!$G$2:$G$5001)*1),SUMPRODUCT((Results!$A$2:$A$5001=Schedule!FJ$45)*(Results!$B$2:$B$5001=19)*(Results!$G$2:$G$5001)*1),SUMPRODUCT((Results!$A$2:$A$5001=Schedule!FJ$45)*(Results!$B$2:$B$5001=20)*(Results!$G$2:$G$5001)*1))</f>
        <v>0</v>
      </c>
      <c r="FK73" s="88">
        <f>MAX(SUMPRODUCT((Results!$A$2:$A$5001=Schedule!FK$45)*(Results!$B$2:$B$5001=1)*(Results!$G$2:$G$5001)*1),SUMPRODUCT((Results!$A$2:$A$5001=Schedule!FK$45)*(Results!$B$2:$B$5001=2)*(Results!$G$2:$G$5001)*1),SUMPRODUCT((Results!$A$2:$A$5001=Schedule!FK$45)*(Results!$B$2:$B$5001=3)*(Results!$G$2:$G$5001)*1),SUMPRODUCT((Results!$A$2:$A$5001=Schedule!FK$45)*(Results!$B$2:$B$5001=4)*(Results!$G$2:$G$5001)*1),SUMPRODUCT((Results!$A$2:$A$5001=Schedule!FK$45)*(Results!$B$2:$B$5001=5)*(Results!$G$2:$G$5001)*1),SUMPRODUCT((Results!$A$2:$A$5001=Schedule!FK$45)*(Results!$B$2:$B$5001=6)*(Results!$G$2:$G$5001)*1),SUMPRODUCT((Results!$A$2:$A$5001=Schedule!FK$45)*(Results!$B$2:$B$5001=7)*(Results!$G$2:$G$5001)*1),SUMPRODUCT((Results!$A$2:$A$5001=Schedule!FK$45)*(Results!$B$2:$B$5001=8)*(Results!$G$2:$G$5001)*1),SUMPRODUCT((Results!$A$2:$A$5001=Schedule!FK$45)*(Results!$B$2:$B$5001=9)*(Results!$G$2:$G$5001)*1),SUMPRODUCT((Results!$A$2:$A$5001=Schedule!FK$45)*(Results!$B$2:$B$5001=10)*(Results!$G$2:$G$5001)*1),SUMPRODUCT((Results!$A$2:$A$5001=Schedule!FK$45)*(Results!$B$2:$B$5001=11)*(Results!$G$2:$G$5001)*1),SUMPRODUCT((Results!$A$2:$A$5001=Schedule!FK$45)*(Results!$B$2:$B$5001=12)*(Results!$G$2:$G$5001)*1),SUMPRODUCT((Results!$A$2:$A$5001=Schedule!FK$45)*(Results!$B$2:$B$5001=13)*(Results!$G$2:$G$5001)*1),SUMPRODUCT((Results!$A$2:$A$5001=Schedule!FK$45)*(Results!$B$2:$B$5001=14)*(Results!$G$2:$G$5001)*1),SUMPRODUCT((Results!$A$2:$A$5001=Schedule!FK$45)*(Results!$B$2:$B$5001=15)*(Results!$G$2:$G$5001)*1),SUMPRODUCT((Results!$A$2:$A$5001=Schedule!FK$45)*(Results!$B$2:$B$5001=16)*(Results!$G$2:$G$5001)*1),SUMPRODUCT((Results!$A$2:$A$5001=Schedule!FK$45)*(Results!$B$2:$B$5001=17)*(Results!$G$2:$G$5001)*1),SUMPRODUCT((Results!$A$2:$A$5001=Schedule!FK$45)*(Results!$B$2:$B$5001=18)*(Results!$G$2:$G$5001)*1),SUMPRODUCT((Results!$A$2:$A$5001=Schedule!FK$45)*(Results!$B$2:$B$5001=19)*(Results!$G$2:$G$5001)*1),SUMPRODUCT((Results!$A$2:$A$5001=Schedule!FK$45)*(Results!$B$2:$B$5001=20)*(Results!$G$2:$G$5001)*1))</f>
        <v>0</v>
      </c>
      <c r="FL73" s="88">
        <f>MAX(SUMPRODUCT((Results!$A$2:$A$5001=Schedule!FL$45)*(Results!$B$2:$B$5001=1)*(Results!$G$2:$G$5001)*1),SUMPRODUCT((Results!$A$2:$A$5001=Schedule!FL$45)*(Results!$B$2:$B$5001=2)*(Results!$G$2:$G$5001)*1),SUMPRODUCT((Results!$A$2:$A$5001=Schedule!FL$45)*(Results!$B$2:$B$5001=3)*(Results!$G$2:$G$5001)*1),SUMPRODUCT((Results!$A$2:$A$5001=Schedule!FL$45)*(Results!$B$2:$B$5001=4)*(Results!$G$2:$G$5001)*1),SUMPRODUCT((Results!$A$2:$A$5001=Schedule!FL$45)*(Results!$B$2:$B$5001=5)*(Results!$G$2:$G$5001)*1),SUMPRODUCT((Results!$A$2:$A$5001=Schedule!FL$45)*(Results!$B$2:$B$5001=6)*(Results!$G$2:$G$5001)*1),SUMPRODUCT((Results!$A$2:$A$5001=Schedule!FL$45)*(Results!$B$2:$B$5001=7)*(Results!$G$2:$G$5001)*1),SUMPRODUCT((Results!$A$2:$A$5001=Schedule!FL$45)*(Results!$B$2:$B$5001=8)*(Results!$G$2:$G$5001)*1),SUMPRODUCT((Results!$A$2:$A$5001=Schedule!FL$45)*(Results!$B$2:$B$5001=9)*(Results!$G$2:$G$5001)*1),SUMPRODUCT((Results!$A$2:$A$5001=Schedule!FL$45)*(Results!$B$2:$B$5001=10)*(Results!$G$2:$G$5001)*1),SUMPRODUCT((Results!$A$2:$A$5001=Schedule!FL$45)*(Results!$B$2:$B$5001=11)*(Results!$G$2:$G$5001)*1),SUMPRODUCT((Results!$A$2:$A$5001=Schedule!FL$45)*(Results!$B$2:$B$5001=12)*(Results!$G$2:$G$5001)*1),SUMPRODUCT((Results!$A$2:$A$5001=Schedule!FL$45)*(Results!$B$2:$B$5001=13)*(Results!$G$2:$G$5001)*1),SUMPRODUCT((Results!$A$2:$A$5001=Schedule!FL$45)*(Results!$B$2:$B$5001=14)*(Results!$G$2:$G$5001)*1),SUMPRODUCT((Results!$A$2:$A$5001=Schedule!FL$45)*(Results!$B$2:$B$5001=15)*(Results!$G$2:$G$5001)*1),SUMPRODUCT((Results!$A$2:$A$5001=Schedule!FL$45)*(Results!$B$2:$B$5001=16)*(Results!$G$2:$G$5001)*1),SUMPRODUCT((Results!$A$2:$A$5001=Schedule!FL$45)*(Results!$B$2:$B$5001=17)*(Results!$G$2:$G$5001)*1),SUMPRODUCT((Results!$A$2:$A$5001=Schedule!FL$45)*(Results!$B$2:$B$5001=18)*(Results!$G$2:$G$5001)*1),SUMPRODUCT((Results!$A$2:$A$5001=Schedule!FL$45)*(Results!$B$2:$B$5001=19)*(Results!$G$2:$G$5001)*1),SUMPRODUCT((Results!$A$2:$A$5001=Schedule!FL$45)*(Results!$B$2:$B$5001=20)*(Results!$G$2:$G$5001)*1))</f>
        <v>0</v>
      </c>
      <c r="FM73" s="88">
        <f>MAX(SUMPRODUCT((Results!$A$2:$A$5001=Schedule!FM$45)*(Results!$B$2:$B$5001=1)*(Results!$G$2:$G$5001)*1),SUMPRODUCT((Results!$A$2:$A$5001=Schedule!FM$45)*(Results!$B$2:$B$5001=2)*(Results!$G$2:$G$5001)*1),SUMPRODUCT((Results!$A$2:$A$5001=Schedule!FM$45)*(Results!$B$2:$B$5001=3)*(Results!$G$2:$G$5001)*1),SUMPRODUCT((Results!$A$2:$A$5001=Schedule!FM$45)*(Results!$B$2:$B$5001=4)*(Results!$G$2:$G$5001)*1),SUMPRODUCT((Results!$A$2:$A$5001=Schedule!FM$45)*(Results!$B$2:$B$5001=5)*(Results!$G$2:$G$5001)*1),SUMPRODUCT((Results!$A$2:$A$5001=Schedule!FM$45)*(Results!$B$2:$B$5001=6)*(Results!$G$2:$G$5001)*1),SUMPRODUCT((Results!$A$2:$A$5001=Schedule!FM$45)*(Results!$B$2:$B$5001=7)*(Results!$G$2:$G$5001)*1),SUMPRODUCT((Results!$A$2:$A$5001=Schedule!FM$45)*(Results!$B$2:$B$5001=8)*(Results!$G$2:$G$5001)*1),SUMPRODUCT((Results!$A$2:$A$5001=Schedule!FM$45)*(Results!$B$2:$B$5001=9)*(Results!$G$2:$G$5001)*1),SUMPRODUCT((Results!$A$2:$A$5001=Schedule!FM$45)*(Results!$B$2:$B$5001=10)*(Results!$G$2:$G$5001)*1),SUMPRODUCT((Results!$A$2:$A$5001=Schedule!FM$45)*(Results!$B$2:$B$5001=11)*(Results!$G$2:$G$5001)*1),SUMPRODUCT((Results!$A$2:$A$5001=Schedule!FM$45)*(Results!$B$2:$B$5001=12)*(Results!$G$2:$G$5001)*1),SUMPRODUCT((Results!$A$2:$A$5001=Schedule!FM$45)*(Results!$B$2:$B$5001=13)*(Results!$G$2:$G$5001)*1),SUMPRODUCT((Results!$A$2:$A$5001=Schedule!FM$45)*(Results!$B$2:$B$5001=14)*(Results!$G$2:$G$5001)*1),SUMPRODUCT((Results!$A$2:$A$5001=Schedule!FM$45)*(Results!$B$2:$B$5001=15)*(Results!$G$2:$G$5001)*1),SUMPRODUCT((Results!$A$2:$A$5001=Schedule!FM$45)*(Results!$B$2:$B$5001=16)*(Results!$G$2:$G$5001)*1),SUMPRODUCT((Results!$A$2:$A$5001=Schedule!FM$45)*(Results!$B$2:$B$5001=17)*(Results!$G$2:$G$5001)*1),SUMPRODUCT((Results!$A$2:$A$5001=Schedule!FM$45)*(Results!$B$2:$B$5001=18)*(Results!$G$2:$G$5001)*1),SUMPRODUCT((Results!$A$2:$A$5001=Schedule!FM$45)*(Results!$B$2:$B$5001=19)*(Results!$G$2:$G$5001)*1),SUMPRODUCT((Results!$A$2:$A$5001=Schedule!FM$45)*(Results!$B$2:$B$5001=20)*(Results!$G$2:$G$5001)*1))</f>
        <v>0</v>
      </c>
      <c r="FN73" s="88">
        <f>MAX(SUMPRODUCT((Results!$A$2:$A$5001=Schedule!FN$45)*(Results!$B$2:$B$5001=1)*(Results!$G$2:$G$5001)*1),SUMPRODUCT((Results!$A$2:$A$5001=Schedule!FN$45)*(Results!$B$2:$B$5001=2)*(Results!$G$2:$G$5001)*1),SUMPRODUCT((Results!$A$2:$A$5001=Schedule!FN$45)*(Results!$B$2:$B$5001=3)*(Results!$G$2:$G$5001)*1),SUMPRODUCT((Results!$A$2:$A$5001=Schedule!FN$45)*(Results!$B$2:$B$5001=4)*(Results!$G$2:$G$5001)*1),SUMPRODUCT((Results!$A$2:$A$5001=Schedule!FN$45)*(Results!$B$2:$B$5001=5)*(Results!$G$2:$G$5001)*1),SUMPRODUCT((Results!$A$2:$A$5001=Schedule!FN$45)*(Results!$B$2:$B$5001=6)*(Results!$G$2:$G$5001)*1),SUMPRODUCT((Results!$A$2:$A$5001=Schedule!FN$45)*(Results!$B$2:$B$5001=7)*(Results!$G$2:$G$5001)*1),SUMPRODUCT((Results!$A$2:$A$5001=Schedule!FN$45)*(Results!$B$2:$B$5001=8)*(Results!$G$2:$G$5001)*1),SUMPRODUCT((Results!$A$2:$A$5001=Schedule!FN$45)*(Results!$B$2:$B$5001=9)*(Results!$G$2:$G$5001)*1),SUMPRODUCT((Results!$A$2:$A$5001=Schedule!FN$45)*(Results!$B$2:$B$5001=10)*(Results!$G$2:$G$5001)*1),SUMPRODUCT((Results!$A$2:$A$5001=Schedule!FN$45)*(Results!$B$2:$B$5001=11)*(Results!$G$2:$G$5001)*1),SUMPRODUCT((Results!$A$2:$A$5001=Schedule!FN$45)*(Results!$B$2:$B$5001=12)*(Results!$G$2:$G$5001)*1),SUMPRODUCT((Results!$A$2:$A$5001=Schedule!FN$45)*(Results!$B$2:$B$5001=13)*(Results!$G$2:$G$5001)*1),SUMPRODUCT((Results!$A$2:$A$5001=Schedule!FN$45)*(Results!$B$2:$B$5001=14)*(Results!$G$2:$G$5001)*1),SUMPRODUCT((Results!$A$2:$A$5001=Schedule!FN$45)*(Results!$B$2:$B$5001=15)*(Results!$G$2:$G$5001)*1),SUMPRODUCT((Results!$A$2:$A$5001=Schedule!FN$45)*(Results!$B$2:$B$5001=16)*(Results!$G$2:$G$5001)*1),SUMPRODUCT((Results!$A$2:$A$5001=Schedule!FN$45)*(Results!$B$2:$B$5001=17)*(Results!$G$2:$G$5001)*1),SUMPRODUCT((Results!$A$2:$A$5001=Schedule!FN$45)*(Results!$B$2:$B$5001=18)*(Results!$G$2:$G$5001)*1),SUMPRODUCT((Results!$A$2:$A$5001=Schedule!FN$45)*(Results!$B$2:$B$5001=19)*(Results!$G$2:$G$5001)*1),SUMPRODUCT((Results!$A$2:$A$5001=Schedule!FN$45)*(Results!$B$2:$B$5001=20)*(Results!$G$2:$G$5001)*1))</f>
        <v>0</v>
      </c>
      <c r="FO73" s="88">
        <f>MAX(SUMPRODUCT((Results!$A$2:$A$5001=Schedule!FO$45)*(Results!$B$2:$B$5001=1)*(Results!$G$2:$G$5001)*1),SUMPRODUCT((Results!$A$2:$A$5001=Schedule!FO$45)*(Results!$B$2:$B$5001=2)*(Results!$G$2:$G$5001)*1),SUMPRODUCT((Results!$A$2:$A$5001=Schedule!FO$45)*(Results!$B$2:$B$5001=3)*(Results!$G$2:$G$5001)*1),SUMPRODUCT((Results!$A$2:$A$5001=Schedule!FO$45)*(Results!$B$2:$B$5001=4)*(Results!$G$2:$G$5001)*1),SUMPRODUCT((Results!$A$2:$A$5001=Schedule!FO$45)*(Results!$B$2:$B$5001=5)*(Results!$G$2:$G$5001)*1),SUMPRODUCT((Results!$A$2:$A$5001=Schedule!FO$45)*(Results!$B$2:$B$5001=6)*(Results!$G$2:$G$5001)*1),SUMPRODUCT((Results!$A$2:$A$5001=Schedule!FO$45)*(Results!$B$2:$B$5001=7)*(Results!$G$2:$G$5001)*1),SUMPRODUCT((Results!$A$2:$A$5001=Schedule!FO$45)*(Results!$B$2:$B$5001=8)*(Results!$G$2:$G$5001)*1),SUMPRODUCT((Results!$A$2:$A$5001=Schedule!FO$45)*(Results!$B$2:$B$5001=9)*(Results!$G$2:$G$5001)*1),SUMPRODUCT((Results!$A$2:$A$5001=Schedule!FO$45)*(Results!$B$2:$B$5001=10)*(Results!$G$2:$G$5001)*1),SUMPRODUCT((Results!$A$2:$A$5001=Schedule!FO$45)*(Results!$B$2:$B$5001=11)*(Results!$G$2:$G$5001)*1),SUMPRODUCT((Results!$A$2:$A$5001=Schedule!FO$45)*(Results!$B$2:$B$5001=12)*(Results!$G$2:$G$5001)*1),SUMPRODUCT((Results!$A$2:$A$5001=Schedule!FO$45)*(Results!$B$2:$B$5001=13)*(Results!$G$2:$G$5001)*1),SUMPRODUCT((Results!$A$2:$A$5001=Schedule!FO$45)*(Results!$B$2:$B$5001=14)*(Results!$G$2:$G$5001)*1),SUMPRODUCT((Results!$A$2:$A$5001=Schedule!FO$45)*(Results!$B$2:$B$5001=15)*(Results!$G$2:$G$5001)*1),SUMPRODUCT((Results!$A$2:$A$5001=Schedule!FO$45)*(Results!$B$2:$B$5001=16)*(Results!$G$2:$G$5001)*1),SUMPRODUCT((Results!$A$2:$A$5001=Schedule!FO$45)*(Results!$B$2:$B$5001=17)*(Results!$G$2:$G$5001)*1),SUMPRODUCT((Results!$A$2:$A$5001=Schedule!FO$45)*(Results!$B$2:$B$5001=18)*(Results!$G$2:$G$5001)*1),SUMPRODUCT((Results!$A$2:$A$5001=Schedule!FO$45)*(Results!$B$2:$B$5001=19)*(Results!$G$2:$G$5001)*1),SUMPRODUCT((Results!$A$2:$A$5001=Schedule!FO$45)*(Results!$B$2:$B$5001=20)*(Results!$G$2:$G$5001)*1))</f>
        <v>0</v>
      </c>
      <c r="FP73" s="88">
        <f>MAX(SUMPRODUCT((Results!$A$2:$A$5001=Schedule!FP$45)*(Results!$B$2:$B$5001=1)*(Results!$G$2:$G$5001)*1),SUMPRODUCT((Results!$A$2:$A$5001=Schedule!FP$45)*(Results!$B$2:$B$5001=2)*(Results!$G$2:$G$5001)*1),SUMPRODUCT((Results!$A$2:$A$5001=Schedule!FP$45)*(Results!$B$2:$B$5001=3)*(Results!$G$2:$G$5001)*1),SUMPRODUCT((Results!$A$2:$A$5001=Schedule!FP$45)*(Results!$B$2:$B$5001=4)*(Results!$G$2:$G$5001)*1),SUMPRODUCT((Results!$A$2:$A$5001=Schedule!FP$45)*(Results!$B$2:$B$5001=5)*(Results!$G$2:$G$5001)*1),SUMPRODUCT((Results!$A$2:$A$5001=Schedule!FP$45)*(Results!$B$2:$B$5001=6)*(Results!$G$2:$G$5001)*1),SUMPRODUCT((Results!$A$2:$A$5001=Schedule!FP$45)*(Results!$B$2:$B$5001=7)*(Results!$G$2:$G$5001)*1),SUMPRODUCT((Results!$A$2:$A$5001=Schedule!FP$45)*(Results!$B$2:$B$5001=8)*(Results!$G$2:$G$5001)*1),SUMPRODUCT((Results!$A$2:$A$5001=Schedule!FP$45)*(Results!$B$2:$B$5001=9)*(Results!$G$2:$G$5001)*1),SUMPRODUCT((Results!$A$2:$A$5001=Schedule!FP$45)*(Results!$B$2:$B$5001=10)*(Results!$G$2:$G$5001)*1),SUMPRODUCT((Results!$A$2:$A$5001=Schedule!FP$45)*(Results!$B$2:$B$5001=11)*(Results!$G$2:$G$5001)*1),SUMPRODUCT((Results!$A$2:$A$5001=Schedule!FP$45)*(Results!$B$2:$B$5001=12)*(Results!$G$2:$G$5001)*1),SUMPRODUCT((Results!$A$2:$A$5001=Schedule!FP$45)*(Results!$B$2:$B$5001=13)*(Results!$G$2:$G$5001)*1),SUMPRODUCT((Results!$A$2:$A$5001=Schedule!FP$45)*(Results!$B$2:$B$5001=14)*(Results!$G$2:$G$5001)*1),SUMPRODUCT((Results!$A$2:$A$5001=Schedule!FP$45)*(Results!$B$2:$B$5001=15)*(Results!$G$2:$G$5001)*1),SUMPRODUCT((Results!$A$2:$A$5001=Schedule!FP$45)*(Results!$B$2:$B$5001=16)*(Results!$G$2:$G$5001)*1),SUMPRODUCT((Results!$A$2:$A$5001=Schedule!FP$45)*(Results!$B$2:$B$5001=17)*(Results!$G$2:$G$5001)*1),SUMPRODUCT((Results!$A$2:$A$5001=Schedule!FP$45)*(Results!$B$2:$B$5001=18)*(Results!$G$2:$G$5001)*1),SUMPRODUCT((Results!$A$2:$A$5001=Schedule!FP$45)*(Results!$B$2:$B$5001=19)*(Results!$G$2:$G$5001)*1),SUMPRODUCT((Results!$A$2:$A$5001=Schedule!FP$45)*(Results!$B$2:$B$5001=20)*(Results!$G$2:$G$5001)*1))</f>
        <v>0</v>
      </c>
      <c r="FQ73" s="88">
        <f>MAX(SUMPRODUCT((Results!$A$2:$A$5001=Schedule!FQ$45)*(Results!$B$2:$B$5001=1)*(Results!$G$2:$G$5001)*1),SUMPRODUCT((Results!$A$2:$A$5001=Schedule!FQ$45)*(Results!$B$2:$B$5001=2)*(Results!$G$2:$G$5001)*1),SUMPRODUCT((Results!$A$2:$A$5001=Schedule!FQ$45)*(Results!$B$2:$B$5001=3)*(Results!$G$2:$G$5001)*1),SUMPRODUCT((Results!$A$2:$A$5001=Schedule!FQ$45)*(Results!$B$2:$B$5001=4)*(Results!$G$2:$G$5001)*1),SUMPRODUCT((Results!$A$2:$A$5001=Schedule!FQ$45)*(Results!$B$2:$B$5001=5)*(Results!$G$2:$G$5001)*1),SUMPRODUCT((Results!$A$2:$A$5001=Schedule!FQ$45)*(Results!$B$2:$B$5001=6)*(Results!$G$2:$G$5001)*1),SUMPRODUCT((Results!$A$2:$A$5001=Schedule!FQ$45)*(Results!$B$2:$B$5001=7)*(Results!$G$2:$G$5001)*1),SUMPRODUCT((Results!$A$2:$A$5001=Schedule!FQ$45)*(Results!$B$2:$B$5001=8)*(Results!$G$2:$G$5001)*1),SUMPRODUCT((Results!$A$2:$A$5001=Schedule!FQ$45)*(Results!$B$2:$B$5001=9)*(Results!$G$2:$G$5001)*1),SUMPRODUCT((Results!$A$2:$A$5001=Schedule!FQ$45)*(Results!$B$2:$B$5001=10)*(Results!$G$2:$G$5001)*1),SUMPRODUCT((Results!$A$2:$A$5001=Schedule!FQ$45)*(Results!$B$2:$B$5001=11)*(Results!$G$2:$G$5001)*1),SUMPRODUCT((Results!$A$2:$A$5001=Schedule!FQ$45)*(Results!$B$2:$B$5001=12)*(Results!$G$2:$G$5001)*1),SUMPRODUCT((Results!$A$2:$A$5001=Schedule!FQ$45)*(Results!$B$2:$B$5001=13)*(Results!$G$2:$G$5001)*1),SUMPRODUCT((Results!$A$2:$A$5001=Schedule!FQ$45)*(Results!$B$2:$B$5001=14)*(Results!$G$2:$G$5001)*1),SUMPRODUCT((Results!$A$2:$A$5001=Schedule!FQ$45)*(Results!$B$2:$B$5001=15)*(Results!$G$2:$G$5001)*1),SUMPRODUCT((Results!$A$2:$A$5001=Schedule!FQ$45)*(Results!$B$2:$B$5001=16)*(Results!$G$2:$G$5001)*1),SUMPRODUCT((Results!$A$2:$A$5001=Schedule!FQ$45)*(Results!$B$2:$B$5001=17)*(Results!$G$2:$G$5001)*1),SUMPRODUCT((Results!$A$2:$A$5001=Schedule!FQ$45)*(Results!$B$2:$B$5001=18)*(Results!$G$2:$G$5001)*1),SUMPRODUCT((Results!$A$2:$A$5001=Schedule!FQ$45)*(Results!$B$2:$B$5001=19)*(Results!$G$2:$G$5001)*1),SUMPRODUCT((Results!$A$2:$A$5001=Schedule!FQ$45)*(Results!$B$2:$B$5001=20)*(Results!$G$2:$G$5001)*1))</f>
        <v>0</v>
      </c>
      <c r="FR73" s="88">
        <f>MAX(SUMPRODUCT((Results!$A$2:$A$5001=Schedule!FR$45)*(Results!$B$2:$B$5001=1)*(Results!$G$2:$G$5001)*1),SUMPRODUCT((Results!$A$2:$A$5001=Schedule!FR$45)*(Results!$B$2:$B$5001=2)*(Results!$G$2:$G$5001)*1),SUMPRODUCT((Results!$A$2:$A$5001=Schedule!FR$45)*(Results!$B$2:$B$5001=3)*(Results!$G$2:$G$5001)*1),SUMPRODUCT((Results!$A$2:$A$5001=Schedule!FR$45)*(Results!$B$2:$B$5001=4)*(Results!$G$2:$G$5001)*1),SUMPRODUCT((Results!$A$2:$A$5001=Schedule!FR$45)*(Results!$B$2:$B$5001=5)*(Results!$G$2:$G$5001)*1),SUMPRODUCT((Results!$A$2:$A$5001=Schedule!FR$45)*(Results!$B$2:$B$5001=6)*(Results!$G$2:$G$5001)*1),SUMPRODUCT((Results!$A$2:$A$5001=Schedule!FR$45)*(Results!$B$2:$B$5001=7)*(Results!$G$2:$G$5001)*1),SUMPRODUCT((Results!$A$2:$A$5001=Schedule!FR$45)*(Results!$B$2:$B$5001=8)*(Results!$G$2:$G$5001)*1),SUMPRODUCT((Results!$A$2:$A$5001=Schedule!FR$45)*(Results!$B$2:$B$5001=9)*(Results!$G$2:$G$5001)*1),SUMPRODUCT((Results!$A$2:$A$5001=Schedule!FR$45)*(Results!$B$2:$B$5001=10)*(Results!$G$2:$G$5001)*1),SUMPRODUCT((Results!$A$2:$A$5001=Schedule!FR$45)*(Results!$B$2:$B$5001=11)*(Results!$G$2:$G$5001)*1),SUMPRODUCT((Results!$A$2:$A$5001=Schedule!FR$45)*(Results!$B$2:$B$5001=12)*(Results!$G$2:$G$5001)*1),SUMPRODUCT((Results!$A$2:$A$5001=Schedule!FR$45)*(Results!$B$2:$B$5001=13)*(Results!$G$2:$G$5001)*1),SUMPRODUCT((Results!$A$2:$A$5001=Schedule!FR$45)*(Results!$B$2:$B$5001=14)*(Results!$G$2:$G$5001)*1),SUMPRODUCT((Results!$A$2:$A$5001=Schedule!FR$45)*(Results!$B$2:$B$5001=15)*(Results!$G$2:$G$5001)*1),SUMPRODUCT((Results!$A$2:$A$5001=Schedule!FR$45)*(Results!$B$2:$B$5001=16)*(Results!$G$2:$G$5001)*1),SUMPRODUCT((Results!$A$2:$A$5001=Schedule!FR$45)*(Results!$B$2:$B$5001=17)*(Results!$G$2:$G$5001)*1),SUMPRODUCT((Results!$A$2:$A$5001=Schedule!FR$45)*(Results!$B$2:$B$5001=18)*(Results!$G$2:$G$5001)*1),SUMPRODUCT((Results!$A$2:$A$5001=Schedule!FR$45)*(Results!$B$2:$B$5001=19)*(Results!$G$2:$G$5001)*1),SUMPRODUCT((Results!$A$2:$A$5001=Schedule!FR$45)*(Results!$B$2:$B$5001=20)*(Results!$G$2:$G$5001)*1))</f>
        <v>0</v>
      </c>
      <c r="FS73" s="88">
        <f>MAX(SUMPRODUCT((Results!$A$2:$A$5001=Schedule!FS$45)*(Results!$B$2:$B$5001=1)*(Results!$G$2:$G$5001)*1),SUMPRODUCT((Results!$A$2:$A$5001=Schedule!FS$45)*(Results!$B$2:$B$5001=2)*(Results!$G$2:$G$5001)*1),SUMPRODUCT((Results!$A$2:$A$5001=Schedule!FS$45)*(Results!$B$2:$B$5001=3)*(Results!$G$2:$G$5001)*1),SUMPRODUCT((Results!$A$2:$A$5001=Schedule!FS$45)*(Results!$B$2:$B$5001=4)*(Results!$G$2:$G$5001)*1),SUMPRODUCT((Results!$A$2:$A$5001=Schedule!FS$45)*(Results!$B$2:$B$5001=5)*(Results!$G$2:$G$5001)*1),SUMPRODUCT((Results!$A$2:$A$5001=Schedule!FS$45)*(Results!$B$2:$B$5001=6)*(Results!$G$2:$G$5001)*1),SUMPRODUCT((Results!$A$2:$A$5001=Schedule!FS$45)*(Results!$B$2:$B$5001=7)*(Results!$G$2:$G$5001)*1),SUMPRODUCT((Results!$A$2:$A$5001=Schedule!FS$45)*(Results!$B$2:$B$5001=8)*(Results!$G$2:$G$5001)*1),SUMPRODUCT((Results!$A$2:$A$5001=Schedule!FS$45)*(Results!$B$2:$B$5001=9)*(Results!$G$2:$G$5001)*1),SUMPRODUCT((Results!$A$2:$A$5001=Schedule!FS$45)*(Results!$B$2:$B$5001=10)*(Results!$G$2:$G$5001)*1),SUMPRODUCT((Results!$A$2:$A$5001=Schedule!FS$45)*(Results!$B$2:$B$5001=11)*(Results!$G$2:$G$5001)*1),SUMPRODUCT((Results!$A$2:$A$5001=Schedule!FS$45)*(Results!$B$2:$B$5001=12)*(Results!$G$2:$G$5001)*1),SUMPRODUCT((Results!$A$2:$A$5001=Schedule!FS$45)*(Results!$B$2:$B$5001=13)*(Results!$G$2:$G$5001)*1),SUMPRODUCT((Results!$A$2:$A$5001=Schedule!FS$45)*(Results!$B$2:$B$5001=14)*(Results!$G$2:$G$5001)*1),SUMPRODUCT((Results!$A$2:$A$5001=Schedule!FS$45)*(Results!$B$2:$B$5001=15)*(Results!$G$2:$G$5001)*1),SUMPRODUCT((Results!$A$2:$A$5001=Schedule!FS$45)*(Results!$B$2:$B$5001=16)*(Results!$G$2:$G$5001)*1),SUMPRODUCT((Results!$A$2:$A$5001=Schedule!FS$45)*(Results!$B$2:$B$5001=17)*(Results!$G$2:$G$5001)*1),SUMPRODUCT((Results!$A$2:$A$5001=Schedule!FS$45)*(Results!$B$2:$B$5001=18)*(Results!$G$2:$G$5001)*1),SUMPRODUCT((Results!$A$2:$A$5001=Schedule!FS$45)*(Results!$B$2:$B$5001=19)*(Results!$G$2:$G$5001)*1),SUMPRODUCT((Results!$A$2:$A$5001=Schedule!FS$45)*(Results!$B$2:$B$5001=20)*(Results!$G$2:$G$5001)*1))</f>
        <v>0</v>
      </c>
      <c r="FT73" s="88">
        <f>MAX(SUMPRODUCT((Results!$A$2:$A$5001=Schedule!FT$45)*(Results!$B$2:$B$5001=1)*(Results!$G$2:$G$5001)*1),SUMPRODUCT((Results!$A$2:$A$5001=Schedule!FT$45)*(Results!$B$2:$B$5001=2)*(Results!$G$2:$G$5001)*1),SUMPRODUCT((Results!$A$2:$A$5001=Schedule!FT$45)*(Results!$B$2:$B$5001=3)*(Results!$G$2:$G$5001)*1),SUMPRODUCT((Results!$A$2:$A$5001=Schedule!FT$45)*(Results!$B$2:$B$5001=4)*(Results!$G$2:$G$5001)*1),SUMPRODUCT((Results!$A$2:$A$5001=Schedule!FT$45)*(Results!$B$2:$B$5001=5)*(Results!$G$2:$G$5001)*1),SUMPRODUCT((Results!$A$2:$A$5001=Schedule!FT$45)*(Results!$B$2:$B$5001=6)*(Results!$G$2:$G$5001)*1),SUMPRODUCT((Results!$A$2:$A$5001=Schedule!FT$45)*(Results!$B$2:$B$5001=7)*(Results!$G$2:$G$5001)*1),SUMPRODUCT((Results!$A$2:$A$5001=Schedule!FT$45)*(Results!$B$2:$B$5001=8)*(Results!$G$2:$G$5001)*1),SUMPRODUCT((Results!$A$2:$A$5001=Schedule!FT$45)*(Results!$B$2:$B$5001=9)*(Results!$G$2:$G$5001)*1),SUMPRODUCT((Results!$A$2:$A$5001=Schedule!FT$45)*(Results!$B$2:$B$5001=10)*(Results!$G$2:$G$5001)*1),SUMPRODUCT((Results!$A$2:$A$5001=Schedule!FT$45)*(Results!$B$2:$B$5001=11)*(Results!$G$2:$G$5001)*1),SUMPRODUCT((Results!$A$2:$A$5001=Schedule!FT$45)*(Results!$B$2:$B$5001=12)*(Results!$G$2:$G$5001)*1),SUMPRODUCT((Results!$A$2:$A$5001=Schedule!FT$45)*(Results!$B$2:$B$5001=13)*(Results!$G$2:$G$5001)*1),SUMPRODUCT((Results!$A$2:$A$5001=Schedule!FT$45)*(Results!$B$2:$B$5001=14)*(Results!$G$2:$G$5001)*1),SUMPRODUCT((Results!$A$2:$A$5001=Schedule!FT$45)*(Results!$B$2:$B$5001=15)*(Results!$G$2:$G$5001)*1),SUMPRODUCT((Results!$A$2:$A$5001=Schedule!FT$45)*(Results!$B$2:$B$5001=16)*(Results!$G$2:$G$5001)*1),SUMPRODUCT((Results!$A$2:$A$5001=Schedule!FT$45)*(Results!$B$2:$B$5001=17)*(Results!$G$2:$G$5001)*1),SUMPRODUCT((Results!$A$2:$A$5001=Schedule!FT$45)*(Results!$B$2:$B$5001=18)*(Results!$G$2:$G$5001)*1),SUMPRODUCT((Results!$A$2:$A$5001=Schedule!FT$45)*(Results!$B$2:$B$5001=19)*(Results!$G$2:$G$5001)*1),SUMPRODUCT((Results!$A$2:$A$5001=Schedule!FT$45)*(Results!$B$2:$B$5001=20)*(Results!$G$2:$G$5001)*1))</f>
        <v>0</v>
      </c>
      <c r="FU73" s="88">
        <f>MAX(SUMPRODUCT((Results!$A$2:$A$5001=Schedule!FU$45)*(Results!$B$2:$B$5001=1)*(Results!$G$2:$G$5001)*1),SUMPRODUCT((Results!$A$2:$A$5001=Schedule!FU$45)*(Results!$B$2:$B$5001=2)*(Results!$G$2:$G$5001)*1),SUMPRODUCT((Results!$A$2:$A$5001=Schedule!FU$45)*(Results!$B$2:$B$5001=3)*(Results!$G$2:$G$5001)*1),SUMPRODUCT((Results!$A$2:$A$5001=Schedule!FU$45)*(Results!$B$2:$B$5001=4)*(Results!$G$2:$G$5001)*1),SUMPRODUCT((Results!$A$2:$A$5001=Schedule!FU$45)*(Results!$B$2:$B$5001=5)*(Results!$G$2:$G$5001)*1),SUMPRODUCT((Results!$A$2:$A$5001=Schedule!FU$45)*(Results!$B$2:$B$5001=6)*(Results!$G$2:$G$5001)*1),SUMPRODUCT((Results!$A$2:$A$5001=Schedule!FU$45)*(Results!$B$2:$B$5001=7)*(Results!$G$2:$G$5001)*1),SUMPRODUCT((Results!$A$2:$A$5001=Schedule!FU$45)*(Results!$B$2:$B$5001=8)*(Results!$G$2:$G$5001)*1),SUMPRODUCT((Results!$A$2:$A$5001=Schedule!FU$45)*(Results!$B$2:$B$5001=9)*(Results!$G$2:$G$5001)*1),SUMPRODUCT((Results!$A$2:$A$5001=Schedule!FU$45)*(Results!$B$2:$B$5001=10)*(Results!$G$2:$G$5001)*1),SUMPRODUCT((Results!$A$2:$A$5001=Schedule!FU$45)*(Results!$B$2:$B$5001=11)*(Results!$G$2:$G$5001)*1),SUMPRODUCT((Results!$A$2:$A$5001=Schedule!FU$45)*(Results!$B$2:$B$5001=12)*(Results!$G$2:$G$5001)*1),SUMPRODUCT((Results!$A$2:$A$5001=Schedule!FU$45)*(Results!$B$2:$B$5001=13)*(Results!$G$2:$G$5001)*1),SUMPRODUCT((Results!$A$2:$A$5001=Schedule!FU$45)*(Results!$B$2:$B$5001=14)*(Results!$G$2:$G$5001)*1),SUMPRODUCT((Results!$A$2:$A$5001=Schedule!FU$45)*(Results!$B$2:$B$5001=15)*(Results!$G$2:$G$5001)*1),SUMPRODUCT((Results!$A$2:$A$5001=Schedule!FU$45)*(Results!$B$2:$B$5001=16)*(Results!$G$2:$G$5001)*1),SUMPRODUCT((Results!$A$2:$A$5001=Schedule!FU$45)*(Results!$B$2:$B$5001=17)*(Results!$G$2:$G$5001)*1),SUMPRODUCT((Results!$A$2:$A$5001=Schedule!FU$45)*(Results!$B$2:$B$5001=18)*(Results!$G$2:$G$5001)*1),SUMPRODUCT((Results!$A$2:$A$5001=Schedule!FU$45)*(Results!$B$2:$B$5001=19)*(Results!$G$2:$G$5001)*1),SUMPRODUCT((Results!$A$2:$A$5001=Schedule!FU$45)*(Results!$B$2:$B$5001=20)*(Results!$G$2:$G$5001)*1))</f>
        <v>0</v>
      </c>
      <c r="FV73" s="88">
        <f>MAX(SUMPRODUCT((Results!$A$2:$A$5001=Schedule!FV$45)*(Results!$B$2:$B$5001=1)*(Results!$G$2:$G$5001)*1),SUMPRODUCT((Results!$A$2:$A$5001=Schedule!FV$45)*(Results!$B$2:$B$5001=2)*(Results!$G$2:$G$5001)*1),SUMPRODUCT((Results!$A$2:$A$5001=Schedule!FV$45)*(Results!$B$2:$B$5001=3)*(Results!$G$2:$G$5001)*1),SUMPRODUCT((Results!$A$2:$A$5001=Schedule!FV$45)*(Results!$B$2:$B$5001=4)*(Results!$G$2:$G$5001)*1),SUMPRODUCT((Results!$A$2:$A$5001=Schedule!FV$45)*(Results!$B$2:$B$5001=5)*(Results!$G$2:$G$5001)*1),SUMPRODUCT((Results!$A$2:$A$5001=Schedule!FV$45)*(Results!$B$2:$B$5001=6)*(Results!$G$2:$G$5001)*1),SUMPRODUCT((Results!$A$2:$A$5001=Schedule!FV$45)*(Results!$B$2:$B$5001=7)*(Results!$G$2:$G$5001)*1),SUMPRODUCT((Results!$A$2:$A$5001=Schedule!FV$45)*(Results!$B$2:$B$5001=8)*(Results!$G$2:$G$5001)*1),SUMPRODUCT((Results!$A$2:$A$5001=Schedule!FV$45)*(Results!$B$2:$B$5001=9)*(Results!$G$2:$G$5001)*1),SUMPRODUCT((Results!$A$2:$A$5001=Schedule!FV$45)*(Results!$B$2:$B$5001=10)*(Results!$G$2:$G$5001)*1),SUMPRODUCT((Results!$A$2:$A$5001=Schedule!FV$45)*(Results!$B$2:$B$5001=11)*(Results!$G$2:$G$5001)*1),SUMPRODUCT((Results!$A$2:$A$5001=Schedule!FV$45)*(Results!$B$2:$B$5001=12)*(Results!$G$2:$G$5001)*1),SUMPRODUCT((Results!$A$2:$A$5001=Schedule!FV$45)*(Results!$B$2:$B$5001=13)*(Results!$G$2:$G$5001)*1),SUMPRODUCT((Results!$A$2:$A$5001=Schedule!FV$45)*(Results!$B$2:$B$5001=14)*(Results!$G$2:$G$5001)*1),SUMPRODUCT((Results!$A$2:$A$5001=Schedule!FV$45)*(Results!$B$2:$B$5001=15)*(Results!$G$2:$G$5001)*1),SUMPRODUCT((Results!$A$2:$A$5001=Schedule!FV$45)*(Results!$B$2:$B$5001=16)*(Results!$G$2:$G$5001)*1),SUMPRODUCT((Results!$A$2:$A$5001=Schedule!FV$45)*(Results!$B$2:$B$5001=17)*(Results!$G$2:$G$5001)*1),SUMPRODUCT((Results!$A$2:$A$5001=Schedule!FV$45)*(Results!$B$2:$B$5001=18)*(Results!$G$2:$G$5001)*1),SUMPRODUCT((Results!$A$2:$A$5001=Schedule!FV$45)*(Results!$B$2:$B$5001=19)*(Results!$G$2:$G$5001)*1),SUMPRODUCT((Results!$A$2:$A$5001=Schedule!FV$45)*(Results!$B$2:$B$5001=20)*(Results!$G$2:$G$5001)*1))</f>
        <v>0</v>
      </c>
      <c r="FW73" s="88">
        <f>MAX(SUMPRODUCT((Results!$A$2:$A$5001=Schedule!FW$45)*(Results!$B$2:$B$5001=1)*(Results!$G$2:$G$5001)*1),SUMPRODUCT((Results!$A$2:$A$5001=Schedule!FW$45)*(Results!$B$2:$B$5001=2)*(Results!$G$2:$G$5001)*1),SUMPRODUCT((Results!$A$2:$A$5001=Schedule!FW$45)*(Results!$B$2:$B$5001=3)*(Results!$G$2:$G$5001)*1),SUMPRODUCT((Results!$A$2:$A$5001=Schedule!FW$45)*(Results!$B$2:$B$5001=4)*(Results!$G$2:$G$5001)*1),SUMPRODUCT((Results!$A$2:$A$5001=Schedule!FW$45)*(Results!$B$2:$B$5001=5)*(Results!$G$2:$G$5001)*1),SUMPRODUCT((Results!$A$2:$A$5001=Schedule!FW$45)*(Results!$B$2:$B$5001=6)*(Results!$G$2:$G$5001)*1),SUMPRODUCT((Results!$A$2:$A$5001=Schedule!FW$45)*(Results!$B$2:$B$5001=7)*(Results!$G$2:$G$5001)*1),SUMPRODUCT((Results!$A$2:$A$5001=Schedule!FW$45)*(Results!$B$2:$B$5001=8)*(Results!$G$2:$G$5001)*1),SUMPRODUCT((Results!$A$2:$A$5001=Schedule!FW$45)*(Results!$B$2:$B$5001=9)*(Results!$G$2:$G$5001)*1),SUMPRODUCT((Results!$A$2:$A$5001=Schedule!FW$45)*(Results!$B$2:$B$5001=10)*(Results!$G$2:$G$5001)*1),SUMPRODUCT((Results!$A$2:$A$5001=Schedule!FW$45)*(Results!$B$2:$B$5001=11)*(Results!$G$2:$G$5001)*1),SUMPRODUCT((Results!$A$2:$A$5001=Schedule!FW$45)*(Results!$B$2:$B$5001=12)*(Results!$G$2:$G$5001)*1),SUMPRODUCT((Results!$A$2:$A$5001=Schedule!FW$45)*(Results!$B$2:$B$5001=13)*(Results!$G$2:$G$5001)*1),SUMPRODUCT((Results!$A$2:$A$5001=Schedule!FW$45)*(Results!$B$2:$B$5001=14)*(Results!$G$2:$G$5001)*1),SUMPRODUCT((Results!$A$2:$A$5001=Schedule!FW$45)*(Results!$B$2:$B$5001=15)*(Results!$G$2:$G$5001)*1),SUMPRODUCT((Results!$A$2:$A$5001=Schedule!FW$45)*(Results!$B$2:$B$5001=16)*(Results!$G$2:$G$5001)*1),SUMPRODUCT((Results!$A$2:$A$5001=Schedule!FW$45)*(Results!$B$2:$B$5001=17)*(Results!$G$2:$G$5001)*1),SUMPRODUCT((Results!$A$2:$A$5001=Schedule!FW$45)*(Results!$B$2:$B$5001=18)*(Results!$G$2:$G$5001)*1),SUMPRODUCT((Results!$A$2:$A$5001=Schedule!FW$45)*(Results!$B$2:$B$5001=19)*(Results!$G$2:$G$5001)*1),SUMPRODUCT((Results!$A$2:$A$5001=Schedule!FW$45)*(Results!$B$2:$B$5001=20)*(Results!$G$2:$G$5001)*1))</f>
        <v>0</v>
      </c>
      <c r="FX73" s="88">
        <f>MAX(SUMPRODUCT((Results!$A$2:$A$5001=Schedule!FX$45)*(Results!$B$2:$B$5001=1)*(Results!$G$2:$G$5001)*1),SUMPRODUCT((Results!$A$2:$A$5001=Schedule!FX$45)*(Results!$B$2:$B$5001=2)*(Results!$G$2:$G$5001)*1),SUMPRODUCT((Results!$A$2:$A$5001=Schedule!FX$45)*(Results!$B$2:$B$5001=3)*(Results!$G$2:$G$5001)*1),SUMPRODUCT((Results!$A$2:$A$5001=Schedule!FX$45)*(Results!$B$2:$B$5001=4)*(Results!$G$2:$G$5001)*1),SUMPRODUCT((Results!$A$2:$A$5001=Schedule!FX$45)*(Results!$B$2:$B$5001=5)*(Results!$G$2:$G$5001)*1),SUMPRODUCT((Results!$A$2:$A$5001=Schedule!FX$45)*(Results!$B$2:$B$5001=6)*(Results!$G$2:$G$5001)*1),SUMPRODUCT((Results!$A$2:$A$5001=Schedule!FX$45)*(Results!$B$2:$B$5001=7)*(Results!$G$2:$G$5001)*1),SUMPRODUCT((Results!$A$2:$A$5001=Schedule!FX$45)*(Results!$B$2:$B$5001=8)*(Results!$G$2:$G$5001)*1),SUMPRODUCT((Results!$A$2:$A$5001=Schedule!FX$45)*(Results!$B$2:$B$5001=9)*(Results!$G$2:$G$5001)*1),SUMPRODUCT((Results!$A$2:$A$5001=Schedule!FX$45)*(Results!$B$2:$B$5001=10)*(Results!$G$2:$G$5001)*1),SUMPRODUCT((Results!$A$2:$A$5001=Schedule!FX$45)*(Results!$B$2:$B$5001=11)*(Results!$G$2:$G$5001)*1),SUMPRODUCT((Results!$A$2:$A$5001=Schedule!FX$45)*(Results!$B$2:$B$5001=12)*(Results!$G$2:$G$5001)*1),SUMPRODUCT((Results!$A$2:$A$5001=Schedule!FX$45)*(Results!$B$2:$B$5001=13)*(Results!$G$2:$G$5001)*1),SUMPRODUCT((Results!$A$2:$A$5001=Schedule!FX$45)*(Results!$B$2:$B$5001=14)*(Results!$G$2:$G$5001)*1),SUMPRODUCT((Results!$A$2:$A$5001=Schedule!FX$45)*(Results!$B$2:$B$5001=15)*(Results!$G$2:$G$5001)*1),SUMPRODUCT((Results!$A$2:$A$5001=Schedule!FX$45)*(Results!$B$2:$B$5001=16)*(Results!$G$2:$G$5001)*1),SUMPRODUCT((Results!$A$2:$A$5001=Schedule!FX$45)*(Results!$B$2:$B$5001=17)*(Results!$G$2:$G$5001)*1),SUMPRODUCT((Results!$A$2:$A$5001=Schedule!FX$45)*(Results!$B$2:$B$5001=18)*(Results!$G$2:$G$5001)*1),SUMPRODUCT((Results!$A$2:$A$5001=Schedule!FX$45)*(Results!$B$2:$B$5001=19)*(Results!$G$2:$G$5001)*1),SUMPRODUCT((Results!$A$2:$A$5001=Schedule!FX$45)*(Results!$B$2:$B$5001=20)*(Results!$G$2:$G$5001)*1))</f>
        <v>0</v>
      </c>
      <c r="FY73" s="88">
        <f>MAX(SUMPRODUCT((Results!$A$2:$A$5001=Schedule!FY$45)*(Results!$B$2:$B$5001=1)*(Results!$G$2:$G$5001)*1),SUMPRODUCT((Results!$A$2:$A$5001=Schedule!FY$45)*(Results!$B$2:$B$5001=2)*(Results!$G$2:$G$5001)*1),SUMPRODUCT((Results!$A$2:$A$5001=Schedule!FY$45)*(Results!$B$2:$B$5001=3)*(Results!$G$2:$G$5001)*1),SUMPRODUCT((Results!$A$2:$A$5001=Schedule!FY$45)*(Results!$B$2:$B$5001=4)*(Results!$G$2:$G$5001)*1),SUMPRODUCT((Results!$A$2:$A$5001=Schedule!FY$45)*(Results!$B$2:$B$5001=5)*(Results!$G$2:$G$5001)*1),SUMPRODUCT((Results!$A$2:$A$5001=Schedule!FY$45)*(Results!$B$2:$B$5001=6)*(Results!$G$2:$G$5001)*1),SUMPRODUCT((Results!$A$2:$A$5001=Schedule!FY$45)*(Results!$B$2:$B$5001=7)*(Results!$G$2:$G$5001)*1),SUMPRODUCT((Results!$A$2:$A$5001=Schedule!FY$45)*(Results!$B$2:$B$5001=8)*(Results!$G$2:$G$5001)*1),SUMPRODUCT((Results!$A$2:$A$5001=Schedule!FY$45)*(Results!$B$2:$B$5001=9)*(Results!$G$2:$G$5001)*1),SUMPRODUCT((Results!$A$2:$A$5001=Schedule!FY$45)*(Results!$B$2:$B$5001=10)*(Results!$G$2:$G$5001)*1),SUMPRODUCT((Results!$A$2:$A$5001=Schedule!FY$45)*(Results!$B$2:$B$5001=11)*(Results!$G$2:$G$5001)*1),SUMPRODUCT((Results!$A$2:$A$5001=Schedule!FY$45)*(Results!$B$2:$B$5001=12)*(Results!$G$2:$G$5001)*1),SUMPRODUCT((Results!$A$2:$A$5001=Schedule!FY$45)*(Results!$B$2:$B$5001=13)*(Results!$G$2:$G$5001)*1),SUMPRODUCT((Results!$A$2:$A$5001=Schedule!FY$45)*(Results!$B$2:$B$5001=14)*(Results!$G$2:$G$5001)*1),SUMPRODUCT((Results!$A$2:$A$5001=Schedule!FY$45)*(Results!$B$2:$B$5001=15)*(Results!$G$2:$G$5001)*1),SUMPRODUCT((Results!$A$2:$A$5001=Schedule!FY$45)*(Results!$B$2:$B$5001=16)*(Results!$G$2:$G$5001)*1),SUMPRODUCT((Results!$A$2:$A$5001=Schedule!FY$45)*(Results!$B$2:$B$5001=17)*(Results!$G$2:$G$5001)*1),SUMPRODUCT((Results!$A$2:$A$5001=Schedule!FY$45)*(Results!$B$2:$B$5001=18)*(Results!$G$2:$G$5001)*1),SUMPRODUCT((Results!$A$2:$A$5001=Schedule!FY$45)*(Results!$B$2:$B$5001=19)*(Results!$G$2:$G$5001)*1),SUMPRODUCT((Results!$A$2:$A$5001=Schedule!FY$45)*(Results!$B$2:$B$5001=20)*(Results!$G$2:$G$5001)*1))</f>
        <v>0</v>
      </c>
      <c r="FZ73" s="88">
        <f>MAX(SUMPRODUCT((Results!$A$2:$A$5001=Schedule!FZ$45)*(Results!$B$2:$B$5001=1)*(Results!$G$2:$G$5001)*1),SUMPRODUCT((Results!$A$2:$A$5001=Schedule!FZ$45)*(Results!$B$2:$B$5001=2)*(Results!$G$2:$G$5001)*1),SUMPRODUCT((Results!$A$2:$A$5001=Schedule!FZ$45)*(Results!$B$2:$B$5001=3)*(Results!$G$2:$G$5001)*1),SUMPRODUCT((Results!$A$2:$A$5001=Schedule!FZ$45)*(Results!$B$2:$B$5001=4)*(Results!$G$2:$G$5001)*1),SUMPRODUCT((Results!$A$2:$A$5001=Schedule!FZ$45)*(Results!$B$2:$B$5001=5)*(Results!$G$2:$G$5001)*1),SUMPRODUCT((Results!$A$2:$A$5001=Schedule!FZ$45)*(Results!$B$2:$B$5001=6)*(Results!$G$2:$G$5001)*1),SUMPRODUCT((Results!$A$2:$A$5001=Schedule!FZ$45)*(Results!$B$2:$B$5001=7)*(Results!$G$2:$G$5001)*1),SUMPRODUCT((Results!$A$2:$A$5001=Schedule!FZ$45)*(Results!$B$2:$B$5001=8)*(Results!$G$2:$G$5001)*1),SUMPRODUCT((Results!$A$2:$A$5001=Schedule!FZ$45)*(Results!$B$2:$B$5001=9)*(Results!$G$2:$G$5001)*1),SUMPRODUCT((Results!$A$2:$A$5001=Schedule!FZ$45)*(Results!$B$2:$B$5001=10)*(Results!$G$2:$G$5001)*1),SUMPRODUCT((Results!$A$2:$A$5001=Schedule!FZ$45)*(Results!$B$2:$B$5001=11)*(Results!$G$2:$G$5001)*1),SUMPRODUCT((Results!$A$2:$A$5001=Schedule!FZ$45)*(Results!$B$2:$B$5001=12)*(Results!$G$2:$G$5001)*1),SUMPRODUCT((Results!$A$2:$A$5001=Schedule!FZ$45)*(Results!$B$2:$B$5001=13)*(Results!$G$2:$G$5001)*1),SUMPRODUCT((Results!$A$2:$A$5001=Schedule!FZ$45)*(Results!$B$2:$B$5001=14)*(Results!$G$2:$G$5001)*1),SUMPRODUCT((Results!$A$2:$A$5001=Schedule!FZ$45)*(Results!$B$2:$B$5001=15)*(Results!$G$2:$G$5001)*1),SUMPRODUCT((Results!$A$2:$A$5001=Schedule!FZ$45)*(Results!$B$2:$B$5001=16)*(Results!$G$2:$G$5001)*1),SUMPRODUCT((Results!$A$2:$A$5001=Schedule!FZ$45)*(Results!$B$2:$B$5001=17)*(Results!$G$2:$G$5001)*1),SUMPRODUCT((Results!$A$2:$A$5001=Schedule!FZ$45)*(Results!$B$2:$B$5001=18)*(Results!$G$2:$G$5001)*1),SUMPRODUCT((Results!$A$2:$A$5001=Schedule!FZ$45)*(Results!$B$2:$B$5001=19)*(Results!$G$2:$G$5001)*1),SUMPRODUCT((Results!$A$2:$A$5001=Schedule!FZ$45)*(Results!$B$2:$B$5001=20)*(Results!$G$2:$G$5001)*1))</f>
        <v>0</v>
      </c>
      <c r="GA73" s="88">
        <f>MAX(SUMPRODUCT((Results!$A$2:$A$5001=Schedule!GA$45)*(Results!$B$2:$B$5001=1)*(Results!$G$2:$G$5001)*1),SUMPRODUCT((Results!$A$2:$A$5001=Schedule!GA$45)*(Results!$B$2:$B$5001=2)*(Results!$G$2:$G$5001)*1),SUMPRODUCT((Results!$A$2:$A$5001=Schedule!GA$45)*(Results!$B$2:$B$5001=3)*(Results!$G$2:$G$5001)*1),SUMPRODUCT((Results!$A$2:$A$5001=Schedule!GA$45)*(Results!$B$2:$B$5001=4)*(Results!$G$2:$G$5001)*1),SUMPRODUCT((Results!$A$2:$A$5001=Schedule!GA$45)*(Results!$B$2:$B$5001=5)*(Results!$G$2:$G$5001)*1),SUMPRODUCT((Results!$A$2:$A$5001=Schedule!GA$45)*(Results!$B$2:$B$5001=6)*(Results!$G$2:$G$5001)*1),SUMPRODUCT((Results!$A$2:$A$5001=Schedule!GA$45)*(Results!$B$2:$B$5001=7)*(Results!$G$2:$G$5001)*1),SUMPRODUCT((Results!$A$2:$A$5001=Schedule!GA$45)*(Results!$B$2:$B$5001=8)*(Results!$G$2:$G$5001)*1),SUMPRODUCT((Results!$A$2:$A$5001=Schedule!GA$45)*(Results!$B$2:$B$5001=9)*(Results!$G$2:$G$5001)*1),SUMPRODUCT((Results!$A$2:$A$5001=Schedule!GA$45)*(Results!$B$2:$B$5001=10)*(Results!$G$2:$G$5001)*1),SUMPRODUCT((Results!$A$2:$A$5001=Schedule!GA$45)*(Results!$B$2:$B$5001=11)*(Results!$G$2:$G$5001)*1),SUMPRODUCT((Results!$A$2:$A$5001=Schedule!GA$45)*(Results!$B$2:$B$5001=12)*(Results!$G$2:$G$5001)*1),SUMPRODUCT((Results!$A$2:$A$5001=Schedule!GA$45)*(Results!$B$2:$B$5001=13)*(Results!$G$2:$G$5001)*1),SUMPRODUCT((Results!$A$2:$A$5001=Schedule!GA$45)*(Results!$B$2:$B$5001=14)*(Results!$G$2:$G$5001)*1),SUMPRODUCT((Results!$A$2:$A$5001=Schedule!GA$45)*(Results!$B$2:$B$5001=15)*(Results!$G$2:$G$5001)*1),SUMPRODUCT((Results!$A$2:$A$5001=Schedule!GA$45)*(Results!$B$2:$B$5001=16)*(Results!$G$2:$G$5001)*1),SUMPRODUCT((Results!$A$2:$A$5001=Schedule!GA$45)*(Results!$B$2:$B$5001=17)*(Results!$G$2:$G$5001)*1),SUMPRODUCT((Results!$A$2:$A$5001=Schedule!GA$45)*(Results!$B$2:$B$5001=18)*(Results!$G$2:$G$5001)*1),SUMPRODUCT((Results!$A$2:$A$5001=Schedule!GA$45)*(Results!$B$2:$B$5001=19)*(Results!$G$2:$G$5001)*1),SUMPRODUCT((Results!$A$2:$A$5001=Schedule!GA$45)*(Results!$B$2:$B$5001=20)*(Results!$G$2:$G$5001)*1))</f>
        <v>0</v>
      </c>
      <c r="GB73" s="88">
        <f>MAX(SUMPRODUCT((Results!$A$2:$A$5001=Schedule!GB$45)*(Results!$B$2:$B$5001=1)*(Results!$G$2:$G$5001)*1),SUMPRODUCT((Results!$A$2:$A$5001=Schedule!GB$45)*(Results!$B$2:$B$5001=2)*(Results!$G$2:$G$5001)*1),SUMPRODUCT((Results!$A$2:$A$5001=Schedule!GB$45)*(Results!$B$2:$B$5001=3)*(Results!$G$2:$G$5001)*1),SUMPRODUCT((Results!$A$2:$A$5001=Schedule!GB$45)*(Results!$B$2:$B$5001=4)*(Results!$G$2:$G$5001)*1),SUMPRODUCT((Results!$A$2:$A$5001=Schedule!GB$45)*(Results!$B$2:$B$5001=5)*(Results!$G$2:$G$5001)*1),SUMPRODUCT((Results!$A$2:$A$5001=Schedule!GB$45)*(Results!$B$2:$B$5001=6)*(Results!$G$2:$G$5001)*1),SUMPRODUCT((Results!$A$2:$A$5001=Schedule!GB$45)*(Results!$B$2:$B$5001=7)*(Results!$G$2:$G$5001)*1),SUMPRODUCT((Results!$A$2:$A$5001=Schedule!GB$45)*(Results!$B$2:$B$5001=8)*(Results!$G$2:$G$5001)*1),SUMPRODUCT((Results!$A$2:$A$5001=Schedule!GB$45)*(Results!$B$2:$B$5001=9)*(Results!$G$2:$G$5001)*1),SUMPRODUCT((Results!$A$2:$A$5001=Schedule!GB$45)*(Results!$B$2:$B$5001=10)*(Results!$G$2:$G$5001)*1),SUMPRODUCT((Results!$A$2:$A$5001=Schedule!GB$45)*(Results!$B$2:$B$5001=11)*(Results!$G$2:$G$5001)*1),SUMPRODUCT((Results!$A$2:$A$5001=Schedule!GB$45)*(Results!$B$2:$B$5001=12)*(Results!$G$2:$G$5001)*1),SUMPRODUCT((Results!$A$2:$A$5001=Schedule!GB$45)*(Results!$B$2:$B$5001=13)*(Results!$G$2:$G$5001)*1),SUMPRODUCT((Results!$A$2:$A$5001=Schedule!GB$45)*(Results!$B$2:$B$5001=14)*(Results!$G$2:$G$5001)*1),SUMPRODUCT((Results!$A$2:$A$5001=Schedule!GB$45)*(Results!$B$2:$B$5001=15)*(Results!$G$2:$G$5001)*1),SUMPRODUCT((Results!$A$2:$A$5001=Schedule!GB$45)*(Results!$B$2:$B$5001=16)*(Results!$G$2:$G$5001)*1),SUMPRODUCT((Results!$A$2:$A$5001=Schedule!GB$45)*(Results!$B$2:$B$5001=17)*(Results!$G$2:$G$5001)*1),SUMPRODUCT((Results!$A$2:$A$5001=Schedule!GB$45)*(Results!$B$2:$B$5001=18)*(Results!$G$2:$G$5001)*1),SUMPRODUCT((Results!$A$2:$A$5001=Schedule!GB$45)*(Results!$B$2:$B$5001=19)*(Results!$G$2:$G$5001)*1),SUMPRODUCT((Results!$A$2:$A$5001=Schedule!GB$45)*(Results!$B$2:$B$5001=20)*(Results!$G$2:$G$5001)*1))</f>
        <v>0</v>
      </c>
      <c r="GC73" s="88">
        <f>MAX(SUMPRODUCT((Results!$A$2:$A$5001=Schedule!GC$45)*(Results!$B$2:$B$5001=1)*(Results!$G$2:$G$5001)*1),SUMPRODUCT((Results!$A$2:$A$5001=Schedule!GC$45)*(Results!$B$2:$B$5001=2)*(Results!$G$2:$G$5001)*1),SUMPRODUCT((Results!$A$2:$A$5001=Schedule!GC$45)*(Results!$B$2:$B$5001=3)*(Results!$G$2:$G$5001)*1),SUMPRODUCT((Results!$A$2:$A$5001=Schedule!GC$45)*(Results!$B$2:$B$5001=4)*(Results!$G$2:$G$5001)*1),SUMPRODUCT((Results!$A$2:$A$5001=Schedule!GC$45)*(Results!$B$2:$B$5001=5)*(Results!$G$2:$G$5001)*1),SUMPRODUCT((Results!$A$2:$A$5001=Schedule!GC$45)*(Results!$B$2:$B$5001=6)*(Results!$G$2:$G$5001)*1),SUMPRODUCT((Results!$A$2:$A$5001=Schedule!GC$45)*(Results!$B$2:$B$5001=7)*(Results!$G$2:$G$5001)*1),SUMPRODUCT((Results!$A$2:$A$5001=Schedule!GC$45)*(Results!$B$2:$B$5001=8)*(Results!$G$2:$G$5001)*1),SUMPRODUCT((Results!$A$2:$A$5001=Schedule!GC$45)*(Results!$B$2:$B$5001=9)*(Results!$G$2:$G$5001)*1),SUMPRODUCT((Results!$A$2:$A$5001=Schedule!GC$45)*(Results!$B$2:$B$5001=10)*(Results!$G$2:$G$5001)*1),SUMPRODUCT((Results!$A$2:$A$5001=Schedule!GC$45)*(Results!$B$2:$B$5001=11)*(Results!$G$2:$G$5001)*1),SUMPRODUCT((Results!$A$2:$A$5001=Schedule!GC$45)*(Results!$B$2:$B$5001=12)*(Results!$G$2:$G$5001)*1),SUMPRODUCT((Results!$A$2:$A$5001=Schedule!GC$45)*(Results!$B$2:$B$5001=13)*(Results!$G$2:$G$5001)*1),SUMPRODUCT((Results!$A$2:$A$5001=Schedule!GC$45)*(Results!$B$2:$B$5001=14)*(Results!$G$2:$G$5001)*1),SUMPRODUCT((Results!$A$2:$A$5001=Schedule!GC$45)*(Results!$B$2:$B$5001=15)*(Results!$G$2:$G$5001)*1),SUMPRODUCT((Results!$A$2:$A$5001=Schedule!GC$45)*(Results!$B$2:$B$5001=16)*(Results!$G$2:$G$5001)*1),SUMPRODUCT((Results!$A$2:$A$5001=Schedule!GC$45)*(Results!$B$2:$B$5001=17)*(Results!$G$2:$G$5001)*1),SUMPRODUCT((Results!$A$2:$A$5001=Schedule!GC$45)*(Results!$B$2:$B$5001=18)*(Results!$G$2:$G$5001)*1),SUMPRODUCT((Results!$A$2:$A$5001=Schedule!GC$45)*(Results!$B$2:$B$5001=19)*(Results!$G$2:$G$5001)*1),SUMPRODUCT((Results!$A$2:$A$5001=Schedule!GC$45)*(Results!$B$2:$B$5001=20)*(Results!$G$2:$G$5001)*1))</f>
        <v>0</v>
      </c>
      <c r="GD73" s="88">
        <f>MAX(SUMPRODUCT((Results!$A$2:$A$5001=Schedule!GD$45)*(Results!$B$2:$B$5001=1)*(Results!$G$2:$G$5001)*1),SUMPRODUCT((Results!$A$2:$A$5001=Schedule!GD$45)*(Results!$B$2:$B$5001=2)*(Results!$G$2:$G$5001)*1),SUMPRODUCT((Results!$A$2:$A$5001=Schedule!GD$45)*(Results!$B$2:$B$5001=3)*(Results!$G$2:$G$5001)*1),SUMPRODUCT((Results!$A$2:$A$5001=Schedule!GD$45)*(Results!$B$2:$B$5001=4)*(Results!$G$2:$G$5001)*1),SUMPRODUCT((Results!$A$2:$A$5001=Schedule!GD$45)*(Results!$B$2:$B$5001=5)*(Results!$G$2:$G$5001)*1),SUMPRODUCT((Results!$A$2:$A$5001=Schedule!GD$45)*(Results!$B$2:$B$5001=6)*(Results!$G$2:$G$5001)*1),SUMPRODUCT((Results!$A$2:$A$5001=Schedule!GD$45)*(Results!$B$2:$B$5001=7)*(Results!$G$2:$G$5001)*1),SUMPRODUCT((Results!$A$2:$A$5001=Schedule!GD$45)*(Results!$B$2:$B$5001=8)*(Results!$G$2:$G$5001)*1),SUMPRODUCT((Results!$A$2:$A$5001=Schedule!GD$45)*(Results!$B$2:$B$5001=9)*(Results!$G$2:$G$5001)*1),SUMPRODUCT((Results!$A$2:$A$5001=Schedule!GD$45)*(Results!$B$2:$B$5001=10)*(Results!$G$2:$G$5001)*1),SUMPRODUCT((Results!$A$2:$A$5001=Schedule!GD$45)*(Results!$B$2:$B$5001=11)*(Results!$G$2:$G$5001)*1),SUMPRODUCT((Results!$A$2:$A$5001=Schedule!GD$45)*(Results!$B$2:$B$5001=12)*(Results!$G$2:$G$5001)*1),SUMPRODUCT((Results!$A$2:$A$5001=Schedule!GD$45)*(Results!$B$2:$B$5001=13)*(Results!$G$2:$G$5001)*1),SUMPRODUCT((Results!$A$2:$A$5001=Schedule!GD$45)*(Results!$B$2:$B$5001=14)*(Results!$G$2:$G$5001)*1),SUMPRODUCT((Results!$A$2:$A$5001=Schedule!GD$45)*(Results!$B$2:$B$5001=15)*(Results!$G$2:$G$5001)*1),SUMPRODUCT((Results!$A$2:$A$5001=Schedule!GD$45)*(Results!$B$2:$B$5001=16)*(Results!$G$2:$G$5001)*1),SUMPRODUCT((Results!$A$2:$A$5001=Schedule!GD$45)*(Results!$B$2:$B$5001=17)*(Results!$G$2:$G$5001)*1),SUMPRODUCT((Results!$A$2:$A$5001=Schedule!GD$45)*(Results!$B$2:$B$5001=18)*(Results!$G$2:$G$5001)*1),SUMPRODUCT((Results!$A$2:$A$5001=Schedule!GD$45)*(Results!$B$2:$B$5001=19)*(Results!$G$2:$G$5001)*1),SUMPRODUCT((Results!$A$2:$A$5001=Schedule!GD$45)*(Results!$B$2:$B$5001=20)*(Results!$G$2:$G$5001)*1))</f>
        <v>0</v>
      </c>
      <c r="GE73" s="88">
        <f>MAX(SUMPRODUCT((Results!$A$2:$A$5001=Schedule!GE$45)*(Results!$B$2:$B$5001=1)*(Results!$G$2:$G$5001)*1),SUMPRODUCT((Results!$A$2:$A$5001=Schedule!GE$45)*(Results!$B$2:$B$5001=2)*(Results!$G$2:$G$5001)*1),SUMPRODUCT((Results!$A$2:$A$5001=Schedule!GE$45)*(Results!$B$2:$B$5001=3)*(Results!$G$2:$G$5001)*1),SUMPRODUCT((Results!$A$2:$A$5001=Schedule!GE$45)*(Results!$B$2:$B$5001=4)*(Results!$G$2:$G$5001)*1),SUMPRODUCT((Results!$A$2:$A$5001=Schedule!GE$45)*(Results!$B$2:$B$5001=5)*(Results!$G$2:$G$5001)*1),SUMPRODUCT((Results!$A$2:$A$5001=Schedule!GE$45)*(Results!$B$2:$B$5001=6)*(Results!$G$2:$G$5001)*1),SUMPRODUCT((Results!$A$2:$A$5001=Schedule!GE$45)*(Results!$B$2:$B$5001=7)*(Results!$G$2:$G$5001)*1),SUMPRODUCT((Results!$A$2:$A$5001=Schedule!GE$45)*(Results!$B$2:$B$5001=8)*(Results!$G$2:$G$5001)*1),SUMPRODUCT((Results!$A$2:$A$5001=Schedule!GE$45)*(Results!$B$2:$B$5001=9)*(Results!$G$2:$G$5001)*1),SUMPRODUCT((Results!$A$2:$A$5001=Schedule!GE$45)*(Results!$B$2:$B$5001=10)*(Results!$G$2:$G$5001)*1),SUMPRODUCT((Results!$A$2:$A$5001=Schedule!GE$45)*(Results!$B$2:$B$5001=11)*(Results!$G$2:$G$5001)*1),SUMPRODUCT((Results!$A$2:$A$5001=Schedule!GE$45)*(Results!$B$2:$B$5001=12)*(Results!$G$2:$G$5001)*1),SUMPRODUCT((Results!$A$2:$A$5001=Schedule!GE$45)*(Results!$B$2:$B$5001=13)*(Results!$G$2:$G$5001)*1),SUMPRODUCT((Results!$A$2:$A$5001=Schedule!GE$45)*(Results!$B$2:$B$5001=14)*(Results!$G$2:$G$5001)*1),SUMPRODUCT((Results!$A$2:$A$5001=Schedule!GE$45)*(Results!$B$2:$B$5001=15)*(Results!$G$2:$G$5001)*1),SUMPRODUCT((Results!$A$2:$A$5001=Schedule!GE$45)*(Results!$B$2:$B$5001=16)*(Results!$G$2:$G$5001)*1),SUMPRODUCT((Results!$A$2:$A$5001=Schedule!GE$45)*(Results!$B$2:$B$5001=17)*(Results!$G$2:$G$5001)*1),SUMPRODUCT((Results!$A$2:$A$5001=Schedule!GE$45)*(Results!$B$2:$B$5001=18)*(Results!$G$2:$G$5001)*1),SUMPRODUCT((Results!$A$2:$A$5001=Schedule!GE$45)*(Results!$B$2:$B$5001=19)*(Results!$G$2:$G$5001)*1),SUMPRODUCT((Results!$A$2:$A$5001=Schedule!GE$45)*(Results!$B$2:$B$5001=20)*(Results!$G$2:$G$5001)*1))</f>
        <v>0</v>
      </c>
      <c r="GF73" s="88">
        <f>MAX(SUMPRODUCT((Results!$A$2:$A$5001=Schedule!GF$45)*(Results!$B$2:$B$5001=1)*(Results!$G$2:$G$5001)*1),SUMPRODUCT((Results!$A$2:$A$5001=Schedule!GF$45)*(Results!$B$2:$B$5001=2)*(Results!$G$2:$G$5001)*1),SUMPRODUCT((Results!$A$2:$A$5001=Schedule!GF$45)*(Results!$B$2:$B$5001=3)*(Results!$G$2:$G$5001)*1),SUMPRODUCT((Results!$A$2:$A$5001=Schedule!GF$45)*(Results!$B$2:$B$5001=4)*(Results!$G$2:$G$5001)*1),SUMPRODUCT((Results!$A$2:$A$5001=Schedule!GF$45)*(Results!$B$2:$B$5001=5)*(Results!$G$2:$G$5001)*1),SUMPRODUCT((Results!$A$2:$A$5001=Schedule!GF$45)*(Results!$B$2:$B$5001=6)*(Results!$G$2:$G$5001)*1),SUMPRODUCT((Results!$A$2:$A$5001=Schedule!GF$45)*(Results!$B$2:$B$5001=7)*(Results!$G$2:$G$5001)*1),SUMPRODUCT((Results!$A$2:$A$5001=Schedule!GF$45)*(Results!$B$2:$B$5001=8)*(Results!$G$2:$G$5001)*1),SUMPRODUCT((Results!$A$2:$A$5001=Schedule!GF$45)*(Results!$B$2:$B$5001=9)*(Results!$G$2:$G$5001)*1),SUMPRODUCT((Results!$A$2:$A$5001=Schedule!GF$45)*(Results!$B$2:$B$5001=10)*(Results!$G$2:$G$5001)*1),SUMPRODUCT((Results!$A$2:$A$5001=Schedule!GF$45)*(Results!$B$2:$B$5001=11)*(Results!$G$2:$G$5001)*1),SUMPRODUCT((Results!$A$2:$A$5001=Schedule!GF$45)*(Results!$B$2:$B$5001=12)*(Results!$G$2:$G$5001)*1),SUMPRODUCT((Results!$A$2:$A$5001=Schedule!GF$45)*(Results!$B$2:$B$5001=13)*(Results!$G$2:$G$5001)*1),SUMPRODUCT((Results!$A$2:$A$5001=Schedule!GF$45)*(Results!$B$2:$B$5001=14)*(Results!$G$2:$G$5001)*1),SUMPRODUCT((Results!$A$2:$A$5001=Schedule!GF$45)*(Results!$B$2:$B$5001=15)*(Results!$G$2:$G$5001)*1),SUMPRODUCT((Results!$A$2:$A$5001=Schedule!GF$45)*(Results!$B$2:$B$5001=16)*(Results!$G$2:$G$5001)*1),SUMPRODUCT((Results!$A$2:$A$5001=Schedule!GF$45)*(Results!$B$2:$B$5001=17)*(Results!$G$2:$G$5001)*1),SUMPRODUCT((Results!$A$2:$A$5001=Schedule!GF$45)*(Results!$B$2:$B$5001=18)*(Results!$G$2:$G$5001)*1),SUMPRODUCT((Results!$A$2:$A$5001=Schedule!GF$45)*(Results!$B$2:$B$5001=19)*(Results!$G$2:$G$5001)*1),SUMPRODUCT((Results!$A$2:$A$5001=Schedule!GF$45)*(Results!$B$2:$B$5001=20)*(Results!$G$2:$G$5001)*1))</f>
        <v>0</v>
      </c>
      <c r="GG73" s="88">
        <f>MAX(SUMPRODUCT((Results!$A$2:$A$5001=Schedule!GG$45)*(Results!$B$2:$B$5001=1)*(Results!$G$2:$G$5001)*1),SUMPRODUCT((Results!$A$2:$A$5001=Schedule!GG$45)*(Results!$B$2:$B$5001=2)*(Results!$G$2:$G$5001)*1),SUMPRODUCT((Results!$A$2:$A$5001=Schedule!GG$45)*(Results!$B$2:$B$5001=3)*(Results!$G$2:$G$5001)*1),SUMPRODUCT((Results!$A$2:$A$5001=Schedule!GG$45)*(Results!$B$2:$B$5001=4)*(Results!$G$2:$G$5001)*1),SUMPRODUCT((Results!$A$2:$A$5001=Schedule!GG$45)*(Results!$B$2:$B$5001=5)*(Results!$G$2:$G$5001)*1),SUMPRODUCT((Results!$A$2:$A$5001=Schedule!GG$45)*(Results!$B$2:$B$5001=6)*(Results!$G$2:$G$5001)*1),SUMPRODUCT((Results!$A$2:$A$5001=Schedule!GG$45)*(Results!$B$2:$B$5001=7)*(Results!$G$2:$G$5001)*1),SUMPRODUCT((Results!$A$2:$A$5001=Schedule!GG$45)*(Results!$B$2:$B$5001=8)*(Results!$G$2:$G$5001)*1),SUMPRODUCT((Results!$A$2:$A$5001=Schedule!GG$45)*(Results!$B$2:$B$5001=9)*(Results!$G$2:$G$5001)*1),SUMPRODUCT((Results!$A$2:$A$5001=Schedule!GG$45)*(Results!$B$2:$B$5001=10)*(Results!$G$2:$G$5001)*1),SUMPRODUCT((Results!$A$2:$A$5001=Schedule!GG$45)*(Results!$B$2:$B$5001=11)*(Results!$G$2:$G$5001)*1),SUMPRODUCT((Results!$A$2:$A$5001=Schedule!GG$45)*(Results!$B$2:$B$5001=12)*(Results!$G$2:$G$5001)*1),SUMPRODUCT((Results!$A$2:$A$5001=Schedule!GG$45)*(Results!$B$2:$B$5001=13)*(Results!$G$2:$G$5001)*1),SUMPRODUCT((Results!$A$2:$A$5001=Schedule!GG$45)*(Results!$B$2:$B$5001=14)*(Results!$G$2:$G$5001)*1),SUMPRODUCT((Results!$A$2:$A$5001=Schedule!GG$45)*(Results!$B$2:$B$5001=15)*(Results!$G$2:$G$5001)*1),SUMPRODUCT((Results!$A$2:$A$5001=Schedule!GG$45)*(Results!$B$2:$B$5001=16)*(Results!$G$2:$G$5001)*1),SUMPRODUCT((Results!$A$2:$A$5001=Schedule!GG$45)*(Results!$B$2:$B$5001=17)*(Results!$G$2:$G$5001)*1),SUMPRODUCT((Results!$A$2:$A$5001=Schedule!GG$45)*(Results!$B$2:$B$5001=18)*(Results!$G$2:$G$5001)*1),SUMPRODUCT((Results!$A$2:$A$5001=Schedule!GG$45)*(Results!$B$2:$B$5001=19)*(Results!$G$2:$G$5001)*1),SUMPRODUCT((Results!$A$2:$A$5001=Schedule!GG$45)*(Results!$B$2:$B$5001=20)*(Results!$G$2:$G$5001)*1))</f>
        <v>0</v>
      </c>
      <c r="GH73" s="88">
        <f>MAX(SUMPRODUCT((Results!$A$2:$A$5001=Schedule!GH$45)*(Results!$B$2:$B$5001=1)*(Results!$G$2:$G$5001)*1),SUMPRODUCT((Results!$A$2:$A$5001=Schedule!GH$45)*(Results!$B$2:$B$5001=2)*(Results!$G$2:$G$5001)*1),SUMPRODUCT((Results!$A$2:$A$5001=Schedule!GH$45)*(Results!$B$2:$B$5001=3)*(Results!$G$2:$G$5001)*1),SUMPRODUCT((Results!$A$2:$A$5001=Schedule!GH$45)*(Results!$B$2:$B$5001=4)*(Results!$G$2:$G$5001)*1),SUMPRODUCT((Results!$A$2:$A$5001=Schedule!GH$45)*(Results!$B$2:$B$5001=5)*(Results!$G$2:$G$5001)*1),SUMPRODUCT((Results!$A$2:$A$5001=Schedule!GH$45)*(Results!$B$2:$B$5001=6)*(Results!$G$2:$G$5001)*1),SUMPRODUCT((Results!$A$2:$A$5001=Schedule!GH$45)*(Results!$B$2:$B$5001=7)*(Results!$G$2:$G$5001)*1),SUMPRODUCT((Results!$A$2:$A$5001=Schedule!GH$45)*(Results!$B$2:$B$5001=8)*(Results!$G$2:$G$5001)*1),SUMPRODUCT((Results!$A$2:$A$5001=Schedule!GH$45)*(Results!$B$2:$B$5001=9)*(Results!$G$2:$G$5001)*1),SUMPRODUCT((Results!$A$2:$A$5001=Schedule!GH$45)*(Results!$B$2:$B$5001=10)*(Results!$G$2:$G$5001)*1),SUMPRODUCT((Results!$A$2:$A$5001=Schedule!GH$45)*(Results!$B$2:$B$5001=11)*(Results!$G$2:$G$5001)*1),SUMPRODUCT((Results!$A$2:$A$5001=Schedule!GH$45)*(Results!$B$2:$B$5001=12)*(Results!$G$2:$G$5001)*1),SUMPRODUCT((Results!$A$2:$A$5001=Schedule!GH$45)*(Results!$B$2:$B$5001=13)*(Results!$G$2:$G$5001)*1),SUMPRODUCT((Results!$A$2:$A$5001=Schedule!GH$45)*(Results!$B$2:$B$5001=14)*(Results!$G$2:$G$5001)*1),SUMPRODUCT((Results!$A$2:$A$5001=Schedule!GH$45)*(Results!$B$2:$B$5001=15)*(Results!$G$2:$G$5001)*1),SUMPRODUCT((Results!$A$2:$A$5001=Schedule!GH$45)*(Results!$B$2:$B$5001=16)*(Results!$G$2:$G$5001)*1),SUMPRODUCT((Results!$A$2:$A$5001=Schedule!GH$45)*(Results!$B$2:$B$5001=17)*(Results!$G$2:$G$5001)*1),SUMPRODUCT((Results!$A$2:$A$5001=Schedule!GH$45)*(Results!$B$2:$B$5001=18)*(Results!$G$2:$G$5001)*1),SUMPRODUCT((Results!$A$2:$A$5001=Schedule!GH$45)*(Results!$B$2:$B$5001=19)*(Results!$G$2:$G$5001)*1),SUMPRODUCT((Results!$A$2:$A$5001=Schedule!GH$45)*(Results!$B$2:$B$5001=20)*(Results!$G$2:$G$5001)*1))</f>
        <v>0</v>
      </c>
      <c r="GI73" s="88">
        <f>MAX(SUMPRODUCT((Results!$A$2:$A$5001=Schedule!GI$45)*(Results!$B$2:$B$5001=1)*(Results!$G$2:$G$5001)*1),SUMPRODUCT((Results!$A$2:$A$5001=Schedule!GI$45)*(Results!$B$2:$B$5001=2)*(Results!$G$2:$G$5001)*1),SUMPRODUCT((Results!$A$2:$A$5001=Schedule!GI$45)*(Results!$B$2:$B$5001=3)*(Results!$G$2:$G$5001)*1),SUMPRODUCT((Results!$A$2:$A$5001=Schedule!GI$45)*(Results!$B$2:$B$5001=4)*(Results!$G$2:$G$5001)*1),SUMPRODUCT((Results!$A$2:$A$5001=Schedule!GI$45)*(Results!$B$2:$B$5001=5)*(Results!$G$2:$G$5001)*1),SUMPRODUCT((Results!$A$2:$A$5001=Schedule!GI$45)*(Results!$B$2:$B$5001=6)*(Results!$G$2:$G$5001)*1),SUMPRODUCT((Results!$A$2:$A$5001=Schedule!GI$45)*(Results!$B$2:$B$5001=7)*(Results!$G$2:$G$5001)*1),SUMPRODUCT((Results!$A$2:$A$5001=Schedule!GI$45)*(Results!$B$2:$B$5001=8)*(Results!$G$2:$G$5001)*1),SUMPRODUCT((Results!$A$2:$A$5001=Schedule!GI$45)*(Results!$B$2:$B$5001=9)*(Results!$G$2:$G$5001)*1),SUMPRODUCT((Results!$A$2:$A$5001=Schedule!GI$45)*(Results!$B$2:$B$5001=10)*(Results!$G$2:$G$5001)*1),SUMPRODUCT((Results!$A$2:$A$5001=Schedule!GI$45)*(Results!$B$2:$B$5001=11)*(Results!$G$2:$G$5001)*1),SUMPRODUCT((Results!$A$2:$A$5001=Schedule!GI$45)*(Results!$B$2:$B$5001=12)*(Results!$G$2:$G$5001)*1),SUMPRODUCT((Results!$A$2:$A$5001=Schedule!GI$45)*(Results!$B$2:$B$5001=13)*(Results!$G$2:$G$5001)*1),SUMPRODUCT((Results!$A$2:$A$5001=Schedule!GI$45)*(Results!$B$2:$B$5001=14)*(Results!$G$2:$G$5001)*1),SUMPRODUCT((Results!$A$2:$A$5001=Schedule!GI$45)*(Results!$B$2:$B$5001=15)*(Results!$G$2:$G$5001)*1),SUMPRODUCT((Results!$A$2:$A$5001=Schedule!GI$45)*(Results!$B$2:$B$5001=16)*(Results!$G$2:$G$5001)*1),SUMPRODUCT((Results!$A$2:$A$5001=Schedule!GI$45)*(Results!$B$2:$B$5001=17)*(Results!$G$2:$G$5001)*1),SUMPRODUCT((Results!$A$2:$A$5001=Schedule!GI$45)*(Results!$B$2:$B$5001=18)*(Results!$G$2:$G$5001)*1),SUMPRODUCT((Results!$A$2:$A$5001=Schedule!GI$45)*(Results!$B$2:$B$5001=19)*(Results!$G$2:$G$5001)*1),SUMPRODUCT((Results!$A$2:$A$5001=Schedule!GI$45)*(Results!$B$2:$B$5001=20)*(Results!$G$2:$G$5001)*1))</f>
        <v>0</v>
      </c>
      <c r="GJ73" s="88">
        <f>MAX(SUMPRODUCT((Results!$A$2:$A$5001=Schedule!GJ$45)*(Results!$B$2:$B$5001=1)*(Results!$G$2:$G$5001)*1),SUMPRODUCT((Results!$A$2:$A$5001=Schedule!GJ$45)*(Results!$B$2:$B$5001=2)*(Results!$G$2:$G$5001)*1),SUMPRODUCT((Results!$A$2:$A$5001=Schedule!GJ$45)*(Results!$B$2:$B$5001=3)*(Results!$G$2:$G$5001)*1),SUMPRODUCT((Results!$A$2:$A$5001=Schedule!GJ$45)*(Results!$B$2:$B$5001=4)*(Results!$G$2:$G$5001)*1),SUMPRODUCT((Results!$A$2:$A$5001=Schedule!GJ$45)*(Results!$B$2:$B$5001=5)*(Results!$G$2:$G$5001)*1),SUMPRODUCT((Results!$A$2:$A$5001=Schedule!GJ$45)*(Results!$B$2:$B$5001=6)*(Results!$G$2:$G$5001)*1),SUMPRODUCT((Results!$A$2:$A$5001=Schedule!GJ$45)*(Results!$B$2:$B$5001=7)*(Results!$G$2:$G$5001)*1),SUMPRODUCT((Results!$A$2:$A$5001=Schedule!GJ$45)*(Results!$B$2:$B$5001=8)*(Results!$G$2:$G$5001)*1),SUMPRODUCT((Results!$A$2:$A$5001=Schedule!GJ$45)*(Results!$B$2:$B$5001=9)*(Results!$G$2:$G$5001)*1),SUMPRODUCT((Results!$A$2:$A$5001=Schedule!GJ$45)*(Results!$B$2:$B$5001=10)*(Results!$G$2:$G$5001)*1),SUMPRODUCT((Results!$A$2:$A$5001=Schedule!GJ$45)*(Results!$B$2:$B$5001=11)*(Results!$G$2:$G$5001)*1),SUMPRODUCT((Results!$A$2:$A$5001=Schedule!GJ$45)*(Results!$B$2:$B$5001=12)*(Results!$G$2:$G$5001)*1),SUMPRODUCT((Results!$A$2:$A$5001=Schedule!GJ$45)*(Results!$B$2:$B$5001=13)*(Results!$G$2:$G$5001)*1),SUMPRODUCT((Results!$A$2:$A$5001=Schedule!GJ$45)*(Results!$B$2:$B$5001=14)*(Results!$G$2:$G$5001)*1),SUMPRODUCT((Results!$A$2:$A$5001=Schedule!GJ$45)*(Results!$B$2:$B$5001=15)*(Results!$G$2:$G$5001)*1),SUMPRODUCT((Results!$A$2:$A$5001=Schedule!GJ$45)*(Results!$B$2:$B$5001=16)*(Results!$G$2:$G$5001)*1),SUMPRODUCT((Results!$A$2:$A$5001=Schedule!GJ$45)*(Results!$B$2:$B$5001=17)*(Results!$G$2:$G$5001)*1),SUMPRODUCT((Results!$A$2:$A$5001=Schedule!GJ$45)*(Results!$B$2:$B$5001=18)*(Results!$G$2:$G$5001)*1),SUMPRODUCT((Results!$A$2:$A$5001=Schedule!GJ$45)*(Results!$B$2:$B$5001=19)*(Results!$G$2:$G$5001)*1),SUMPRODUCT((Results!$A$2:$A$5001=Schedule!GJ$45)*(Results!$B$2:$B$5001=20)*(Results!$G$2:$G$5001)*1))</f>
        <v>0</v>
      </c>
      <c r="GK73" s="88">
        <f>MAX(SUMPRODUCT((Results!$A$2:$A$5001=Schedule!GK$45)*(Results!$B$2:$B$5001=1)*(Results!$G$2:$G$5001)*1),SUMPRODUCT((Results!$A$2:$A$5001=Schedule!GK$45)*(Results!$B$2:$B$5001=2)*(Results!$G$2:$G$5001)*1),SUMPRODUCT((Results!$A$2:$A$5001=Schedule!GK$45)*(Results!$B$2:$B$5001=3)*(Results!$G$2:$G$5001)*1),SUMPRODUCT((Results!$A$2:$A$5001=Schedule!GK$45)*(Results!$B$2:$B$5001=4)*(Results!$G$2:$G$5001)*1),SUMPRODUCT((Results!$A$2:$A$5001=Schedule!GK$45)*(Results!$B$2:$B$5001=5)*(Results!$G$2:$G$5001)*1),SUMPRODUCT((Results!$A$2:$A$5001=Schedule!GK$45)*(Results!$B$2:$B$5001=6)*(Results!$G$2:$G$5001)*1),SUMPRODUCT((Results!$A$2:$A$5001=Schedule!GK$45)*(Results!$B$2:$B$5001=7)*(Results!$G$2:$G$5001)*1),SUMPRODUCT((Results!$A$2:$A$5001=Schedule!GK$45)*(Results!$B$2:$B$5001=8)*(Results!$G$2:$G$5001)*1),SUMPRODUCT((Results!$A$2:$A$5001=Schedule!GK$45)*(Results!$B$2:$B$5001=9)*(Results!$G$2:$G$5001)*1),SUMPRODUCT((Results!$A$2:$A$5001=Schedule!GK$45)*(Results!$B$2:$B$5001=10)*(Results!$G$2:$G$5001)*1),SUMPRODUCT((Results!$A$2:$A$5001=Schedule!GK$45)*(Results!$B$2:$B$5001=11)*(Results!$G$2:$G$5001)*1),SUMPRODUCT((Results!$A$2:$A$5001=Schedule!GK$45)*(Results!$B$2:$B$5001=12)*(Results!$G$2:$G$5001)*1),SUMPRODUCT((Results!$A$2:$A$5001=Schedule!GK$45)*(Results!$B$2:$B$5001=13)*(Results!$G$2:$G$5001)*1),SUMPRODUCT((Results!$A$2:$A$5001=Schedule!GK$45)*(Results!$B$2:$B$5001=14)*(Results!$G$2:$G$5001)*1),SUMPRODUCT((Results!$A$2:$A$5001=Schedule!GK$45)*(Results!$B$2:$B$5001=15)*(Results!$G$2:$G$5001)*1),SUMPRODUCT((Results!$A$2:$A$5001=Schedule!GK$45)*(Results!$B$2:$B$5001=16)*(Results!$G$2:$G$5001)*1),SUMPRODUCT((Results!$A$2:$A$5001=Schedule!GK$45)*(Results!$B$2:$B$5001=17)*(Results!$G$2:$G$5001)*1),SUMPRODUCT((Results!$A$2:$A$5001=Schedule!GK$45)*(Results!$B$2:$B$5001=18)*(Results!$G$2:$G$5001)*1),SUMPRODUCT((Results!$A$2:$A$5001=Schedule!GK$45)*(Results!$B$2:$B$5001=19)*(Results!$G$2:$G$5001)*1),SUMPRODUCT((Results!$A$2:$A$5001=Schedule!GK$45)*(Results!$B$2:$B$5001=20)*(Results!$G$2:$G$5001)*1))</f>
        <v>0</v>
      </c>
      <c r="GL73" s="88">
        <f>MAX(SUMPRODUCT((Results!$A$2:$A$5001=Schedule!GL$45)*(Results!$B$2:$B$5001=1)*(Results!$G$2:$G$5001)*1),SUMPRODUCT((Results!$A$2:$A$5001=Schedule!GL$45)*(Results!$B$2:$B$5001=2)*(Results!$G$2:$G$5001)*1),SUMPRODUCT((Results!$A$2:$A$5001=Schedule!GL$45)*(Results!$B$2:$B$5001=3)*(Results!$G$2:$G$5001)*1),SUMPRODUCT((Results!$A$2:$A$5001=Schedule!GL$45)*(Results!$B$2:$B$5001=4)*(Results!$G$2:$G$5001)*1),SUMPRODUCT((Results!$A$2:$A$5001=Schedule!GL$45)*(Results!$B$2:$B$5001=5)*(Results!$G$2:$G$5001)*1),SUMPRODUCT((Results!$A$2:$A$5001=Schedule!GL$45)*(Results!$B$2:$B$5001=6)*(Results!$G$2:$G$5001)*1),SUMPRODUCT((Results!$A$2:$A$5001=Schedule!GL$45)*(Results!$B$2:$B$5001=7)*(Results!$G$2:$G$5001)*1),SUMPRODUCT((Results!$A$2:$A$5001=Schedule!GL$45)*(Results!$B$2:$B$5001=8)*(Results!$G$2:$G$5001)*1),SUMPRODUCT((Results!$A$2:$A$5001=Schedule!GL$45)*(Results!$B$2:$B$5001=9)*(Results!$G$2:$G$5001)*1),SUMPRODUCT((Results!$A$2:$A$5001=Schedule!GL$45)*(Results!$B$2:$B$5001=10)*(Results!$G$2:$G$5001)*1),SUMPRODUCT((Results!$A$2:$A$5001=Schedule!GL$45)*(Results!$B$2:$B$5001=11)*(Results!$G$2:$G$5001)*1),SUMPRODUCT((Results!$A$2:$A$5001=Schedule!GL$45)*(Results!$B$2:$B$5001=12)*(Results!$G$2:$G$5001)*1),SUMPRODUCT((Results!$A$2:$A$5001=Schedule!GL$45)*(Results!$B$2:$B$5001=13)*(Results!$G$2:$G$5001)*1),SUMPRODUCT((Results!$A$2:$A$5001=Schedule!GL$45)*(Results!$B$2:$B$5001=14)*(Results!$G$2:$G$5001)*1),SUMPRODUCT((Results!$A$2:$A$5001=Schedule!GL$45)*(Results!$B$2:$B$5001=15)*(Results!$G$2:$G$5001)*1),SUMPRODUCT((Results!$A$2:$A$5001=Schedule!GL$45)*(Results!$B$2:$B$5001=16)*(Results!$G$2:$G$5001)*1),SUMPRODUCT((Results!$A$2:$A$5001=Schedule!GL$45)*(Results!$B$2:$B$5001=17)*(Results!$G$2:$G$5001)*1),SUMPRODUCT((Results!$A$2:$A$5001=Schedule!GL$45)*(Results!$B$2:$B$5001=18)*(Results!$G$2:$G$5001)*1),SUMPRODUCT((Results!$A$2:$A$5001=Schedule!GL$45)*(Results!$B$2:$B$5001=19)*(Results!$G$2:$G$5001)*1),SUMPRODUCT((Results!$A$2:$A$5001=Schedule!GL$45)*(Results!$B$2:$B$5001=20)*(Results!$G$2:$G$5001)*1))</f>
        <v>0</v>
      </c>
      <c r="GM73" s="88">
        <f>MAX(SUMPRODUCT((Results!$A$2:$A$5001=Schedule!GM$45)*(Results!$B$2:$B$5001=1)*(Results!$G$2:$G$5001)*1),SUMPRODUCT((Results!$A$2:$A$5001=Schedule!GM$45)*(Results!$B$2:$B$5001=2)*(Results!$G$2:$G$5001)*1),SUMPRODUCT((Results!$A$2:$A$5001=Schedule!GM$45)*(Results!$B$2:$B$5001=3)*(Results!$G$2:$G$5001)*1),SUMPRODUCT((Results!$A$2:$A$5001=Schedule!GM$45)*(Results!$B$2:$B$5001=4)*(Results!$G$2:$G$5001)*1),SUMPRODUCT((Results!$A$2:$A$5001=Schedule!GM$45)*(Results!$B$2:$B$5001=5)*(Results!$G$2:$G$5001)*1),SUMPRODUCT((Results!$A$2:$A$5001=Schedule!GM$45)*(Results!$B$2:$B$5001=6)*(Results!$G$2:$G$5001)*1),SUMPRODUCT((Results!$A$2:$A$5001=Schedule!GM$45)*(Results!$B$2:$B$5001=7)*(Results!$G$2:$G$5001)*1),SUMPRODUCT((Results!$A$2:$A$5001=Schedule!GM$45)*(Results!$B$2:$B$5001=8)*(Results!$G$2:$G$5001)*1),SUMPRODUCT((Results!$A$2:$A$5001=Schedule!GM$45)*(Results!$B$2:$B$5001=9)*(Results!$G$2:$G$5001)*1),SUMPRODUCT((Results!$A$2:$A$5001=Schedule!GM$45)*(Results!$B$2:$B$5001=10)*(Results!$G$2:$G$5001)*1),SUMPRODUCT((Results!$A$2:$A$5001=Schedule!GM$45)*(Results!$B$2:$B$5001=11)*(Results!$G$2:$G$5001)*1),SUMPRODUCT((Results!$A$2:$A$5001=Schedule!GM$45)*(Results!$B$2:$B$5001=12)*(Results!$G$2:$G$5001)*1),SUMPRODUCT((Results!$A$2:$A$5001=Schedule!GM$45)*(Results!$B$2:$B$5001=13)*(Results!$G$2:$G$5001)*1),SUMPRODUCT((Results!$A$2:$A$5001=Schedule!GM$45)*(Results!$B$2:$B$5001=14)*(Results!$G$2:$G$5001)*1),SUMPRODUCT((Results!$A$2:$A$5001=Schedule!GM$45)*(Results!$B$2:$B$5001=15)*(Results!$G$2:$G$5001)*1),SUMPRODUCT((Results!$A$2:$A$5001=Schedule!GM$45)*(Results!$B$2:$B$5001=16)*(Results!$G$2:$G$5001)*1),SUMPRODUCT((Results!$A$2:$A$5001=Schedule!GM$45)*(Results!$B$2:$B$5001=17)*(Results!$G$2:$G$5001)*1),SUMPRODUCT((Results!$A$2:$A$5001=Schedule!GM$45)*(Results!$B$2:$B$5001=18)*(Results!$G$2:$G$5001)*1),SUMPRODUCT((Results!$A$2:$A$5001=Schedule!GM$45)*(Results!$B$2:$B$5001=19)*(Results!$G$2:$G$5001)*1),SUMPRODUCT((Results!$A$2:$A$5001=Schedule!GM$45)*(Results!$B$2:$B$5001=20)*(Results!$G$2:$G$5001)*1))</f>
        <v>0</v>
      </c>
      <c r="GN73" s="88">
        <f>MAX(SUMPRODUCT((Results!$A$2:$A$5001=Schedule!GN$45)*(Results!$B$2:$B$5001=1)*(Results!$G$2:$G$5001)*1),SUMPRODUCT((Results!$A$2:$A$5001=Schedule!GN$45)*(Results!$B$2:$B$5001=2)*(Results!$G$2:$G$5001)*1),SUMPRODUCT((Results!$A$2:$A$5001=Schedule!GN$45)*(Results!$B$2:$B$5001=3)*(Results!$G$2:$G$5001)*1),SUMPRODUCT((Results!$A$2:$A$5001=Schedule!GN$45)*(Results!$B$2:$B$5001=4)*(Results!$G$2:$G$5001)*1),SUMPRODUCT((Results!$A$2:$A$5001=Schedule!GN$45)*(Results!$B$2:$B$5001=5)*(Results!$G$2:$G$5001)*1),SUMPRODUCT((Results!$A$2:$A$5001=Schedule!GN$45)*(Results!$B$2:$B$5001=6)*(Results!$G$2:$G$5001)*1),SUMPRODUCT((Results!$A$2:$A$5001=Schedule!GN$45)*(Results!$B$2:$B$5001=7)*(Results!$G$2:$G$5001)*1),SUMPRODUCT((Results!$A$2:$A$5001=Schedule!GN$45)*(Results!$B$2:$B$5001=8)*(Results!$G$2:$G$5001)*1),SUMPRODUCT((Results!$A$2:$A$5001=Schedule!GN$45)*(Results!$B$2:$B$5001=9)*(Results!$G$2:$G$5001)*1),SUMPRODUCT((Results!$A$2:$A$5001=Schedule!GN$45)*(Results!$B$2:$B$5001=10)*(Results!$G$2:$G$5001)*1),SUMPRODUCT((Results!$A$2:$A$5001=Schedule!GN$45)*(Results!$B$2:$B$5001=11)*(Results!$G$2:$G$5001)*1),SUMPRODUCT((Results!$A$2:$A$5001=Schedule!GN$45)*(Results!$B$2:$B$5001=12)*(Results!$G$2:$G$5001)*1),SUMPRODUCT((Results!$A$2:$A$5001=Schedule!GN$45)*(Results!$B$2:$B$5001=13)*(Results!$G$2:$G$5001)*1),SUMPRODUCT((Results!$A$2:$A$5001=Schedule!GN$45)*(Results!$B$2:$B$5001=14)*(Results!$G$2:$G$5001)*1),SUMPRODUCT((Results!$A$2:$A$5001=Schedule!GN$45)*(Results!$B$2:$B$5001=15)*(Results!$G$2:$G$5001)*1),SUMPRODUCT((Results!$A$2:$A$5001=Schedule!GN$45)*(Results!$B$2:$B$5001=16)*(Results!$G$2:$G$5001)*1),SUMPRODUCT((Results!$A$2:$A$5001=Schedule!GN$45)*(Results!$B$2:$B$5001=17)*(Results!$G$2:$G$5001)*1),SUMPRODUCT((Results!$A$2:$A$5001=Schedule!GN$45)*(Results!$B$2:$B$5001=18)*(Results!$G$2:$G$5001)*1),SUMPRODUCT((Results!$A$2:$A$5001=Schedule!GN$45)*(Results!$B$2:$B$5001=19)*(Results!$G$2:$G$5001)*1),SUMPRODUCT((Results!$A$2:$A$5001=Schedule!GN$45)*(Results!$B$2:$B$5001=20)*(Results!$G$2:$G$5001)*1))</f>
        <v>0</v>
      </c>
      <c r="GO73" s="88">
        <f>MAX(SUMPRODUCT((Results!$A$2:$A$5001=Schedule!GO$45)*(Results!$B$2:$B$5001=1)*(Results!$G$2:$G$5001)*1),SUMPRODUCT((Results!$A$2:$A$5001=Schedule!GO$45)*(Results!$B$2:$B$5001=2)*(Results!$G$2:$G$5001)*1),SUMPRODUCT((Results!$A$2:$A$5001=Schedule!GO$45)*(Results!$B$2:$B$5001=3)*(Results!$G$2:$G$5001)*1),SUMPRODUCT((Results!$A$2:$A$5001=Schedule!GO$45)*(Results!$B$2:$B$5001=4)*(Results!$G$2:$G$5001)*1),SUMPRODUCT((Results!$A$2:$A$5001=Schedule!GO$45)*(Results!$B$2:$B$5001=5)*(Results!$G$2:$G$5001)*1),SUMPRODUCT((Results!$A$2:$A$5001=Schedule!GO$45)*(Results!$B$2:$B$5001=6)*(Results!$G$2:$G$5001)*1),SUMPRODUCT((Results!$A$2:$A$5001=Schedule!GO$45)*(Results!$B$2:$B$5001=7)*(Results!$G$2:$G$5001)*1),SUMPRODUCT((Results!$A$2:$A$5001=Schedule!GO$45)*(Results!$B$2:$B$5001=8)*(Results!$G$2:$G$5001)*1),SUMPRODUCT((Results!$A$2:$A$5001=Schedule!GO$45)*(Results!$B$2:$B$5001=9)*(Results!$G$2:$G$5001)*1),SUMPRODUCT((Results!$A$2:$A$5001=Schedule!GO$45)*(Results!$B$2:$B$5001=10)*(Results!$G$2:$G$5001)*1),SUMPRODUCT((Results!$A$2:$A$5001=Schedule!GO$45)*(Results!$B$2:$B$5001=11)*(Results!$G$2:$G$5001)*1),SUMPRODUCT((Results!$A$2:$A$5001=Schedule!GO$45)*(Results!$B$2:$B$5001=12)*(Results!$G$2:$G$5001)*1),SUMPRODUCT((Results!$A$2:$A$5001=Schedule!GO$45)*(Results!$B$2:$B$5001=13)*(Results!$G$2:$G$5001)*1),SUMPRODUCT((Results!$A$2:$A$5001=Schedule!GO$45)*(Results!$B$2:$B$5001=14)*(Results!$G$2:$G$5001)*1),SUMPRODUCT((Results!$A$2:$A$5001=Schedule!GO$45)*(Results!$B$2:$B$5001=15)*(Results!$G$2:$G$5001)*1),SUMPRODUCT((Results!$A$2:$A$5001=Schedule!GO$45)*(Results!$B$2:$B$5001=16)*(Results!$G$2:$G$5001)*1),SUMPRODUCT((Results!$A$2:$A$5001=Schedule!GO$45)*(Results!$B$2:$B$5001=17)*(Results!$G$2:$G$5001)*1),SUMPRODUCT((Results!$A$2:$A$5001=Schedule!GO$45)*(Results!$B$2:$B$5001=18)*(Results!$G$2:$G$5001)*1),SUMPRODUCT((Results!$A$2:$A$5001=Schedule!GO$45)*(Results!$B$2:$B$5001=19)*(Results!$G$2:$G$5001)*1),SUMPRODUCT((Results!$A$2:$A$5001=Schedule!GO$45)*(Results!$B$2:$B$5001=20)*(Results!$G$2:$G$5001)*1))</f>
        <v>0</v>
      </c>
      <c r="GP73" s="88">
        <f>MAX(SUMPRODUCT((Results!$A$2:$A$5001=Schedule!GP$45)*(Results!$B$2:$B$5001=1)*(Results!$G$2:$G$5001)*1),SUMPRODUCT((Results!$A$2:$A$5001=Schedule!GP$45)*(Results!$B$2:$B$5001=2)*(Results!$G$2:$G$5001)*1),SUMPRODUCT((Results!$A$2:$A$5001=Schedule!GP$45)*(Results!$B$2:$B$5001=3)*(Results!$G$2:$G$5001)*1),SUMPRODUCT((Results!$A$2:$A$5001=Schedule!GP$45)*(Results!$B$2:$B$5001=4)*(Results!$G$2:$G$5001)*1),SUMPRODUCT((Results!$A$2:$A$5001=Schedule!GP$45)*(Results!$B$2:$B$5001=5)*(Results!$G$2:$G$5001)*1),SUMPRODUCT((Results!$A$2:$A$5001=Schedule!GP$45)*(Results!$B$2:$B$5001=6)*(Results!$G$2:$G$5001)*1),SUMPRODUCT((Results!$A$2:$A$5001=Schedule!GP$45)*(Results!$B$2:$B$5001=7)*(Results!$G$2:$G$5001)*1),SUMPRODUCT((Results!$A$2:$A$5001=Schedule!GP$45)*(Results!$B$2:$B$5001=8)*(Results!$G$2:$G$5001)*1),SUMPRODUCT((Results!$A$2:$A$5001=Schedule!GP$45)*(Results!$B$2:$B$5001=9)*(Results!$G$2:$G$5001)*1),SUMPRODUCT((Results!$A$2:$A$5001=Schedule!GP$45)*(Results!$B$2:$B$5001=10)*(Results!$G$2:$G$5001)*1),SUMPRODUCT((Results!$A$2:$A$5001=Schedule!GP$45)*(Results!$B$2:$B$5001=11)*(Results!$G$2:$G$5001)*1),SUMPRODUCT((Results!$A$2:$A$5001=Schedule!GP$45)*(Results!$B$2:$B$5001=12)*(Results!$G$2:$G$5001)*1),SUMPRODUCT((Results!$A$2:$A$5001=Schedule!GP$45)*(Results!$B$2:$B$5001=13)*(Results!$G$2:$G$5001)*1),SUMPRODUCT((Results!$A$2:$A$5001=Schedule!GP$45)*(Results!$B$2:$B$5001=14)*(Results!$G$2:$G$5001)*1),SUMPRODUCT((Results!$A$2:$A$5001=Schedule!GP$45)*(Results!$B$2:$B$5001=15)*(Results!$G$2:$G$5001)*1),SUMPRODUCT((Results!$A$2:$A$5001=Schedule!GP$45)*(Results!$B$2:$B$5001=16)*(Results!$G$2:$G$5001)*1),SUMPRODUCT((Results!$A$2:$A$5001=Schedule!GP$45)*(Results!$B$2:$B$5001=17)*(Results!$G$2:$G$5001)*1),SUMPRODUCT((Results!$A$2:$A$5001=Schedule!GP$45)*(Results!$B$2:$B$5001=18)*(Results!$G$2:$G$5001)*1),SUMPRODUCT((Results!$A$2:$A$5001=Schedule!GP$45)*(Results!$B$2:$B$5001=19)*(Results!$G$2:$G$5001)*1),SUMPRODUCT((Results!$A$2:$A$5001=Schedule!GP$45)*(Results!$B$2:$B$5001=20)*(Results!$G$2:$G$5001)*1))</f>
        <v>0</v>
      </c>
      <c r="GQ73" s="88">
        <f>MAX(SUMPRODUCT((Results!$A$2:$A$5001=Schedule!GQ$45)*(Results!$B$2:$B$5001=1)*(Results!$G$2:$G$5001)*1),SUMPRODUCT((Results!$A$2:$A$5001=Schedule!GQ$45)*(Results!$B$2:$B$5001=2)*(Results!$G$2:$G$5001)*1),SUMPRODUCT((Results!$A$2:$A$5001=Schedule!GQ$45)*(Results!$B$2:$B$5001=3)*(Results!$G$2:$G$5001)*1),SUMPRODUCT((Results!$A$2:$A$5001=Schedule!GQ$45)*(Results!$B$2:$B$5001=4)*(Results!$G$2:$G$5001)*1),SUMPRODUCT((Results!$A$2:$A$5001=Schedule!GQ$45)*(Results!$B$2:$B$5001=5)*(Results!$G$2:$G$5001)*1),SUMPRODUCT((Results!$A$2:$A$5001=Schedule!GQ$45)*(Results!$B$2:$B$5001=6)*(Results!$G$2:$G$5001)*1),SUMPRODUCT((Results!$A$2:$A$5001=Schedule!GQ$45)*(Results!$B$2:$B$5001=7)*(Results!$G$2:$G$5001)*1),SUMPRODUCT((Results!$A$2:$A$5001=Schedule!GQ$45)*(Results!$B$2:$B$5001=8)*(Results!$G$2:$G$5001)*1),SUMPRODUCT((Results!$A$2:$A$5001=Schedule!GQ$45)*(Results!$B$2:$B$5001=9)*(Results!$G$2:$G$5001)*1),SUMPRODUCT((Results!$A$2:$A$5001=Schedule!GQ$45)*(Results!$B$2:$B$5001=10)*(Results!$G$2:$G$5001)*1),SUMPRODUCT((Results!$A$2:$A$5001=Schedule!GQ$45)*(Results!$B$2:$B$5001=11)*(Results!$G$2:$G$5001)*1),SUMPRODUCT((Results!$A$2:$A$5001=Schedule!GQ$45)*(Results!$B$2:$B$5001=12)*(Results!$G$2:$G$5001)*1),SUMPRODUCT((Results!$A$2:$A$5001=Schedule!GQ$45)*(Results!$B$2:$B$5001=13)*(Results!$G$2:$G$5001)*1),SUMPRODUCT((Results!$A$2:$A$5001=Schedule!GQ$45)*(Results!$B$2:$B$5001=14)*(Results!$G$2:$G$5001)*1),SUMPRODUCT((Results!$A$2:$A$5001=Schedule!GQ$45)*(Results!$B$2:$B$5001=15)*(Results!$G$2:$G$5001)*1),SUMPRODUCT((Results!$A$2:$A$5001=Schedule!GQ$45)*(Results!$B$2:$B$5001=16)*(Results!$G$2:$G$5001)*1),SUMPRODUCT((Results!$A$2:$A$5001=Schedule!GQ$45)*(Results!$B$2:$B$5001=17)*(Results!$G$2:$G$5001)*1),SUMPRODUCT((Results!$A$2:$A$5001=Schedule!GQ$45)*(Results!$B$2:$B$5001=18)*(Results!$G$2:$G$5001)*1),SUMPRODUCT((Results!$A$2:$A$5001=Schedule!GQ$45)*(Results!$B$2:$B$5001=19)*(Results!$G$2:$G$5001)*1),SUMPRODUCT((Results!$A$2:$A$5001=Schedule!GQ$45)*(Results!$B$2:$B$5001=20)*(Results!$G$2:$G$5001)*1))</f>
        <v>0</v>
      </c>
      <c r="GR73" s="88">
        <f>MAX(SUMPRODUCT((Results!$A$2:$A$5001=Schedule!GR$45)*(Results!$B$2:$B$5001=1)*(Results!$G$2:$G$5001)*1),SUMPRODUCT((Results!$A$2:$A$5001=Schedule!GR$45)*(Results!$B$2:$B$5001=2)*(Results!$G$2:$G$5001)*1),SUMPRODUCT((Results!$A$2:$A$5001=Schedule!GR$45)*(Results!$B$2:$B$5001=3)*(Results!$G$2:$G$5001)*1),SUMPRODUCT((Results!$A$2:$A$5001=Schedule!GR$45)*(Results!$B$2:$B$5001=4)*(Results!$G$2:$G$5001)*1),SUMPRODUCT((Results!$A$2:$A$5001=Schedule!GR$45)*(Results!$B$2:$B$5001=5)*(Results!$G$2:$G$5001)*1),SUMPRODUCT((Results!$A$2:$A$5001=Schedule!GR$45)*(Results!$B$2:$B$5001=6)*(Results!$G$2:$G$5001)*1),SUMPRODUCT((Results!$A$2:$A$5001=Schedule!GR$45)*(Results!$B$2:$B$5001=7)*(Results!$G$2:$G$5001)*1),SUMPRODUCT((Results!$A$2:$A$5001=Schedule!GR$45)*(Results!$B$2:$B$5001=8)*(Results!$G$2:$G$5001)*1),SUMPRODUCT((Results!$A$2:$A$5001=Schedule!GR$45)*(Results!$B$2:$B$5001=9)*(Results!$G$2:$G$5001)*1),SUMPRODUCT((Results!$A$2:$A$5001=Schedule!GR$45)*(Results!$B$2:$B$5001=10)*(Results!$G$2:$G$5001)*1),SUMPRODUCT((Results!$A$2:$A$5001=Schedule!GR$45)*(Results!$B$2:$B$5001=11)*(Results!$G$2:$G$5001)*1),SUMPRODUCT((Results!$A$2:$A$5001=Schedule!GR$45)*(Results!$B$2:$B$5001=12)*(Results!$G$2:$G$5001)*1),SUMPRODUCT((Results!$A$2:$A$5001=Schedule!GR$45)*(Results!$B$2:$B$5001=13)*(Results!$G$2:$G$5001)*1),SUMPRODUCT((Results!$A$2:$A$5001=Schedule!GR$45)*(Results!$B$2:$B$5001=14)*(Results!$G$2:$G$5001)*1),SUMPRODUCT((Results!$A$2:$A$5001=Schedule!GR$45)*(Results!$B$2:$B$5001=15)*(Results!$G$2:$G$5001)*1),SUMPRODUCT((Results!$A$2:$A$5001=Schedule!GR$45)*(Results!$B$2:$B$5001=16)*(Results!$G$2:$G$5001)*1),SUMPRODUCT((Results!$A$2:$A$5001=Schedule!GR$45)*(Results!$B$2:$B$5001=17)*(Results!$G$2:$G$5001)*1),SUMPRODUCT((Results!$A$2:$A$5001=Schedule!GR$45)*(Results!$B$2:$B$5001=18)*(Results!$G$2:$G$5001)*1),SUMPRODUCT((Results!$A$2:$A$5001=Schedule!GR$45)*(Results!$B$2:$B$5001=19)*(Results!$G$2:$G$5001)*1),SUMPRODUCT((Results!$A$2:$A$5001=Schedule!GR$45)*(Results!$B$2:$B$5001=20)*(Results!$G$2:$G$5001)*1))</f>
        <v>0</v>
      </c>
      <c r="GS73" s="88">
        <f>MAX(SUMPRODUCT((Results!$A$2:$A$5001=Schedule!GS$45)*(Results!$B$2:$B$5001=1)*(Results!$G$2:$G$5001)*1),SUMPRODUCT((Results!$A$2:$A$5001=Schedule!GS$45)*(Results!$B$2:$B$5001=2)*(Results!$G$2:$G$5001)*1),SUMPRODUCT((Results!$A$2:$A$5001=Schedule!GS$45)*(Results!$B$2:$B$5001=3)*(Results!$G$2:$G$5001)*1),SUMPRODUCT((Results!$A$2:$A$5001=Schedule!GS$45)*(Results!$B$2:$B$5001=4)*(Results!$G$2:$G$5001)*1),SUMPRODUCT((Results!$A$2:$A$5001=Schedule!GS$45)*(Results!$B$2:$B$5001=5)*(Results!$G$2:$G$5001)*1),SUMPRODUCT((Results!$A$2:$A$5001=Schedule!GS$45)*(Results!$B$2:$B$5001=6)*(Results!$G$2:$G$5001)*1),SUMPRODUCT((Results!$A$2:$A$5001=Schedule!GS$45)*(Results!$B$2:$B$5001=7)*(Results!$G$2:$G$5001)*1),SUMPRODUCT((Results!$A$2:$A$5001=Schedule!GS$45)*(Results!$B$2:$B$5001=8)*(Results!$G$2:$G$5001)*1),SUMPRODUCT((Results!$A$2:$A$5001=Schedule!GS$45)*(Results!$B$2:$B$5001=9)*(Results!$G$2:$G$5001)*1),SUMPRODUCT((Results!$A$2:$A$5001=Schedule!GS$45)*(Results!$B$2:$B$5001=10)*(Results!$G$2:$G$5001)*1),SUMPRODUCT((Results!$A$2:$A$5001=Schedule!GS$45)*(Results!$B$2:$B$5001=11)*(Results!$G$2:$G$5001)*1),SUMPRODUCT((Results!$A$2:$A$5001=Schedule!GS$45)*(Results!$B$2:$B$5001=12)*(Results!$G$2:$G$5001)*1),SUMPRODUCT((Results!$A$2:$A$5001=Schedule!GS$45)*(Results!$B$2:$B$5001=13)*(Results!$G$2:$G$5001)*1),SUMPRODUCT((Results!$A$2:$A$5001=Schedule!GS$45)*(Results!$B$2:$B$5001=14)*(Results!$G$2:$G$5001)*1),SUMPRODUCT((Results!$A$2:$A$5001=Schedule!GS$45)*(Results!$B$2:$B$5001=15)*(Results!$G$2:$G$5001)*1),SUMPRODUCT((Results!$A$2:$A$5001=Schedule!GS$45)*(Results!$B$2:$B$5001=16)*(Results!$G$2:$G$5001)*1),SUMPRODUCT((Results!$A$2:$A$5001=Schedule!GS$45)*(Results!$B$2:$B$5001=17)*(Results!$G$2:$G$5001)*1),SUMPRODUCT((Results!$A$2:$A$5001=Schedule!GS$45)*(Results!$B$2:$B$5001=18)*(Results!$G$2:$G$5001)*1),SUMPRODUCT((Results!$A$2:$A$5001=Schedule!GS$45)*(Results!$B$2:$B$5001=19)*(Results!$G$2:$G$5001)*1),SUMPRODUCT((Results!$A$2:$A$5001=Schedule!GS$45)*(Results!$B$2:$B$5001=20)*(Results!$G$2:$G$5001)*1))</f>
        <v>0</v>
      </c>
      <c r="GT73" s="88">
        <f>MAX(SUMPRODUCT((Results!$A$2:$A$5001=Schedule!GT$45)*(Results!$B$2:$B$5001=1)*(Results!$G$2:$G$5001)*1),SUMPRODUCT((Results!$A$2:$A$5001=Schedule!GT$45)*(Results!$B$2:$B$5001=2)*(Results!$G$2:$G$5001)*1),SUMPRODUCT((Results!$A$2:$A$5001=Schedule!GT$45)*(Results!$B$2:$B$5001=3)*(Results!$G$2:$G$5001)*1),SUMPRODUCT((Results!$A$2:$A$5001=Schedule!GT$45)*(Results!$B$2:$B$5001=4)*(Results!$G$2:$G$5001)*1),SUMPRODUCT((Results!$A$2:$A$5001=Schedule!GT$45)*(Results!$B$2:$B$5001=5)*(Results!$G$2:$G$5001)*1),SUMPRODUCT((Results!$A$2:$A$5001=Schedule!GT$45)*(Results!$B$2:$B$5001=6)*(Results!$G$2:$G$5001)*1),SUMPRODUCT((Results!$A$2:$A$5001=Schedule!GT$45)*(Results!$B$2:$B$5001=7)*(Results!$G$2:$G$5001)*1),SUMPRODUCT((Results!$A$2:$A$5001=Schedule!GT$45)*(Results!$B$2:$B$5001=8)*(Results!$G$2:$G$5001)*1),SUMPRODUCT((Results!$A$2:$A$5001=Schedule!GT$45)*(Results!$B$2:$B$5001=9)*(Results!$G$2:$G$5001)*1),SUMPRODUCT((Results!$A$2:$A$5001=Schedule!GT$45)*(Results!$B$2:$B$5001=10)*(Results!$G$2:$G$5001)*1),SUMPRODUCT((Results!$A$2:$A$5001=Schedule!GT$45)*(Results!$B$2:$B$5001=11)*(Results!$G$2:$G$5001)*1),SUMPRODUCT((Results!$A$2:$A$5001=Schedule!GT$45)*(Results!$B$2:$B$5001=12)*(Results!$G$2:$G$5001)*1),SUMPRODUCT((Results!$A$2:$A$5001=Schedule!GT$45)*(Results!$B$2:$B$5001=13)*(Results!$G$2:$G$5001)*1),SUMPRODUCT((Results!$A$2:$A$5001=Schedule!GT$45)*(Results!$B$2:$B$5001=14)*(Results!$G$2:$G$5001)*1),SUMPRODUCT((Results!$A$2:$A$5001=Schedule!GT$45)*(Results!$B$2:$B$5001=15)*(Results!$G$2:$G$5001)*1),SUMPRODUCT((Results!$A$2:$A$5001=Schedule!GT$45)*(Results!$B$2:$B$5001=16)*(Results!$G$2:$G$5001)*1),SUMPRODUCT((Results!$A$2:$A$5001=Schedule!GT$45)*(Results!$B$2:$B$5001=17)*(Results!$G$2:$G$5001)*1),SUMPRODUCT((Results!$A$2:$A$5001=Schedule!GT$45)*(Results!$B$2:$B$5001=18)*(Results!$G$2:$G$5001)*1),SUMPRODUCT((Results!$A$2:$A$5001=Schedule!GT$45)*(Results!$B$2:$B$5001=19)*(Results!$G$2:$G$5001)*1),SUMPRODUCT((Results!$A$2:$A$5001=Schedule!GT$45)*(Results!$B$2:$B$5001=20)*(Results!$G$2:$G$5001)*1))</f>
        <v>0</v>
      </c>
      <c r="GU73" s="88">
        <f>MAX(SUMPRODUCT((Results!$A$2:$A$5001=Schedule!GU$45)*(Results!$B$2:$B$5001=1)*(Results!$G$2:$G$5001)*1),SUMPRODUCT((Results!$A$2:$A$5001=Schedule!GU$45)*(Results!$B$2:$B$5001=2)*(Results!$G$2:$G$5001)*1),SUMPRODUCT((Results!$A$2:$A$5001=Schedule!GU$45)*(Results!$B$2:$B$5001=3)*(Results!$G$2:$G$5001)*1),SUMPRODUCT((Results!$A$2:$A$5001=Schedule!GU$45)*(Results!$B$2:$B$5001=4)*(Results!$G$2:$G$5001)*1),SUMPRODUCT((Results!$A$2:$A$5001=Schedule!GU$45)*(Results!$B$2:$B$5001=5)*(Results!$G$2:$G$5001)*1),SUMPRODUCT((Results!$A$2:$A$5001=Schedule!GU$45)*(Results!$B$2:$B$5001=6)*(Results!$G$2:$G$5001)*1),SUMPRODUCT((Results!$A$2:$A$5001=Schedule!GU$45)*(Results!$B$2:$B$5001=7)*(Results!$G$2:$G$5001)*1),SUMPRODUCT((Results!$A$2:$A$5001=Schedule!GU$45)*(Results!$B$2:$B$5001=8)*(Results!$G$2:$G$5001)*1),SUMPRODUCT((Results!$A$2:$A$5001=Schedule!GU$45)*(Results!$B$2:$B$5001=9)*(Results!$G$2:$G$5001)*1),SUMPRODUCT((Results!$A$2:$A$5001=Schedule!GU$45)*(Results!$B$2:$B$5001=10)*(Results!$G$2:$G$5001)*1),SUMPRODUCT((Results!$A$2:$A$5001=Schedule!GU$45)*(Results!$B$2:$B$5001=11)*(Results!$G$2:$G$5001)*1),SUMPRODUCT((Results!$A$2:$A$5001=Schedule!GU$45)*(Results!$B$2:$B$5001=12)*(Results!$G$2:$G$5001)*1),SUMPRODUCT((Results!$A$2:$A$5001=Schedule!GU$45)*(Results!$B$2:$B$5001=13)*(Results!$G$2:$G$5001)*1),SUMPRODUCT((Results!$A$2:$A$5001=Schedule!GU$45)*(Results!$B$2:$B$5001=14)*(Results!$G$2:$G$5001)*1),SUMPRODUCT((Results!$A$2:$A$5001=Schedule!GU$45)*(Results!$B$2:$B$5001=15)*(Results!$G$2:$G$5001)*1),SUMPRODUCT((Results!$A$2:$A$5001=Schedule!GU$45)*(Results!$B$2:$B$5001=16)*(Results!$G$2:$G$5001)*1),SUMPRODUCT((Results!$A$2:$A$5001=Schedule!GU$45)*(Results!$B$2:$B$5001=17)*(Results!$G$2:$G$5001)*1),SUMPRODUCT((Results!$A$2:$A$5001=Schedule!GU$45)*(Results!$B$2:$B$5001=18)*(Results!$G$2:$G$5001)*1),SUMPRODUCT((Results!$A$2:$A$5001=Schedule!GU$45)*(Results!$B$2:$B$5001=19)*(Results!$G$2:$G$5001)*1),SUMPRODUCT((Results!$A$2:$A$5001=Schedule!GU$45)*(Results!$B$2:$B$5001=20)*(Results!$G$2:$G$5001)*1))</f>
        <v>0</v>
      </c>
      <c r="GV73" s="88"/>
    </row>
    <row r="74" spans="1:204" ht="13.5" customHeight="1" x14ac:dyDescent="0.2">
      <c r="A74" s="40" t="str">
        <f t="shared" ref="A74:B78" si="36">A30</f>
        <v>GRADE1</v>
      </c>
      <c r="B74" s="40" t="str">
        <f t="shared" si="36"/>
        <v>Fe</v>
      </c>
      <c r="C74" s="6">
        <f>IF(C$72&gt;0,SUMPRODUCT((Results!$A$2:$A$5001=Schedule!C$45)*(Results!$F$2:$F$5001)*(Results!$H$2:$H$5001))/C$72,0)</f>
        <v>59.094250306650324</v>
      </c>
      <c r="D74" s="6">
        <f>IF(D$72&gt;0,SUMPRODUCT((Results!$A$2:$A$5001=Schedule!D$45)*(Results!$F$2:$F$5001)*(Results!$H$2:$H$5001))/D$72,0)</f>
        <v>60.408093088782209</v>
      </c>
      <c r="E74" s="6">
        <f>IF(E$72&gt;0,SUMPRODUCT((Results!$A$2:$A$5001=Schedule!E$45)*(Results!$F$2:$F$5001)*(Results!$H$2:$H$5001))/E$72,0)</f>
        <v>60.450683506884339</v>
      </c>
      <c r="F74" s="6">
        <f>IF(F$72&gt;0,SUMPRODUCT((Results!$A$2:$A$5001=Schedule!F$45)*(Results!$F$2:$F$5001)*(Results!$H$2:$H$5001))/F$72,0)</f>
        <v>60.407046904265165</v>
      </c>
      <c r="G74" s="6">
        <f>IF(G$72&gt;0,SUMPRODUCT((Results!$A$2:$A$5001=Schedule!G$45)*(Results!$F$2:$F$5001)*(Results!$H$2:$H$5001))/G$72,0)</f>
        <v>60.00653074124056</v>
      </c>
      <c r="H74" s="6">
        <f>IF(H$72&gt;0,SUMPRODUCT((Results!$A$2:$A$5001=Schedule!H$45)*(Results!$F$2:$F$5001)*(Results!$H$2:$H$5001))/H$72,0)</f>
        <v>57.704737124052976</v>
      </c>
      <c r="I74" s="6">
        <f>IF(I$72&gt;0,SUMPRODUCT((Results!$A$2:$A$5001=Schedule!I$45)*(Results!$F$2:$F$5001)*(Results!$H$2:$H$5001))/I$72,0)</f>
        <v>0</v>
      </c>
      <c r="J74" s="6">
        <f>IF(J$72&gt;0,SUMPRODUCT((Results!$A$2:$A$5001=Schedule!J$45)*(Results!$F$2:$F$5001)*(Results!$H$2:$H$5001))/J$72,0)</f>
        <v>0</v>
      </c>
      <c r="K74" s="6">
        <f>IF(K$72&gt;0,SUMPRODUCT((Results!$A$2:$A$5001=Schedule!K$45)*(Results!$F$2:$F$5001)*(Results!$H$2:$H$5001))/K$72,0)</f>
        <v>0</v>
      </c>
      <c r="L74" s="6">
        <f>IF(L$72&gt;0,SUMPRODUCT((Results!$A$2:$A$5001=Schedule!L$45)*(Results!$F$2:$F$5001)*(Results!$H$2:$H$5001))/L$72,0)</f>
        <v>0</v>
      </c>
      <c r="M74" s="6">
        <f>IF(M$72&gt;0,SUMPRODUCT((Results!$A$2:$A$5001=Schedule!M$45)*(Results!$F$2:$F$5001)*(Results!$H$2:$H$5001))/M$72,0)</f>
        <v>0</v>
      </c>
      <c r="N74" s="6">
        <f>IF(N$72&gt;0,SUMPRODUCT((Results!$A$2:$A$5001=Schedule!N$45)*(Results!$F$2:$F$5001)*(Results!$H$2:$H$5001))/N$72,0)</f>
        <v>0</v>
      </c>
      <c r="O74" s="6">
        <f>IF(O$72&gt;0,SUMPRODUCT((Results!$A$2:$A$5001=Schedule!O$45)*(Results!$F$2:$F$5001)*(Results!$H$2:$H$5001))/O$72,0)</f>
        <v>0</v>
      </c>
      <c r="P74" s="6">
        <f>IF(P$72&gt;0,SUMPRODUCT((Results!$A$2:$A$5001=Schedule!P$45)*(Results!$F$2:$F$5001)*(Results!$H$2:$H$5001))/P$72,0)</f>
        <v>0</v>
      </c>
      <c r="Q74" s="6">
        <f>IF(Q$72&gt;0,SUMPRODUCT((Results!$A$2:$A$5001=Schedule!Q$45)*(Results!$F$2:$F$5001)*(Results!$H$2:$H$5001))/Q$72,0)</f>
        <v>0</v>
      </c>
      <c r="R74" s="6">
        <f>IF(R$72&gt;0,SUMPRODUCT((Results!$A$2:$A$5001=Schedule!R$45)*(Results!$F$2:$F$5001)*(Results!$H$2:$H$5001))/R$72,0)</f>
        <v>0</v>
      </c>
      <c r="S74" s="6">
        <f>IF(S$72&gt;0,SUMPRODUCT((Results!$A$2:$A$5001=Schedule!S$45)*(Results!$F$2:$F$5001)*(Results!$H$2:$H$5001))/S$72,0)</f>
        <v>0</v>
      </c>
      <c r="T74" s="6">
        <f>IF(T$72&gt;0,SUMPRODUCT((Results!$A$2:$A$5001=Schedule!T$45)*(Results!$F$2:$F$5001)*(Results!$H$2:$H$5001))/T$72,0)</f>
        <v>0</v>
      </c>
      <c r="U74" s="6">
        <f>IF(U$72&gt;0,SUMPRODUCT((Results!$A$2:$A$5001=Schedule!U$45)*(Results!$F$2:$F$5001)*(Results!$H$2:$H$5001))/U$72,0)</f>
        <v>0</v>
      </c>
      <c r="V74" s="6">
        <f>IF(V$72&gt;0,SUMPRODUCT((Results!$A$2:$A$5001=Schedule!V$45)*(Results!$F$2:$F$5001)*(Results!$H$2:$H$5001))/V$72,0)</f>
        <v>0</v>
      </c>
      <c r="W74" s="6">
        <f>IF(W$72&gt;0,SUMPRODUCT((Results!$A$2:$A$5001=Schedule!W$45)*(Results!$F$2:$F$5001)*(Results!$H$2:$H$5001))/W$72,0)</f>
        <v>0</v>
      </c>
      <c r="X74" s="6">
        <f>IF(X$72&gt;0,SUMPRODUCT((Results!$A$2:$A$5001=Schedule!X$45)*(Results!$F$2:$F$5001)*(Results!$H$2:$H$5001))/X$72,0)</f>
        <v>0</v>
      </c>
      <c r="Y74" s="6">
        <f>IF(Y$72&gt;0,SUMPRODUCT((Results!$A$2:$A$5001=Schedule!Y$45)*(Results!$F$2:$F$5001)*(Results!$H$2:$H$5001))/Y$72,0)</f>
        <v>0</v>
      </c>
      <c r="Z74" s="6">
        <f>IF(Z$72&gt;0,SUMPRODUCT((Results!$A$2:$A$5001=Schedule!Z$45)*(Results!$F$2:$F$5001)*(Results!$H$2:$H$5001))/Z$72,0)</f>
        <v>0</v>
      </c>
      <c r="AA74" s="6">
        <f>IF(AA$72&gt;0,SUMPRODUCT((Results!$A$2:$A$5001=Schedule!AA$45)*(Results!$F$2:$F$5001)*(Results!$H$2:$H$5001))/AA$72,0)</f>
        <v>0</v>
      </c>
      <c r="AB74" s="6">
        <f>IF(AB$72&gt;0,SUMPRODUCT((Results!$A$2:$A$5001=Schedule!AB$45)*(Results!$F$2:$F$5001)*(Results!$H$2:$H$5001))/AB$72,0)</f>
        <v>0</v>
      </c>
      <c r="AC74" s="6">
        <f>IF(AC$72&gt;0,SUMPRODUCT((Results!$A$2:$A$5001=Schedule!AC$45)*(Results!$F$2:$F$5001)*(Results!$H$2:$H$5001))/AC$72,0)</f>
        <v>0</v>
      </c>
      <c r="AD74" s="6">
        <f>IF(AD$72&gt;0,SUMPRODUCT((Results!$A$2:$A$5001=Schedule!AD$45)*(Results!$F$2:$F$5001)*(Results!$H$2:$H$5001))/AD$72,0)</f>
        <v>0</v>
      </c>
      <c r="AE74" s="6">
        <f>IF(AE$72&gt;0,SUMPRODUCT((Results!$A$2:$A$5001=Schedule!AE$45)*(Results!$F$2:$F$5001)*(Results!$H$2:$H$5001))/AE$72,0)</f>
        <v>0</v>
      </c>
      <c r="AF74" s="6">
        <f>IF(AF$72&gt;0,SUMPRODUCT((Results!$A$2:$A$5001=Schedule!AF$45)*(Results!$F$2:$F$5001)*(Results!$H$2:$H$5001))/AF$72,0)</f>
        <v>0</v>
      </c>
      <c r="AG74" s="6">
        <f>IF(AG$72&gt;0,SUMPRODUCT((Results!$A$2:$A$5001=Schedule!AG$45)*(Results!$F$2:$F$5001)*(Results!$H$2:$H$5001))/AG$72,0)</f>
        <v>0</v>
      </c>
      <c r="AH74" s="6">
        <f>IF(AH$72&gt;0,SUMPRODUCT((Results!$A$2:$A$5001=Schedule!AH$45)*(Results!$F$2:$F$5001)*(Results!$H$2:$H$5001))/AH$72,0)</f>
        <v>0</v>
      </c>
      <c r="AI74" s="6">
        <f>IF(AI$72&gt;0,SUMPRODUCT((Results!$A$2:$A$5001=Schedule!AI$45)*(Results!$F$2:$F$5001)*(Results!$H$2:$H$5001))/AI$72,0)</f>
        <v>0</v>
      </c>
      <c r="AJ74" s="6">
        <f>IF(AJ$72&gt;0,SUMPRODUCT((Results!$A$2:$A$5001=Schedule!AJ$45)*(Results!$F$2:$F$5001)*(Results!$H$2:$H$5001))/AJ$72,0)</f>
        <v>0</v>
      </c>
      <c r="AK74" s="6">
        <f>IF(AK$72&gt;0,SUMPRODUCT((Results!$A$2:$A$5001=Schedule!AK$45)*(Results!$F$2:$F$5001)*(Results!$H$2:$H$5001))/AK$72,0)</f>
        <v>0</v>
      </c>
      <c r="AL74" s="6">
        <f>IF(AL$72&gt;0,SUMPRODUCT((Results!$A$2:$A$5001=Schedule!AL$45)*(Results!$F$2:$F$5001)*(Results!$H$2:$H$5001))/AL$72,0)</f>
        <v>0</v>
      </c>
      <c r="AM74" s="6">
        <f>IF(AM$72&gt;0,SUMPRODUCT((Results!$A$2:$A$5001=Schedule!AM$45)*(Results!$F$2:$F$5001)*(Results!$H$2:$H$5001))/AM$72,0)</f>
        <v>0</v>
      </c>
      <c r="AN74" s="6">
        <f>IF(AN$72&gt;0,SUMPRODUCT((Results!$A$2:$A$5001=Schedule!AN$45)*(Results!$F$2:$F$5001)*(Results!$H$2:$H$5001))/AN$72,0)</f>
        <v>0</v>
      </c>
      <c r="AO74" s="6">
        <f>IF(AO$72&gt;0,SUMPRODUCT((Results!$A$2:$A$5001=Schedule!AO$45)*(Results!$F$2:$F$5001)*(Results!$H$2:$H$5001))/AO$72,0)</f>
        <v>0</v>
      </c>
      <c r="AP74" s="6">
        <f>IF(AP$72&gt;0,SUMPRODUCT((Results!$A$2:$A$5001=Schedule!AP$45)*(Results!$F$2:$F$5001)*(Results!$H$2:$H$5001))/AP$72,0)</f>
        <v>0</v>
      </c>
      <c r="AQ74" s="6">
        <f>IF(AQ$72&gt;0,SUMPRODUCT((Results!$A$2:$A$5001=Schedule!AQ$45)*(Results!$F$2:$F$5001)*(Results!$H$2:$H$5001))/AQ$72,0)</f>
        <v>0</v>
      </c>
      <c r="AR74" s="6">
        <f>IF(AR$72&gt;0,SUMPRODUCT((Results!$A$2:$A$5001=Schedule!AR$45)*(Results!$F$2:$F$5001)*(Results!$H$2:$H$5001))/AR$72,0)</f>
        <v>0</v>
      </c>
      <c r="AS74" s="6">
        <f>IF(AS$72&gt;0,SUMPRODUCT((Results!$A$2:$A$5001=Schedule!AS$45)*(Results!$F$2:$F$5001)*(Results!$H$2:$H$5001))/AS$72,0)</f>
        <v>0</v>
      </c>
      <c r="AT74" s="6">
        <f>IF(AT$72&gt;0,SUMPRODUCT((Results!$A$2:$A$5001=Schedule!AT$45)*(Results!$F$2:$F$5001)*(Results!$H$2:$H$5001))/AT$72,0)</f>
        <v>0</v>
      </c>
      <c r="AU74" s="6">
        <f>IF(AU$72&gt;0,SUMPRODUCT((Results!$A$2:$A$5001=Schedule!AU$45)*(Results!$F$2:$F$5001)*(Results!$H$2:$H$5001))/AU$72,0)</f>
        <v>0</v>
      </c>
      <c r="AV74" s="6">
        <f>IF(AV$72&gt;0,SUMPRODUCT((Results!$A$2:$A$5001=Schedule!AV$45)*(Results!$F$2:$F$5001)*(Results!$H$2:$H$5001))/AV$72,0)</f>
        <v>0</v>
      </c>
      <c r="AW74" s="6">
        <f>IF(AW$72&gt;0,SUMPRODUCT((Results!$A$2:$A$5001=Schedule!AW$45)*(Results!$F$2:$F$5001)*(Results!$H$2:$H$5001))/AW$72,0)</f>
        <v>0</v>
      </c>
      <c r="AX74" s="6">
        <f>IF(AX$72&gt;0,SUMPRODUCT((Results!$A$2:$A$5001=Schedule!AX$45)*(Results!$F$2:$F$5001)*(Results!$H$2:$H$5001))/AX$72,0)</f>
        <v>0</v>
      </c>
      <c r="AY74" s="6">
        <f>IF(AY$72&gt;0,SUMPRODUCT((Results!$A$2:$A$5001=Schedule!AY$45)*(Results!$F$2:$F$5001)*(Results!$H$2:$H$5001))/AY$72,0)</f>
        <v>0</v>
      </c>
      <c r="AZ74" s="6">
        <f>IF(AZ$72&gt;0,SUMPRODUCT((Results!$A$2:$A$5001=Schedule!AZ$45)*(Results!$F$2:$F$5001)*(Results!$H$2:$H$5001))/AZ$72,0)</f>
        <v>0</v>
      </c>
      <c r="BA74" s="6">
        <f>IF(BA$72&gt;0,SUMPRODUCT((Results!$A$2:$A$5001=Schedule!BA$45)*(Results!$F$2:$F$5001)*(Results!$H$2:$H$5001))/BA$72,0)</f>
        <v>0</v>
      </c>
      <c r="BB74" s="6">
        <f>IF(BB$72&gt;0,SUMPRODUCT((Results!$A$2:$A$5001=Schedule!BB$45)*(Results!$F$2:$F$5001)*(Results!$H$2:$H$5001))/BB$72,0)</f>
        <v>0</v>
      </c>
      <c r="BC74" s="6">
        <f>IF(BC$72&gt;0,SUMPRODUCT((Results!$A$2:$A$5001=Schedule!BC$45)*(Results!$F$2:$F$5001)*(Results!$H$2:$H$5001))/BC$72,0)</f>
        <v>0</v>
      </c>
      <c r="BD74" s="6">
        <f>IF(BD$72&gt;0,SUMPRODUCT((Results!$A$2:$A$5001=Schedule!BD$45)*(Results!$F$2:$F$5001)*(Results!$H$2:$H$5001))/BD$72,0)</f>
        <v>0</v>
      </c>
      <c r="BE74" s="6">
        <f>IF(BE$72&gt;0,SUMPRODUCT((Results!$A$2:$A$5001=Schedule!BE$45)*(Results!$F$2:$F$5001)*(Results!$H$2:$H$5001))/BE$72,0)</f>
        <v>0</v>
      </c>
      <c r="BF74" s="6">
        <f>IF(BF$72&gt;0,SUMPRODUCT((Results!$A$2:$A$5001=Schedule!BF$45)*(Results!$F$2:$F$5001)*(Results!$H$2:$H$5001))/BF$72,0)</f>
        <v>0</v>
      </c>
      <c r="BG74" s="6">
        <f>IF(BG$72&gt;0,SUMPRODUCT((Results!$A$2:$A$5001=Schedule!BG$45)*(Results!$F$2:$F$5001)*(Results!$H$2:$H$5001))/BG$72,0)</f>
        <v>0</v>
      </c>
      <c r="BH74" s="6">
        <f>IF(BH$72&gt;0,SUMPRODUCT((Results!$A$2:$A$5001=Schedule!BH$45)*(Results!$F$2:$F$5001)*(Results!$H$2:$H$5001))/BH$72,0)</f>
        <v>0</v>
      </c>
      <c r="BI74" s="6">
        <f>IF(BI$72&gt;0,SUMPRODUCT((Results!$A$2:$A$5001=Schedule!BI$45)*(Results!$F$2:$F$5001)*(Results!$H$2:$H$5001))/BI$72,0)</f>
        <v>0</v>
      </c>
      <c r="BJ74" s="6">
        <f>IF(BJ$72&gt;0,SUMPRODUCT((Results!$A$2:$A$5001=Schedule!BJ$45)*(Results!$F$2:$F$5001)*(Results!$H$2:$H$5001))/BJ$72,0)</f>
        <v>0</v>
      </c>
      <c r="BK74" s="6">
        <f>IF(BK$72&gt;0,SUMPRODUCT((Results!$A$2:$A$5001=Schedule!BK$45)*(Results!$F$2:$F$5001)*(Results!$H$2:$H$5001))/BK$72,0)</f>
        <v>0</v>
      </c>
      <c r="BL74" s="6">
        <f>IF(BL$72&gt;0,SUMPRODUCT((Results!$A$2:$A$5001=Schedule!BL$45)*(Results!$F$2:$F$5001)*(Results!$H$2:$H$5001))/BL$72,0)</f>
        <v>0</v>
      </c>
      <c r="BM74" s="6">
        <f>IF(BM$72&gt;0,SUMPRODUCT((Results!$A$2:$A$5001=Schedule!BM$45)*(Results!$F$2:$F$5001)*(Results!$H$2:$H$5001))/BM$72,0)</f>
        <v>0</v>
      </c>
      <c r="BN74" s="6">
        <f>IF(BN$72&gt;0,SUMPRODUCT((Results!$A$2:$A$5001=Schedule!BN$45)*(Results!$F$2:$F$5001)*(Results!$H$2:$H$5001))/BN$72,0)</f>
        <v>0</v>
      </c>
      <c r="BO74" s="6">
        <f>IF(BO$72&gt;0,SUMPRODUCT((Results!$A$2:$A$5001=Schedule!BO$45)*(Results!$F$2:$F$5001)*(Results!$H$2:$H$5001))/BO$72,0)</f>
        <v>0</v>
      </c>
      <c r="BP74" s="6">
        <f>IF(BP$72&gt;0,SUMPRODUCT((Results!$A$2:$A$5001=Schedule!BP$45)*(Results!$F$2:$F$5001)*(Results!$H$2:$H$5001))/BP$72,0)</f>
        <v>0</v>
      </c>
      <c r="BQ74" s="6">
        <f>IF(BQ$72&gt;0,SUMPRODUCT((Results!$A$2:$A$5001=Schedule!BQ$45)*(Results!$F$2:$F$5001)*(Results!$H$2:$H$5001))/BQ$72,0)</f>
        <v>0</v>
      </c>
      <c r="BR74" s="6">
        <f>IF(BR$72&gt;0,SUMPRODUCT((Results!$A$2:$A$5001=Schedule!BR$45)*(Results!$F$2:$F$5001)*(Results!$H$2:$H$5001))/BR$72,0)</f>
        <v>0</v>
      </c>
      <c r="BS74" s="6">
        <f>IF(BS$72&gt;0,SUMPRODUCT((Results!$A$2:$A$5001=Schedule!BS$45)*(Results!$F$2:$F$5001)*(Results!$H$2:$H$5001))/BS$72,0)</f>
        <v>0</v>
      </c>
      <c r="BT74" s="6">
        <f>IF(BT$72&gt;0,SUMPRODUCT((Results!$A$2:$A$5001=Schedule!BT$45)*(Results!$F$2:$F$5001)*(Results!$H$2:$H$5001))/BT$72,0)</f>
        <v>0</v>
      </c>
      <c r="BU74" s="6">
        <f>IF(BU$72&gt;0,SUMPRODUCT((Results!$A$2:$A$5001=Schedule!BU$45)*(Results!$F$2:$F$5001)*(Results!$H$2:$H$5001))/BU$72,0)</f>
        <v>0</v>
      </c>
      <c r="BV74" s="6">
        <f>IF(BV$72&gt;0,SUMPRODUCT((Results!$A$2:$A$5001=Schedule!BV$45)*(Results!$F$2:$F$5001)*(Results!$H$2:$H$5001))/BV$72,0)</f>
        <v>0</v>
      </c>
      <c r="BW74" s="6">
        <f>IF(BW$72&gt;0,SUMPRODUCT((Results!$A$2:$A$5001=Schedule!BW$45)*(Results!$F$2:$F$5001)*(Results!$H$2:$H$5001))/BW$72,0)</f>
        <v>0</v>
      </c>
      <c r="BX74" s="6">
        <f>IF(BX$72&gt;0,SUMPRODUCT((Results!$A$2:$A$5001=Schedule!BX$45)*(Results!$F$2:$F$5001)*(Results!$H$2:$H$5001))/BX$72,0)</f>
        <v>0</v>
      </c>
      <c r="BY74" s="6">
        <f>IF(BY$72&gt;0,SUMPRODUCT((Results!$A$2:$A$5001=Schedule!BY$45)*(Results!$F$2:$F$5001)*(Results!$H$2:$H$5001))/BY$72,0)</f>
        <v>0</v>
      </c>
      <c r="BZ74" s="6">
        <f>IF(BZ$72&gt;0,SUMPRODUCT((Results!$A$2:$A$5001=Schedule!BZ$45)*(Results!$F$2:$F$5001)*(Results!$H$2:$H$5001))/BZ$72,0)</f>
        <v>0</v>
      </c>
      <c r="CA74" s="6">
        <f>IF(CA$72&gt;0,SUMPRODUCT((Results!$A$2:$A$5001=Schedule!CA$45)*(Results!$F$2:$F$5001)*(Results!$H$2:$H$5001))/CA$72,0)</f>
        <v>0</v>
      </c>
      <c r="CB74" s="6">
        <f>IF(CB$72&gt;0,SUMPRODUCT((Results!$A$2:$A$5001=Schedule!CB$45)*(Results!$F$2:$F$5001)*(Results!$H$2:$H$5001))/CB$72,0)</f>
        <v>0</v>
      </c>
      <c r="CC74" s="6">
        <f>IF(CC$72&gt;0,SUMPRODUCT((Results!$A$2:$A$5001=Schedule!CC$45)*(Results!$F$2:$F$5001)*(Results!$H$2:$H$5001))/CC$72,0)</f>
        <v>0</v>
      </c>
      <c r="CD74" s="6">
        <f>IF(CD$72&gt;0,SUMPRODUCT((Results!$A$2:$A$5001=Schedule!CD$45)*(Results!$F$2:$F$5001)*(Results!$H$2:$H$5001))/CD$72,0)</f>
        <v>0</v>
      </c>
      <c r="CE74" s="6">
        <f>IF(CE$72&gt;0,SUMPRODUCT((Results!$A$2:$A$5001=Schedule!CE$45)*(Results!$F$2:$F$5001)*(Results!$H$2:$H$5001))/CE$72,0)</f>
        <v>0</v>
      </c>
      <c r="CF74" s="6">
        <f>IF(CF$72&gt;0,SUMPRODUCT((Results!$A$2:$A$5001=Schedule!CF$45)*(Results!$F$2:$F$5001)*(Results!$H$2:$H$5001))/CF$72,0)</f>
        <v>0</v>
      </c>
      <c r="CG74" s="6">
        <f>IF(CG$72&gt;0,SUMPRODUCT((Results!$A$2:$A$5001=Schedule!CG$45)*(Results!$F$2:$F$5001)*(Results!$H$2:$H$5001))/CG$72,0)</f>
        <v>0</v>
      </c>
      <c r="CH74" s="6">
        <f>IF(CH$72&gt;0,SUMPRODUCT((Results!$A$2:$A$5001=Schedule!CH$45)*(Results!$F$2:$F$5001)*(Results!$H$2:$H$5001))/CH$72,0)</f>
        <v>0</v>
      </c>
      <c r="CI74" s="6">
        <f>IF(CI$72&gt;0,SUMPRODUCT((Results!$A$2:$A$5001=Schedule!CI$45)*(Results!$F$2:$F$5001)*(Results!$H$2:$H$5001))/CI$72,0)</f>
        <v>0</v>
      </c>
      <c r="CJ74" s="6">
        <f>IF(CJ$72&gt;0,SUMPRODUCT((Results!$A$2:$A$5001=Schedule!CJ$45)*(Results!$F$2:$F$5001)*(Results!$H$2:$H$5001))/CJ$72,0)</f>
        <v>0</v>
      </c>
      <c r="CK74" s="6">
        <f>IF(CK$72&gt;0,SUMPRODUCT((Results!$A$2:$A$5001=Schedule!CK$45)*(Results!$F$2:$F$5001)*(Results!$H$2:$H$5001))/CK$72,0)</f>
        <v>0</v>
      </c>
      <c r="CL74" s="6">
        <f>IF(CL$72&gt;0,SUMPRODUCT((Results!$A$2:$A$5001=Schedule!CL$45)*(Results!$F$2:$F$5001)*(Results!$H$2:$H$5001))/CL$72,0)</f>
        <v>0</v>
      </c>
      <c r="CM74" s="6">
        <f>IF(CM$72&gt;0,SUMPRODUCT((Results!$A$2:$A$5001=Schedule!CM$45)*(Results!$F$2:$F$5001)*(Results!$H$2:$H$5001))/CM$72,0)</f>
        <v>0</v>
      </c>
      <c r="CN74" s="6">
        <f>IF(CN$72&gt;0,SUMPRODUCT((Results!$A$2:$A$5001=Schedule!CN$45)*(Results!$F$2:$F$5001)*(Results!$H$2:$H$5001))/CN$72,0)</f>
        <v>0</v>
      </c>
      <c r="CO74" s="6">
        <f>IF(CO$72&gt;0,SUMPRODUCT((Results!$A$2:$A$5001=Schedule!CO$45)*(Results!$F$2:$F$5001)*(Results!$H$2:$H$5001))/CO$72,0)</f>
        <v>0</v>
      </c>
      <c r="CP74" s="6">
        <f>IF(CP$72&gt;0,SUMPRODUCT((Results!$A$2:$A$5001=Schedule!CP$45)*(Results!$F$2:$F$5001)*(Results!$H$2:$H$5001))/CP$72,0)</f>
        <v>0</v>
      </c>
      <c r="CQ74" s="6">
        <f>IF(CQ$72&gt;0,SUMPRODUCT((Results!$A$2:$A$5001=Schedule!CQ$45)*(Results!$F$2:$F$5001)*(Results!$H$2:$H$5001))/CQ$72,0)</f>
        <v>0</v>
      </c>
      <c r="CR74" s="6">
        <f>IF(CR$72&gt;0,SUMPRODUCT((Results!$A$2:$A$5001=Schedule!CR$45)*(Results!$F$2:$F$5001)*(Results!$H$2:$H$5001))/CR$72,0)</f>
        <v>0</v>
      </c>
      <c r="CS74" s="6">
        <f>IF(CS$72&gt;0,SUMPRODUCT((Results!$A$2:$A$5001=Schedule!CS$45)*(Results!$F$2:$F$5001)*(Results!$H$2:$H$5001))/CS$72,0)</f>
        <v>0</v>
      </c>
      <c r="CT74" s="6">
        <f>IF(CT$72&gt;0,SUMPRODUCT((Results!$A$2:$A$5001=Schedule!CT$45)*(Results!$F$2:$F$5001)*(Results!$H$2:$H$5001))/CT$72,0)</f>
        <v>0</v>
      </c>
      <c r="CU74" s="6">
        <f>IF(CU$72&gt;0,SUMPRODUCT((Results!$A$2:$A$5001=Schedule!CU$45)*(Results!$F$2:$F$5001)*(Results!$H$2:$H$5001))/CU$72,0)</f>
        <v>0</v>
      </c>
      <c r="CV74" s="6">
        <f>IF(CV$72&gt;0,SUMPRODUCT((Results!$A$2:$A$5001=Schedule!CV$45)*(Results!$F$2:$F$5001)*(Results!$H$2:$H$5001))/CV$72,0)</f>
        <v>0</v>
      </c>
      <c r="CW74" s="6">
        <f>IF(CW$72&gt;0,SUMPRODUCT((Results!$A$2:$A$5001=Schedule!CW$45)*(Results!$F$2:$F$5001)*(Results!$H$2:$H$5001))/CW$72,0)</f>
        <v>0</v>
      </c>
      <c r="CX74" s="6">
        <f>IF(CX$72&gt;0,SUMPRODUCT((Results!$A$2:$A$5001=Schedule!CX$45)*(Results!$F$2:$F$5001)*(Results!$H$2:$H$5001))/CX$72,0)</f>
        <v>0</v>
      </c>
      <c r="CY74" s="6">
        <f>IF(CY$72&gt;0,SUMPRODUCT((Results!$A$2:$A$5001=Schedule!CY$45)*(Results!$F$2:$F$5001)*(Results!$H$2:$H$5001))/CY$72,0)</f>
        <v>0</v>
      </c>
      <c r="CZ74" s="6">
        <f>IF(CZ$72&gt;0,SUMPRODUCT((Results!$A$2:$A$5001=Schedule!CZ$45)*(Results!$F$2:$F$5001)*(Results!$H$2:$H$5001))/CZ$72,0)</f>
        <v>0</v>
      </c>
      <c r="DA74" s="6">
        <f>IF(DA$72&gt;0,SUMPRODUCT((Results!$A$2:$A$5001=Schedule!DA$45)*(Results!$F$2:$F$5001)*(Results!$H$2:$H$5001))/DA$72,0)</f>
        <v>0</v>
      </c>
      <c r="DB74" s="6">
        <f>IF(DB$72&gt;0,SUMPRODUCT((Results!$A$2:$A$5001=Schedule!DB$45)*(Results!$F$2:$F$5001)*(Results!$H$2:$H$5001))/DB$72,0)</f>
        <v>0</v>
      </c>
      <c r="DC74" s="6">
        <f>IF(DC$72&gt;0,SUMPRODUCT((Results!$A$2:$A$5001=Schedule!DC$45)*(Results!$F$2:$F$5001)*(Results!$H$2:$H$5001))/DC$72,0)</f>
        <v>0</v>
      </c>
      <c r="DD74" s="6">
        <f>IF(DD$72&gt;0,SUMPRODUCT((Results!$A$2:$A$5001=Schedule!DD$45)*(Results!$F$2:$F$5001)*(Results!$H$2:$H$5001))/DD$72,0)</f>
        <v>0</v>
      </c>
      <c r="DE74" s="6">
        <f>IF(DE$72&gt;0,SUMPRODUCT((Results!$A$2:$A$5001=Schedule!DE$45)*(Results!$F$2:$F$5001)*(Results!$H$2:$H$5001))/DE$72,0)</f>
        <v>0</v>
      </c>
      <c r="DF74" s="6">
        <f>IF(DF$72&gt;0,SUMPRODUCT((Results!$A$2:$A$5001=Schedule!DF$45)*(Results!$F$2:$F$5001)*(Results!$H$2:$H$5001))/DF$72,0)</f>
        <v>0</v>
      </c>
      <c r="DG74" s="6">
        <f>IF(DG$72&gt;0,SUMPRODUCT((Results!$A$2:$A$5001=Schedule!DG$45)*(Results!$F$2:$F$5001)*(Results!$H$2:$H$5001))/DG$72,0)</f>
        <v>0</v>
      </c>
      <c r="DH74" s="6">
        <f>IF(DH$72&gt;0,SUMPRODUCT((Results!$A$2:$A$5001=Schedule!DH$45)*(Results!$F$2:$F$5001)*(Results!$H$2:$H$5001))/DH$72,0)</f>
        <v>0</v>
      </c>
      <c r="DI74" s="6">
        <f>IF(DI$72&gt;0,SUMPRODUCT((Results!$A$2:$A$5001=Schedule!DI$45)*(Results!$F$2:$F$5001)*(Results!$H$2:$H$5001))/DI$72,0)</f>
        <v>0</v>
      </c>
      <c r="DJ74" s="6">
        <f>IF(DJ$72&gt;0,SUMPRODUCT((Results!$A$2:$A$5001=Schedule!DJ$45)*(Results!$F$2:$F$5001)*(Results!$H$2:$H$5001))/DJ$72,0)</f>
        <v>0</v>
      </c>
      <c r="DK74" s="6">
        <f>IF(DK$72&gt;0,SUMPRODUCT((Results!$A$2:$A$5001=Schedule!DK$45)*(Results!$F$2:$F$5001)*(Results!$H$2:$H$5001))/DK$72,0)</f>
        <v>0</v>
      </c>
      <c r="DL74" s="6">
        <f>IF(DL$72&gt;0,SUMPRODUCT((Results!$A$2:$A$5001=Schedule!DL$45)*(Results!$F$2:$F$5001)*(Results!$H$2:$H$5001))/DL$72,0)</f>
        <v>0</v>
      </c>
      <c r="DM74" s="6">
        <f>IF(DM$72&gt;0,SUMPRODUCT((Results!$A$2:$A$5001=Schedule!DM$45)*(Results!$F$2:$F$5001)*(Results!$H$2:$H$5001))/DM$72,0)</f>
        <v>0</v>
      </c>
      <c r="DN74" s="6">
        <f>IF(DN$72&gt;0,SUMPRODUCT((Results!$A$2:$A$5001=Schedule!DN$45)*(Results!$F$2:$F$5001)*(Results!$H$2:$H$5001))/DN$72,0)</f>
        <v>0</v>
      </c>
      <c r="DO74" s="6">
        <f>IF(DO$72&gt;0,SUMPRODUCT((Results!$A$2:$A$5001=Schedule!DO$45)*(Results!$F$2:$F$5001)*(Results!$H$2:$H$5001))/DO$72,0)</f>
        <v>0</v>
      </c>
      <c r="DP74" s="6">
        <f>IF(DP$72&gt;0,SUMPRODUCT((Results!$A$2:$A$5001=Schedule!DP$45)*(Results!$F$2:$F$5001)*(Results!$H$2:$H$5001))/DP$72,0)</f>
        <v>0</v>
      </c>
      <c r="DQ74" s="6">
        <f>IF(DQ$72&gt;0,SUMPRODUCT((Results!$A$2:$A$5001=Schedule!DQ$45)*(Results!$F$2:$F$5001)*(Results!$H$2:$H$5001))/DQ$72,0)</f>
        <v>0</v>
      </c>
      <c r="DR74" s="6">
        <f>IF(DR$72&gt;0,SUMPRODUCT((Results!$A$2:$A$5001=Schedule!DR$45)*(Results!$F$2:$F$5001)*(Results!$H$2:$H$5001))/DR$72,0)</f>
        <v>0</v>
      </c>
      <c r="DS74" s="6">
        <f>IF(DS$72&gt;0,SUMPRODUCT((Results!$A$2:$A$5001=Schedule!DS$45)*(Results!$F$2:$F$5001)*(Results!$H$2:$H$5001))/DS$72,0)</f>
        <v>0</v>
      </c>
      <c r="DT74" s="6">
        <f>IF(DT$72&gt;0,SUMPRODUCT((Results!$A$2:$A$5001=Schedule!DT$45)*(Results!$F$2:$F$5001)*(Results!$H$2:$H$5001))/DT$72,0)</f>
        <v>0</v>
      </c>
      <c r="DU74" s="6">
        <f>IF(DU$72&gt;0,SUMPRODUCT((Results!$A$2:$A$5001=Schedule!DU$45)*(Results!$F$2:$F$5001)*(Results!$H$2:$H$5001))/DU$72,0)</f>
        <v>0</v>
      </c>
      <c r="DV74" s="6">
        <f>IF(DV$72&gt;0,SUMPRODUCT((Results!$A$2:$A$5001=Schedule!DV$45)*(Results!$F$2:$F$5001)*(Results!$H$2:$H$5001))/DV$72,0)</f>
        <v>0</v>
      </c>
      <c r="DW74" s="6">
        <f>IF(DW$72&gt;0,SUMPRODUCT((Results!$A$2:$A$5001=Schedule!DW$45)*(Results!$F$2:$F$5001)*(Results!$H$2:$H$5001))/DW$72,0)</f>
        <v>0</v>
      </c>
      <c r="DX74" s="6">
        <f>IF(DX$72&gt;0,SUMPRODUCT((Results!$A$2:$A$5001=Schedule!DX$45)*(Results!$F$2:$F$5001)*(Results!$H$2:$H$5001))/DX$72,0)</f>
        <v>0</v>
      </c>
      <c r="DY74" s="6">
        <f>IF(DY$72&gt;0,SUMPRODUCT((Results!$A$2:$A$5001=Schedule!DY$45)*(Results!$F$2:$F$5001)*(Results!$H$2:$H$5001))/DY$72,0)</f>
        <v>0</v>
      </c>
      <c r="DZ74" s="6">
        <f>IF(DZ$72&gt;0,SUMPRODUCT((Results!$A$2:$A$5001=Schedule!DZ$45)*(Results!$F$2:$F$5001)*(Results!$H$2:$H$5001))/DZ$72,0)</f>
        <v>0</v>
      </c>
      <c r="EA74" s="6">
        <f>IF(EA$72&gt;0,SUMPRODUCT((Results!$A$2:$A$5001=Schedule!EA$45)*(Results!$F$2:$F$5001)*(Results!$H$2:$H$5001))/EA$72,0)</f>
        <v>0</v>
      </c>
      <c r="EB74" s="6">
        <f>IF(EB$72&gt;0,SUMPRODUCT((Results!$A$2:$A$5001=Schedule!EB$45)*(Results!$F$2:$F$5001)*(Results!$H$2:$H$5001))/EB$72,0)</f>
        <v>0</v>
      </c>
      <c r="EC74" s="6">
        <f>IF(EC$72&gt;0,SUMPRODUCT((Results!$A$2:$A$5001=Schedule!EC$45)*(Results!$F$2:$F$5001)*(Results!$H$2:$H$5001))/EC$72,0)</f>
        <v>0</v>
      </c>
      <c r="ED74" s="6">
        <f>IF(ED$72&gt;0,SUMPRODUCT((Results!$A$2:$A$5001=Schedule!ED$45)*(Results!$F$2:$F$5001)*(Results!$H$2:$H$5001))/ED$72,0)</f>
        <v>0</v>
      </c>
      <c r="EE74" s="6">
        <f>IF(EE$72&gt;0,SUMPRODUCT((Results!$A$2:$A$5001=Schedule!EE$45)*(Results!$F$2:$F$5001)*(Results!$H$2:$H$5001))/EE$72,0)</f>
        <v>0</v>
      </c>
      <c r="EF74" s="6">
        <f>IF(EF$72&gt;0,SUMPRODUCT((Results!$A$2:$A$5001=Schedule!EF$45)*(Results!$F$2:$F$5001)*(Results!$H$2:$H$5001))/EF$72,0)</f>
        <v>0</v>
      </c>
      <c r="EG74" s="6">
        <f>IF(EG$72&gt;0,SUMPRODUCT((Results!$A$2:$A$5001=Schedule!EG$45)*(Results!$F$2:$F$5001)*(Results!$H$2:$H$5001))/EG$72,0)</f>
        <v>0</v>
      </c>
      <c r="EH74" s="6">
        <f>IF(EH$72&gt;0,SUMPRODUCT((Results!$A$2:$A$5001=Schedule!EH$45)*(Results!$F$2:$F$5001)*(Results!$H$2:$H$5001))/EH$72,0)</f>
        <v>0</v>
      </c>
      <c r="EI74" s="6">
        <f>IF(EI$72&gt;0,SUMPRODUCT((Results!$A$2:$A$5001=Schedule!EI$45)*(Results!$F$2:$F$5001)*(Results!$H$2:$H$5001))/EI$72,0)</f>
        <v>0</v>
      </c>
      <c r="EJ74" s="6">
        <f>IF(EJ$72&gt;0,SUMPRODUCT((Results!$A$2:$A$5001=Schedule!EJ$45)*(Results!$F$2:$F$5001)*(Results!$H$2:$H$5001))/EJ$72,0)</f>
        <v>0</v>
      </c>
      <c r="EK74" s="6">
        <f>IF(EK$72&gt;0,SUMPRODUCT((Results!$A$2:$A$5001=Schedule!EK$45)*(Results!$F$2:$F$5001)*(Results!$H$2:$H$5001))/EK$72,0)</f>
        <v>0</v>
      </c>
      <c r="EL74" s="6">
        <f>IF(EL$72&gt;0,SUMPRODUCT((Results!$A$2:$A$5001=Schedule!EL$45)*(Results!$F$2:$F$5001)*(Results!$H$2:$H$5001))/EL$72,0)</f>
        <v>0</v>
      </c>
      <c r="EM74" s="6">
        <f>IF(EM$72&gt;0,SUMPRODUCT((Results!$A$2:$A$5001=Schedule!EM$45)*(Results!$F$2:$F$5001)*(Results!$H$2:$H$5001))/EM$72,0)</f>
        <v>0</v>
      </c>
      <c r="EN74" s="6">
        <f>IF(EN$72&gt;0,SUMPRODUCT((Results!$A$2:$A$5001=Schedule!EN$45)*(Results!$F$2:$F$5001)*(Results!$H$2:$H$5001))/EN$72,0)</f>
        <v>0</v>
      </c>
      <c r="EO74" s="6">
        <f>IF(EO$72&gt;0,SUMPRODUCT((Results!$A$2:$A$5001=Schedule!EO$45)*(Results!$F$2:$F$5001)*(Results!$H$2:$H$5001))/EO$72,0)</f>
        <v>0</v>
      </c>
      <c r="EP74" s="6">
        <f>IF(EP$72&gt;0,SUMPRODUCT((Results!$A$2:$A$5001=Schedule!EP$45)*(Results!$F$2:$F$5001)*(Results!$H$2:$H$5001))/EP$72,0)</f>
        <v>0</v>
      </c>
      <c r="EQ74" s="6">
        <f>IF(EQ$72&gt;0,SUMPRODUCT((Results!$A$2:$A$5001=Schedule!EQ$45)*(Results!$F$2:$F$5001)*(Results!$H$2:$H$5001))/EQ$72,0)</f>
        <v>0</v>
      </c>
      <c r="ER74" s="6">
        <f>IF(ER$72&gt;0,SUMPRODUCT((Results!$A$2:$A$5001=Schedule!ER$45)*(Results!$F$2:$F$5001)*(Results!$H$2:$H$5001))/ER$72,0)</f>
        <v>0</v>
      </c>
      <c r="ES74" s="6">
        <f>IF(ES$72&gt;0,SUMPRODUCT((Results!$A$2:$A$5001=Schedule!ES$45)*(Results!$F$2:$F$5001)*(Results!$H$2:$H$5001))/ES$72,0)</f>
        <v>0</v>
      </c>
      <c r="ET74" s="6">
        <f>IF(ET$72&gt;0,SUMPRODUCT((Results!$A$2:$A$5001=Schedule!ET$45)*(Results!$F$2:$F$5001)*(Results!$H$2:$H$5001))/ET$72,0)</f>
        <v>0</v>
      </c>
      <c r="EU74" s="6">
        <f>IF(EU$72&gt;0,SUMPRODUCT((Results!$A$2:$A$5001=Schedule!EU$45)*(Results!$F$2:$F$5001)*(Results!$H$2:$H$5001))/EU$72,0)</f>
        <v>0</v>
      </c>
      <c r="EV74" s="6">
        <f>IF(EV$72&gt;0,SUMPRODUCT((Results!$A$2:$A$5001=Schedule!EV$45)*(Results!$F$2:$F$5001)*(Results!$H$2:$H$5001))/EV$72,0)</f>
        <v>0</v>
      </c>
      <c r="EW74" s="6">
        <f>IF(EW$72&gt;0,SUMPRODUCT((Results!$A$2:$A$5001=Schedule!EW$45)*(Results!$F$2:$F$5001)*(Results!$H$2:$H$5001))/EW$72,0)</f>
        <v>0</v>
      </c>
      <c r="EX74" s="6">
        <f>IF(EX$72&gt;0,SUMPRODUCT((Results!$A$2:$A$5001=Schedule!EX$45)*(Results!$F$2:$F$5001)*(Results!$H$2:$H$5001))/EX$72,0)</f>
        <v>0</v>
      </c>
      <c r="EY74" s="6">
        <f>IF(EY$72&gt;0,SUMPRODUCT((Results!$A$2:$A$5001=Schedule!EY$45)*(Results!$F$2:$F$5001)*(Results!$H$2:$H$5001))/EY$72,0)</f>
        <v>0</v>
      </c>
      <c r="EZ74" s="6">
        <f>IF(EZ$72&gt;0,SUMPRODUCT((Results!$A$2:$A$5001=Schedule!EZ$45)*(Results!$F$2:$F$5001)*(Results!$H$2:$H$5001))/EZ$72,0)</f>
        <v>0</v>
      </c>
      <c r="FA74" s="6">
        <f>IF(FA$72&gt;0,SUMPRODUCT((Results!$A$2:$A$5001=Schedule!FA$45)*(Results!$F$2:$F$5001)*(Results!$H$2:$H$5001))/FA$72,0)</f>
        <v>0</v>
      </c>
      <c r="FB74" s="6">
        <f>IF(FB$72&gt;0,SUMPRODUCT((Results!$A$2:$A$5001=Schedule!FB$45)*(Results!$F$2:$F$5001)*(Results!$H$2:$H$5001))/FB$72,0)</f>
        <v>0</v>
      </c>
      <c r="FC74" s="6">
        <f>IF(FC$72&gt;0,SUMPRODUCT((Results!$A$2:$A$5001=Schedule!FC$45)*(Results!$F$2:$F$5001)*(Results!$H$2:$H$5001))/FC$72,0)</f>
        <v>0</v>
      </c>
      <c r="FD74" s="6">
        <f>IF(FD$72&gt;0,SUMPRODUCT((Results!$A$2:$A$5001=Schedule!FD$45)*(Results!$F$2:$F$5001)*(Results!$H$2:$H$5001))/FD$72,0)</f>
        <v>0</v>
      </c>
      <c r="FE74" s="6">
        <f>IF(FE$72&gt;0,SUMPRODUCT((Results!$A$2:$A$5001=Schedule!FE$45)*(Results!$F$2:$F$5001)*(Results!$H$2:$H$5001))/FE$72,0)</f>
        <v>0</v>
      </c>
      <c r="FF74" s="6">
        <f>IF(FF$72&gt;0,SUMPRODUCT((Results!$A$2:$A$5001=Schedule!FF$45)*(Results!$F$2:$F$5001)*(Results!$H$2:$H$5001))/FF$72,0)</f>
        <v>0</v>
      </c>
      <c r="FG74" s="6">
        <f>IF(FG$72&gt;0,SUMPRODUCT((Results!$A$2:$A$5001=Schedule!FG$45)*(Results!$F$2:$F$5001)*(Results!$H$2:$H$5001))/FG$72,0)</f>
        <v>0</v>
      </c>
      <c r="FH74" s="6">
        <f>IF(FH$72&gt;0,SUMPRODUCT((Results!$A$2:$A$5001=Schedule!FH$45)*(Results!$F$2:$F$5001)*(Results!$H$2:$H$5001))/FH$72,0)</f>
        <v>0</v>
      </c>
      <c r="FI74" s="6">
        <f>IF(FI$72&gt;0,SUMPRODUCT((Results!$A$2:$A$5001=Schedule!FI$45)*(Results!$F$2:$F$5001)*(Results!$H$2:$H$5001))/FI$72,0)</f>
        <v>0</v>
      </c>
      <c r="FJ74" s="6">
        <f>IF(FJ$72&gt;0,SUMPRODUCT((Results!$A$2:$A$5001=Schedule!FJ$45)*(Results!$F$2:$F$5001)*(Results!$H$2:$H$5001))/FJ$72,0)</f>
        <v>0</v>
      </c>
      <c r="FK74" s="6">
        <f>IF(FK$72&gt;0,SUMPRODUCT((Results!$A$2:$A$5001=Schedule!FK$45)*(Results!$F$2:$F$5001)*(Results!$H$2:$H$5001))/FK$72,0)</f>
        <v>0</v>
      </c>
      <c r="FL74" s="6">
        <f>IF(FL$72&gt;0,SUMPRODUCT((Results!$A$2:$A$5001=Schedule!FL$45)*(Results!$F$2:$F$5001)*(Results!$H$2:$H$5001))/FL$72,0)</f>
        <v>0</v>
      </c>
      <c r="FM74" s="6">
        <f>IF(FM$72&gt;0,SUMPRODUCT((Results!$A$2:$A$5001=Schedule!FM$45)*(Results!$F$2:$F$5001)*(Results!$H$2:$H$5001))/FM$72,0)</f>
        <v>0</v>
      </c>
      <c r="FN74" s="6">
        <f>IF(FN$72&gt;0,SUMPRODUCT((Results!$A$2:$A$5001=Schedule!FN$45)*(Results!$F$2:$F$5001)*(Results!$H$2:$H$5001))/FN$72,0)</f>
        <v>0</v>
      </c>
      <c r="FO74" s="6">
        <f>IF(FO$72&gt;0,SUMPRODUCT((Results!$A$2:$A$5001=Schedule!FO$45)*(Results!$F$2:$F$5001)*(Results!$H$2:$H$5001))/FO$72,0)</f>
        <v>0</v>
      </c>
      <c r="FP74" s="6">
        <f>IF(FP$72&gt;0,SUMPRODUCT((Results!$A$2:$A$5001=Schedule!FP$45)*(Results!$F$2:$F$5001)*(Results!$H$2:$H$5001))/FP$72,0)</f>
        <v>0</v>
      </c>
      <c r="FQ74" s="6">
        <f>IF(FQ$72&gt;0,SUMPRODUCT((Results!$A$2:$A$5001=Schedule!FQ$45)*(Results!$F$2:$F$5001)*(Results!$H$2:$H$5001))/FQ$72,0)</f>
        <v>0</v>
      </c>
      <c r="FR74" s="6">
        <f>IF(FR$72&gt;0,SUMPRODUCT((Results!$A$2:$A$5001=Schedule!FR$45)*(Results!$F$2:$F$5001)*(Results!$H$2:$H$5001))/FR$72,0)</f>
        <v>0</v>
      </c>
      <c r="FS74" s="6">
        <f>IF(FS$72&gt;0,SUMPRODUCT((Results!$A$2:$A$5001=Schedule!FS$45)*(Results!$F$2:$F$5001)*(Results!$H$2:$H$5001))/FS$72,0)</f>
        <v>0</v>
      </c>
      <c r="FT74" s="6">
        <f>IF(FT$72&gt;0,SUMPRODUCT((Results!$A$2:$A$5001=Schedule!FT$45)*(Results!$F$2:$F$5001)*(Results!$H$2:$H$5001))/FT$72,0)</f>
        <v>0</v>
      </c>
      <c r="FU74" s="6">
        <f>IF(FU$72&gt;0,SUMPRODUCT((Results!$A$2:$A$5001=Schedule!FU$45)*(Results!$F$2:$F$5001)*(Results!$H$2:$H$5001))/FU$72,0)</f>
        <v>0</v>
      </c>
      <c r="FV74" s="6">
        <f>IF(FV$72&gt;0,SUMPRODUCT((Results!$A$2:$A$5001=Schedule!FV$45)*(Results!$F$2:$F$5001)*(Results!$H$2:$H$5001))/FV$72,0)</f>
        <v>0</v>
      </c>
      <c r="FW74" s="6">
        <f>IF(FW$72&gt;0,SUMPRODUCT((Results!$A$2:$A$5001=Schedule!FW$45)*(Results!$F$2:$F$5001)*(Results!$H$2:$H$5001))/FW$72,0)</f>
        <v>0</v>
      </c>
      <c r="FX74" s="6">
        <f>IF(FX$72&gt;0,SUMPRODUCT((Results!$A$2:$A$5001=Schedule!FX$45)*(Results!$F$2:$F$5001)*(Results!$H$2:$H$5001))/FX$72,0)</f>
        <v>0</v>
      </c>
      <c r="FY74" s="6">
        <f>IF(FY$72&gt;0,SUMPRODUCT((Results!$A$2:$A$5001=Schedule!FY$45)*(Results!$F$2:$F$5001)*(Results!$H$2:$H$5001))/FY$72,0)</f>
        <v>0</v>
      </c>
      <c r="FZ74" s="6">
        <f>IF(FZ$72&gt;0,SUMPRODUCT((Results!$A$2:$A$5001=Schedule!FZ$45)*(Results!$F$2:$F$5001)*(Results!$H$2:$H$5001))/FZ$72,0)</f>
        <v>0</v>
      </c>
      <c r="GA74" s="6">
        <f>IF(GA$72&gt;0,SUMPRODUCT((Results!$A$2:$A$5001=Schedule!GA$45)*(Results!$F$2:$F$5001)*(Results!$H$2:$H$5001))/GA$72,0)</f>
        <v>0</v>
      </c>
      <c r="GB74" s="6">
        <f>IF(GB$72&gt;0,SUMPRODUCT((Results!$A$2:$A$5001=Schedule!GB$45)*(Results!$F$2:$F$5001)*(Results!$H$2:$H$5001))/GB$72,0)</f>
        <v>0</v>
      </c>
      <c r="GC74" s="6">
        <f>IF(GC$72&gt;0,SUMPRODUCT((Results!$A$2:$A$5001=Schedule!GC$45)*(Results!$F$2:$F$5001)*(Results!$H$2:$H$5001))/GC$72,0)</f>
        <v>0</v>
      </c>
      <c r="GD74" s="6">
        <f>IF(GD$72&gt;0,SUMPRODUCT((Results!$A$2:$A$5001=Schedule!GD$45)*(Results!$F$2:$F$5001)*(Results!$H$2:$H$5001))/GD$72,0)</f>
        <v>0</v>
      </c>
      <c r="GE74" s="6">
        <f>IF(GE$72&gt;0,SUMPRODUCT((Results!$A$2:$A$5001=Schedule!GE$45)*(Results!$F$2:$F$5001)*(Results!$H$2:$H$5001))/GE$72,0)</f>
        <v>0</v>
      </c>
      <c r="GF74" s="6">
        <f>IF(GF$72&gt;0,SUMPRODUCT((Results!$A$2:$A$5001=Schedule!GF$45)*(Results!$F$2:$F$5001)*(Results!$H$2:$H$5001))/GF$72,0)</f>
        <v>0</v>
      </c>
      <c r="GG74" s="6">
        <f>IF(GG$72&gt;0,SUMPRODUCT((Results!$A$2:$A$5001=Schedule!GG$45)*(Results!$F$2:$F$5001)*(Results!$H$2:$H$5001))/GG$72,0)</f>
        <v>0</v>
      </c>
      <c r="GH74" s="6">
        <f>IF(GH$72&gt;0,SUMPRODUCT((Results!$A$2:$A$5001=Schedule!GH$45)*(Results!$F$2:$F$5001)*(Results!$H$2:$H$5001))/GH$72,0)</f>
        <v>0</v>
      </c>
      <c r="GI74" s="6">
        <f>IF(GI$72&gt;0,SUMPRODUCT((Results!$A$2:$A$5001=Schedule!GI$45)*(Results!$F$2:$F$5001)*(Results!$H$2:$H$5001))/GI$72,0)</f>
        <v>0</v>
      </c>
      <c r="GJ74" s="6">
        <f>IF(GJ$72&gt;0,SUMPRODUCT((Results!$A$2:$A$5001=Schedule!GJ$45)*(Results!$F$2:$F$5001)*(Results!$H$2:$H$5001))/GJ$72,0)</f>
        <v>0</v>
      </c>
      <c r="GK74" s="6">
        <f>IF(GK$72&gt;0,SUMPRODUCT((Results!$A$2:$A$5001=Schedule!GK$45)*(Results!$F$2:$F$5001)*(Results!$H$2:$H$5001))/GK$72,0)</f>
        <v>0</v>
      </c>
      <c r="GL74" s="6">
        <f>IF(GL$72&gt;0,SUMPRODUCT((Results!$A$2:$A$5001=Schedule!GL$45)*(Results!$F$2:$F$5001)*(Results!$H$2:$H$5001))/GL$72,0)</f>
        <v>0</v>
      </c>
      <c r="GM74" s="6">
        <f>IF(GM$72&gt;0,SUMPRODUCT((Results!$A$2:$A$5001=Schedule!GM$45)*(Results!$F$2:$F$5001)*(Results!$H$2:$H$5001))/GM$72,0)</f>
        <v>0</v>
      </c>
      <c r="GN74" s="6">
        <f>IF(GN$72&gt;0,SUMPRODUCT((Results!$A$2:$A$5001=Schedule!GN$45)*(Results!$F$2:$F$5001)*(Results!$H$2:$H$5001))/GN$72,0)</f>
        <v>0</v>
      </c>
      <c r="GO74" s="6">
        <f>IF(GO$72&gt;0,SUMPRODUCT((Results!$A$2:$A$5001=Schedule!GO$45)*(Results!$F$2:$F$5001)*(Results!$H$2:$H$5001))/GO$72,0)</f>
        <v>0</v>
      </c>
      <c r="GP74" s="6">
        <f>IF(GP$72&gt;0,SUMPRODUCT((Results!$A$2:$A$5001=Schedule!GP$45)*(Results!$F$2:$F$5001)*(Results!$H$2:$H$5001))/GP$72,0)</f>
        <v>0</v>
      </c>
      <c r="GQ74" s="6">
        <f>IF(GQ$72&gt;0,SUMPRODUCT((Results!$A$2:$A$5001=Schedule!GQ$45)*(Results!$F$2:$F$5001)*(Results!$H$2:$H$5001))/GQ$72,0)</f>
        <v>0</v>
      </c>
      <c r="GR74" s="6">
        <f>IF(GR$72&gt;0,SUMPRODUCT((Results!$A$2:$A$5001=Schedule!GR$45)*(Results!$F$2:$F$5001)*(Results!$H$2:$H$5001))/GR$72,0)</f>
        <v>0</v>
      </c>
      <c r="GS74" s="6">
        <f>IF(GS$72&gt;0,SUMPRODUCT((Results!$A$2:$A$5001=Schedule!GS$45)*(Results!$F$2:$F$5001)*(Results!$H$2:$H$5001))/GS$72,0)</f>
        <v>0</v>
      </c>
      <c r="GT74" s="6">
        <f>IF(GT$72&gt;0,SUMPRODUCT((Results!$A$2:$A$5001=Schedule!GT$45)*(Results!$F$2:$F$5001)*(Results!$H$2:$H$5001))/GT$72,0)</f>
        <v>0</v>
      </c>
      <c r="GU74" s="6">
        <f>IF(GU$72&gt;0,SUMPRODUCT((Results!$A$2:$A$5001=Schedule!GU$45)*(Results!$F$2:$F$5001)*(Results!$H$2:$H$5001))/GU$72,0)</f>
        <v>0</v>
      </c>
      <c r="GV74" s="6"/>
    </row>
    <row r="75" spans="1:204" ht="13.5" customHeight="1" x14ac:dyDescent="0.2">
      <c r="A75" s="40" t="str">
        <f t="shared" si="36"/>
        <v>GRADE2</v>
      </c>
      <c r="B75" s="40" t="str">
        <f t="shared" si="36"/>
        <v>SiO2</v>
      </c>
      <c r="C75" s="6">
        <f>IF(C$72&gt;0,SUMPRODUCT((Results!$A$2:$A$5001=Schedule!C$45)*(Results!$F$2:$F$5001)*(Results!$I$2:$I$5001))/C$72,0)</f>
        <v>4.9721342861714035</v>
      </c>
      <c r="D75" s="6">
        <f>IF(D$72&gt;0,SUMPRODUCT((Results!$A$2:$A$5001=Schedule!D$45)*(Results!$F$2:$F$5001)*(Results!$I$2:$I$5001))/D$72,0)</f>
        <v>3.9477285322258662</v>
      </c>
      <c r="E75" s="6">
        <f>IF(E$72&gt;0,SUMPRODUCT((Results!$A$2:$A$5001=Schedule!E$45)*(Results!$F$2:$F$5001)*(Results!$I$2:$I$5001))/E$72,0)</f>
        <v>4.1213457748541913</v>
      </c>
      <c r="F75" s="6">
        <f>IF(F$72&gt;0,SUMPRODUCT((Results!$A$2:$A$5001=Schedule!F$45)*(Results!$F$2:$F$5001)*(Results!$I$2:$I$5001))/F$72,0)</f>
        <v>4.7062271960754272</v>
      </c>
      <c r="G75" s="6">
        <f>IF(G$72&gt;0,SUMPRODUCT((Results!$A$2:$A$5001=Schedule!G$45)*(Results!$F$2:$F$5001)*(Results!$I$2:$I$5001))/G$72,0)</f>
        <v>4.9569047781744873</v>
      </c>
      <c r="H75" s="6">
        <f>IF(H$72&gt;0,SUMPRODUCT((Results!$A$2:$A$5001=Schedule!H$45)*(Results!$F$2:$F$5001)*(Results!$I$2:$I$5001))/H$72,0)</f>
        <v>5.3739249636488875</v>
      </c>
      <c r="I75" s="6">
        <f>IF(I$72&gt;0,SUMPRODUCT((Results!$A$2:$A$5001=Schedule!I$45)*(Results!$F$2:$F$5001)*(Results!$I$2:$I$5001))/I$72,0)</f>
        <v>0</v>
      </c>
      <c r="J75" s="6">
        <f>IF(J$72&gt;0,SUMPRODUCT((Results!$A$2:$A$5001=Schedule!J$45)*(Results!$F$2:$F$5001)*(Results!$I$2:$I$5001))/J$72,0)</f>
        <v>0</v>
      </c>
      <c r="K75" s="6">
        <f>IF(K$72&gt;0,SUMPRODUCT((Results!$A$2:$A$5001=Schedule!K$45)*(Results!$F$2:$F$5001)*(Results!$I$2:$I$5001))/K$72,0)</f>
        <v>0</v>
      </c>
      <c r="L75" s="6">
        <f>IF(L$72&gt;0,SUMPRODUCT((Results!$A$2:$A$5001=Schedule!L$45)*(Results!$F$2:$F$5001)*(Results!$I$2:$I$5001))/L$72,0)</f>
        <v>0</v>
      </c>
      <c r="M75" s="6">
        <f>IF(M$72&gt;0,SUMPRODUCT((Results!$A$2:$A$5001=Schedule!M$45)*(Results!$F$2:$F$5001)*(Results!$I$2:$I$5001))/M$72,0)</f>
        <v>0</v>
      </c>
      <c r="N75" s="6">
        <f>IF(N$72&gt;0,SUMPRODUCT((Results!$A$2:$A$5001=Schedule!N$45)*(Results!$F$2:$F$5001)*(Results!$I$2:$I$5001))/N$72,0)</f>
        <v>0</v>
      </c>
      <c r="O75" s="6">
        <f>IF(O$72&gt;0,SUMPRODUCT((Results!$A$2:$A$5001=Schedule!O$45)*(Results!$F$2:$F$5001)*(Results!$I$2:$I$5001))/O$72,0)</f>
        <v>0</v>
      </c>
      <c r="P75" s="6">
        <f>IF(P$72&gt;0,SUMPRODUCT((Results!$A$2:$A$5001=Schedule!P$45)*(Results!$F$2:$F$5001)*(Results!$I$2:$I$5001))/P$72,0)</f>
        <v>0</v>
      </c>
      <c r="Q75" s="6">
        <f>IF(Q$72&gt;0,SUMPRODUCT((Results!$A$2:$A$5001=Schedule!Q$45)*(Results!$F$2:$F$5001)*(Results!$I$2:$I$5001))/Q$72,0)</f>
        <v>0</v>
      </c>
      <c r="R75" s="6">
        <f>IF(R$72&gt;0,SUMPRODUCT((Results!$A$2:$A$5001=Schedule!R$45)*(Results!$F$2:$F$5001)*(Results!$I$2:$I$5001))/R$72,0)</f>
        <v>0</v>
      </c>
      <c r="S75" s="6">
        <f>IF(S$72&gt;0,SUMPRODUCT((Results!$A$2:$A$5001=Schedule!S$45)*(Results!$F$2:$F$5001)*(Results!$I$2:$I$5001))/S$72,0)</f>
        <v>0</v>
      </c>
      <c r="T75" s="6">
        <f>IF(T$72&gt;0,SUMPRODUCT((Results!$A$2:$A$5001=Schedule!T$45)*(Results!$F$2:$F$5001)*(Results!$I$2:$I$5001))/T$72,0)</f>
        <v>0</v>
      </c>
      <c r="U75" s="6">
        <f>IF(U$72&gt;0,SUMPRODUCT((Results!$A$2:$A$5001=Schedule!U$45)*(Results!$F$2:$F$5001)*(Results!$I$2:$I$5001))/U$72,0)</f>
        <v>0</v>
      </c>
      <c r="V75" s="6">
        <f>IF(V$72&gt;0,SUMPRODUCT((Results!$A$2:$A$5001=Schedule!V$45)*(Results!$F$2:$F$5001)*(Results!$I$2:$I$5001))/V$72,0)</f>
        <v>0</v>
      </c>
      <c r="W75" s="6">
        <f>IF(W$72&gt;0,SUMPRODUCT((Results!$A$2:$A$5001=Schedule!W$45)*(Results!$F$2:$F$5001)*(Results!$I$2:$I$5001))/W$72,0)</f>
        <v>0</v>
      </c>
      <c r="X75" s="6">
        <f>IF(X$72&gt;0,SUMPRODUCT((Results!$A$2:$A$5001=Schedule!X$45)*(Results!$F$2:$F$5001)*(Results!$I$2:$I$5001))/X$72,0)</f>
        <v>0</v>
      </c>
      <c r="Y75" s="6">
        <f>IF(Y$72&gt;0,SUMPRODUCT((Results!$A$2:$A$5001=Schedule!Y$45)*(Results!$F$2:$F$5001)*(Results!$I$2:$I$5001))/Y$72,0)</f>
        <v>0</v>
      </c>
      <c r="Z75" s="6">
        <f>IF(Z$72&gt;0,SUMPRODUCT((Results!$A$2:$A$5001=Schedule!Z$45)*(Results!$F$2:$F$5001)*(Results!$I$2:$I$5001))/Z$72,0)</f>
        <v>0</v>
      </c>
      <c r="AA75" s="6">
        <f>IF(AA$72&gt;0,SUMPRODUCT((Results!$A$2:$A$5001=Schedule!AA$45)*(Results!$F$2:$F$5001)*(Results!$I$2:$I$5001))/AA$72,0)</f>
        <v>0</v>
      </c>
      <c r="AB75" s="6">
        <f>IF(AB$72&gt;0,SUMPRODUCT((Results!$A$2:$A$5001=Schedule!AB$45)*(Results!$F$2:$F$5001)*(Results!$I$2:$I$5001))/AB$72,0)</f>
        <v>0</v>
      </c>
      <c r="AC75" s="6">
        <f>IF(AC$72&gt;0,SUMPRODUCT((Results!$A$2:$A$5001=Schedule!AC$45)*(Results!$F$2:$F$5001)*(Results!$I$2:$I$5001))/AC$72,0)</f>
        <v>0</v>
      </c>
      <c r="AD75" s="6">
        <f>IF(AD$72&gt;0,SUMPRODUCT((Results!$A$2:$A$5001=Schedule!AD$45)*(Results!$F$2:$F$5001)*(Results!$I$2:$I$5001))/AD$72,0)</f>
        <v>0</v>
      </c>
      <c r="AE75" s="6">
        <f>IF(AE$72&gt;0,SUMPRODUCT((Results!$A$2:$A$5001=Schedule!AE$45)*(Results!$F$2:$F$5001)*(Results!$I$2:$I$5001))/AE$72,0)</f>
        <v>0</v>
      </c>
      <c r="AF75" s="6">
        <f>IF(AF$72&gt;0,SUMPRODUCT((Results!$A$2:$A$5001=Schedule!AF$45)*(Results!$F$2:$F$5001)*(Results!$I$2:$I$5001))/AF$72,0)</f>
        <v>0</v>
      </c>
      <c r="AG75" s="6">
        <f>IF(AG$72&gt;0,SUMPRODUCT((Results!$A$2:$A$5001=Schedule!AG$45)*(Results!$F$2:$F$5001)*(Results!$I$2:$I$5001))/AG$72,0)</f>
        <v>0</v>
      </c>
      <c r="AH75" s="6">
        <f>IF(AH$72&gt;0,SUMPRODUCT((Results!$A$2:$A$5001=Schedule!AH$45)*(Results!$F$2:$F$5001)*(Results!$I$2:$I$5001))/AH$72,0)</f>
        <v>0</v>
      </c>
      <c r="AI75" s="6">
        <f>IF(AI$72&gt;0,SUMPRODUCT((Results!$A$2:$A$5001=Schedule!AI$45)*(Results!$F$2:$F$5001)*(Results!$I$2:$I$5001))/AI$72,0)</f>
        <v>0</v>
      </c>
      <c r="AJ75" s="6">
        <f>IF(AJ$72&gt;0,SUMPRODUCT((Results!$A$2:$A$5001=Schedule!AJ$45)*(Results!$F$2:$F$5001)*(Results!$I$2:$I$5001))/AJ$72,0)</f>
        <v>0</v>
      </c>
      <c r="AK75" s="6">
        <f>IF(AK$72&gt;0,SUMPRODUCT((Results!$A$2:$A$5001=Schedule!AK$45)*(Results!$F$2:$F$5001)*(Results!$I$2:$I$5001))/AK$72,0)</f>
        <v>0</v>
      </c>
      <c r="AL75" s="6">
        <f>IF(AL$72&gt;0,SUMPRODUCT((Results!$A$2:$A$5001=Schedule!AL$45)*(Results!$F$2:$F$5001)*(Results!$I$2:$I$5001))/AL$72,0)</f>
        <v>0</v>
      </c>
      <c r="AM75" s="6">
        <f>IF(AM$72&gt;0,SUMPRODUCT((Results!$A$2:$A$5001=Schedule!AM$45)*(Results!$F$2:$F$5001)*(Results!$I$2:$I$5001))/AM$72,0)</f>
        <v>0</v>
      </c>
      <c r="AN75" s="6">
        <f>IF(AN$72&gt;0,SUMPRODUCT((Results!$A$2:$A$5001=Schedule!AN$45)*(Results!$F$2:$F$5001)*(Results!$I$2:$I$5001))/AN$72,0)</f>
        <v>0</v>
      </c>
      <c r="AO75" s="6">
        <f>IF(AO$72&gt;0,SUMPRODUCT((Results!$A$2:$A$5001=Schedule!AO$45)*(Results!$F$2:$F$5001)*(Results!$I$2:$I$5001))/AO$72,0)</f>
        <v>0</v>
      </c>
      <c r="AP75" s="6">
        <f>IF(AP$72&gt;0,SUMPRODUCT((Results!$A$2:$A$5001=Schedule!AP$45)*(Results!$F$2:$F$5001)*(Results!$I$2:$I$5001))/AP$72,0)</f>
        <v>0</v>
      </c>
      <c r="AQ75" s="6">
        <f>IF(AQ$72&gt;0,SUMPRODUCT((Results!$A$2:$A$5001=Schedule!AQ$45)*(Results!$F$2:$F$5001)*(Results!$I$2:$I$5001))/AQ$72,0)</f>
        <v>0</v>
      </c>
      <c r="AR75" s="6">
        <f>IF(AR$72&gt;0,SUMPRODUCT((Results!$A$2:$A$5001=Schedule!AR$45)*(Results!$F$2:$F$5001)*(Results!$I$2:$I$5001))/AR$72,0)</f>
        <v>0</v>
      </c>
      <c r="AS75" s="6">
        <f>IF(AS$72&gt;0,SUMPRODUCT((Results!$A$2:$A$5001=Schedule!AS$45)*(Results!$F$2:$F$5001)*(Results!$I$2:$I$5001))/AS$72,0)</f>
        <v>0</v>
      </c>
      <c r="AT75" s="6">
        <f>IF(AT$72&gt;0,SUMPRODUCT((Results!$A$2:$A$5001=Schedule!AT$45)*(Results!$F$2:$F$5001)*(Results!$I$2:$I$5001))/AT$72,0)</f>
        <v>0</v>
      </c>
      <c r="AU75" s="6">
        <f>IF(AU$72&gt;0,SUMPRODUCT((Results!$A$2:$A$5001=Schedule!AU$45)*(Results!$F$2:$F$5001)*(Results!$I$2:$I$5001))/AU$72,0)</f>
        <v>0</v>
      </c>
      <c r="AV75" s="6">
        <f>IF(AV$72&gt;0,SUMPRODUCT((Results!$A$2:$A$5001=Schedule!AV$45)*(Results!$F$2:$F$5001)*(Results!$I$2:$I$5001))/AV$72,0)</f>
        <v>0</v>
      </c>
      <c r="AW75" s="6">
        <f>IF(AW$72&gt;0,SUMPRODUCT((Results!$A$2:$A$5001=Schedule!AW$45)*(Results!$F$2:$F$5001)*(Results!$I$2:$I$5001))/AW$72,0)</f>
        <v>0</v>
      </c>
      <c r="AX75" s="6">
        <f>IF(AX$72&gt;0,SUMPRODUCT((Results!$A$2:$A$5001=Schedule!AX$45)*(Results!$F$2:$F$5001)*(Results!$I$2:$I$5001))/AX$72,0)</f>
        <v>0</v>
      </c>
      <c r="AY75" s="6">
        <f>IF(AY$72&gt;0,SUMPRODUCT((Results!$A$2:$A$5001=Schedule!AY$45)*(Results!$F$2:$F$5001)*(Results!$I$2:$I$5001))/AY$72,0)</f>
        <v>0</v>
      </c>
      <c r="AZ75" s="6">
        <f>IF(AZ$72&gt;0,SUMPRODUCT((Results!$A$2:$A$5001=Schedule!AZ$45)*(Results!$F$2:$F$5001)*(Results!$I$2:$I$5001))/AZ$72,0)</f>
        <v>0</v>
      </c>
      <c r="BA75" s="6">
        <f>IF(BA$72&gt;0,SUMPRODUCT((Results!$A$2:$A$5001=Schedule!BA$45)*(Results!$F$2:$F$5001)*(Results!$I$2:$I$5001))/BA$72,0)</f>
        <v>0</v>
      </c>
      <c r="BB75" s="6">
        <f>IF(BB$72&gt;0,SUMPRODUCT((Results!$A$2:$A$5001=Schedule!BB$45)*(Results!$F$2:$F$5001)*(Results!$I$2:$I$5001))/BB$72,0)</f>
        <v>0</v>
      </c>
      <c r="BC75" s="6">
        <f>IF(BC$72&gt;0,SUMPRODUCT((Results!$A$2:$A$5001=Schedule!BC$45)*(Results!$F$2:$F$5001)*(Results!$I$2:$I$5001))/BC$72,0)</f>
        <v>0</v>
      </c>
      <c r="BD75" s="6">
        <f>IF(BD$72&gt;0,SUMPRODUCT((Results!$A$2:$A$5001=Schedule!BD$45)*(Results!$F$2:$F$5001)*(Results!$I$2:$I$5001))/BD$72,0)</f>
        <v>0</v>
      </c>
      <c r="BE75" s="6">
        <f>IF(BE$72&gt;0,SUMPRODUCT((Results!$A$2:$A$5001=Schedule!BE$45)*(Results!$F$2:$F$5001)*(Results!$I$2:$I$5001))/BE$72,0)</f>
        <v>0</v>
      </c>
      <c r="BF75" s="6">
        <f>IF(BF$72&gt;0,SUMPRODUCT((Results!$A$2:$A$5001=Schedule!BF$45)*(Results!$F$2:$F$5001)*(Results!$I$2:$I$5001))/BF$72,0)</f>
        <v>0</v>
      </c>
      <c r="BG75" s="6">
        <f>IF(BG$72&gt;0,SUMPRODUCT((Results!$A$2:$A$5001=Schedule!BG$45)*(Results!$F$2:$F$5001)*(Results!$I$2:$I$5001))/BG$72,0)</f>
        <v>0</v>
      </c>
      <c r="BH75" s="6">
        <f>IF(BH$72&gt;0,SUMPRODUCT((Results!$A$2:$A$5001=Schedule!BH$45)*(Results!$F$2:$F$5001)*(Results!$I$2:$I$5001))/BH$72,0)</f>
        <v>0</v>
      </c>
      <c r="BI75" s="6">
        <f>IF(BI$72&gt;0,SUMPRODUCT((Results!$A$2:$A$5001=Schedule!BI$45)*(Results!$F$2:$F$5001)*(Results!$I$2:$I$5001))/BI$72,0)</f>
        <v>0</v>
      </c>
      <c r="BJ75" s="6">
        <f>IF(BJ$72&gt;0,SUMPRODUCT((Results!$A$2:$A$5001=Schedule!BJ$45)*(Results!$F$2:$F$5001)*(Results!$I$2:$I$5001))/BJ$72,0)</f>
        <v>0</v>
      </c>
      <c r="BK75" s="6">
        <f>IF(BK$72&gt;0,SUMPRODUCT((Results!$A$2:$A$5001=Schedule!BK$45)*(Results!$F$2:$F$5001)*(Results!$I$2:$I$5001))/BK$72,0)</f>
        <v>0</v>
      </c>
      <c r="BL75" s="6">
        <f>IF(BL$72&gt;0,SUMPRODUCT((Results!$A$2:$A$5001=Schedule!BL$45)*(Results!$F$2:$F$5001)*(Results!$I$2:$I$5001))/BL$72,0)</f>
        <v>0</v>
      </c>
      <c r="BM75" s="6">
        <f>IF(BM$72&gt;0,SUMPRODUCT((Results!$A$2:$A$5001=Schedule!BM$45)*(Results!$F$2:$F$5001)*(Results!$I$2:$I$5001))/BM$72,0)</f>
        <v>0</v>
      </c>
      <c r="BN75" s="6">
        <f>IF(BN$72&gt;0,SUMPRODUCT((Results!$A$2:$A$5001=Schedule!BN$45)*(Results!$F$2:$F$5001)*(Results!$I$2:$I$5001))/BN$72,0)</f>
        <v>0</v>
      </c>
      <c r="BO75" s="6">
        <f>IF(BO$72&gt;0,SUMPRODUCT((Results!$A$2:$A$5001=Schedule!BO$45)*(Results!$F$2:$F$5001)*(Results!$I$2:$I$5001))/BO$72,0)</f>
        <v>0</v>
      </c>
      <c r="BP75" s="6">
        <f>IF(BP$72&gt;0,SUMPRODUCT((Results!$A$2:$A$5001=Schedule!BP$45)*(Results!$F$2:$F$5001)*(Results!$I$2:$I$5001))/BP$72,0)</f>
        <v>0</v>
      </c>
      <c r="BQ75" s="6">
        <f>IF(BQ$72&gt;0,SUMPRODUCT((Results!$A$2:$A$5001=Schedule!BQ$45)*(Results!$F$2:$F$5001)*(Results!$I$2:$I$5001))/BQ$72,0)</f>
        <v>0</v>
      </c>
      <c r="BR75" s="6">
        <f>IF(BR$72&gt;0,SUMPRODUCT((Results!$A$2:$A$5001=Schedule!BR$45)*(Results!$F$2:$F$5001)*(Results!$I$2:$I$5001))/BR$72,0)</f>
        <v>0</v>
      </c>
      <c r="BS75" s="6">
        <f>IF(BS$72&gt;0,SUMPRODUCT((Results!$A$2:$A$5001=Schedule!BS$45)*(Results!$F$2:$F$5001)*(Results!$I$2:$I$5001))/BS$72,0)</f>
        <v>0</v>
      </c>
      <c r="BT75" s="6">
        <f>IF(BT$72&gt;0,SUMPRODUCT((Results!$A$2:$A$5001=Schedule!BT$45)*(Results!$F$2:$F$5001)*(Results!$I$2:$I$5001))/BT$72,0)</f>
        <v>0</v>
      </c>
      <c r="BU75" s="6">
        <f>IF(BU$72&gt;0,SUMPRODUCT((Results!$A$2:$A$5001=Schedule!BU$45)*(Results!$F$2:$F$5001)*(Results!$I$2:$I$5001))/BU$72,0)</f>
        <v>0</v>
      </c>
      <c r="BV75" s="6">
        <f>IF(BV$72&gt;0,SUMPRODUCT((Results!$A$2:$A$5001=Schedule!BV$45)*(Results!$F$2:$F$5001)*(Results!$I$2:$I$5001))/BV$72,0)</f>
        <v>0</v>
      </c>
      <c r="BW75" s="6">
        <f>IF(BW$72&gt;0,SUMPRODUCT((Results!$A$2:$A$5001=Schedule!BW$45)*(Results!$F$2:$F$5001)*(Results!$I$2:$I$5001))/BW$72,0)</f>
        <v>0</v>
      </c>
      <c r="BX75" s="6">
        <f>IF(BX$72&gt;0,SUMPRODUCT((Results!$A$2:$A$5001=Schedule!BX$45)*(Results!$F$2:$F$5001)*(Results!$I$2:$I$5001))/BX$72,0)</f>
        <v>0</v>
      </c>
      <c r="BY75" s="6">
        <f>IF(BY$72&gt;0,SUMPRODUCT((Results!$A$2:$A$5001=Schedule!BY$45)*(Results!$F$2:$F$5001)*(Results!$I$2:$I$5001))/BY$72,0)</f>
        <v>0</v>
      </c>
      <c r="BZ75" s="6">
        <f>IF(BZ$72&gt;0,SUMPRODUCT((Results!$A$2:$A$5001=Schedule!BZ$45)*(Results!$F$2:$F$5001)*(Results!$I$2:$I$5001))/BZ$72,0)</f>
        <v>0</v>
      </c>
      <c r="CA75" s="6">
        <f>IF(CA$72&gt;0,SUMPRODUCT((Results!$A$2:$A$5001=Schedule!CA$45)*(Results!$F$2:$F$5001)*(Results!$I$2:$I$5001))/CA$72,0)</f>
        <v>0</v>
      </c>
      <c r="CB75" s="6">
        <f>IF(CB$72&gt;0,SUMPRODUCT((Results!$A$2:$A$5001=Schedule!CB$45)*(Results!$F$2:$F$5001)*(Results!$I$2:$I$5001))/CB$72,0)</f>
        <v>0</v>
      </c>
      <c r="CC75" s="6">
        <f>IF(CC$72&gt;0,SUMPRODUCT((Results!$A$2:$A$5001=Schedule!CC$45)*(Results!$F$2:$F$5001)*(Results!$I$2:$I$5001))/CC$72,0)</f>
        <v>0</v>
      </c>
      <c r="CD75" s="6">
        <f>IF(CD$72&gt;0,SUMPRODUCT((Results!$A$2:$A$5001=Schedule!CD$45)*(Results!$F$2:$F$5001)*(Results!$I$2:$I$5001))/CD$72,0)</f>
        <v>0</v>
      </c>
      <c r="CE75" s="6">
        <f>IF(CE$72&gt;0,SUMPRODUCT((Results!$A$2:$A$5001=Schedule!CE$45)*(Results!$F$2:$F$5001)*(Results!$I$2:$I$5001))/CE$72,0)</f>
        <v>0</v>
      </c>
      <c r="CF75" s="6">
        <f>IF(CF$72&gt;0,SUMPRODUCT((Results!$A$2:$A$5001=Schedule!CF$45)*(Results!$F$2:$F$5001)*(Results!$I$2:$I$5001))/CF$72,0)</f>
        <v>0</v>
      </c>
      <c r="CG75" s="6">
        <f>IF(CG$72&gt;0,SUMPRODUCT((Results!$A$2:$A$5001=Schedule!CG$45)*(Results!$F$2:$F$5001)*(Results!$I$2:$I$5001))/CG$72,0)</f>
        <v>0</v>
      </c>
      <c r="CH75" s="6">
        <f>IF(CH$72&gt;0,SUMPRODUCT((Results!$A$2:$A$5001=Schedule!CH$45)*(Results!$F$2:$F$5001)*(Results!$I$2:$I$5001))/CH$72,0)</f>
        <v>0</v>
      </c>
      <c r="CI75" s="6">
        <f>IF(CI$72&gt;0,SUMPRODUCT((Results!$A$2:$A$5001=Schedule!CI$45)*(Results!$F$2:$F$5001)*(Results!$I$2:$I$5001))/CI$72,0)</f>
        <v>0</v>
      </c>
      <c r="CJ75" s="6">
        <f>IF(CJ$72&gt;0,SUMPRODUCT((Results!$A$2:$A$5001=Schedule!CJ$45)*(Results!$F$2:$F$5001)*(Results!$I$2:$I$5001))/CJ$72,0)</f>
        <v>0</v>
      </c>
      <c r="CK75" s="6">
        <f>IF(CK$72&gt;0,SUMPRODUCT((Results!$A$2:$A$5001=Schedule!CK$45)*(Results!$F$2:$F$5001)*(Results!$I$2:$I$5001))/CK$72,0)</f>
        <v>0</v>
      </c>
      <c r="CL75" s="6">
        <f>IF(CL$72&gt;0,SUMPRODUCT((Results!$A$2:$A$5001=Schedule!CL$45)*(Results!$F$2:$F$5001)*(Results!$I$2:$I$5001))/CL$72,0)</f>
        <v>0</v>
      </c>
      <c r="CM75" s="6">
        <f>IF(CM$72&gt;0,SUMPRODUCT((Results!$A$2:$A$5001=Schedule!CM$45)*(Results!$F$2:$F$5001)*(Results!$I$2:$I$5001))/CM$72,0)</f>
        <v>0</v>
      </c>
      <c r="CN75" s="6">
        <f>IF(CN$72&gt;0,SUMPRODUCT((Results!$A$2:$A$5001=Schedule!CN$45)*(Results!$F$2:$F$5001)*(Results!$I$2:$I$5001))/CN$72,0)</f>
        <v>0</v>
      </c>
      <c r="CO75" s="6">
        <f>IF(CO$72&gt;0,SUMPRODUCT((Results!$A$2:$A$5001=Schedule!CO$45)*(Results!$F$2:$F$5001)*(Results!$I$2:$I$5001))/CO$72,0)</f>
        <v>0</v>
      </c>
      <c r="CP75" s="6">
        <f>IF(CP$72&gt;0,SUMPRODUCT((Results!$A$2:$A$5001=Schedule!CP$45)*(Results!$F$2:$F$5001)*(Results!$I$2:$I$5001))/CP$72,0)</f>
        <v>0</v>
      </c>
      <c r="CQ75" s="6">
        <f>IF(CQ$72&gt;0,SUMPRODUCT((Results!$A$2:$A$5001=Schedule!CQ$45)*(Results!$F$2:$F$5001)*(Results!$I$2:$I$5001))/CQ$72,0)</f>
        <v>0</v>
      </c>
      <c r="CR75" s="6">
        <f>IF(CR$72&gt;0,SUMPRODUCT((Results!$A$2:$A$5001=Schedule!CR$45)*(Results!$F$2:$F$5001)*(Results!$I$2:$I$5001))/CR$72,0)</f>
        <v>0</v>
      </c>
      <c r="CS75" s="6">
        <f>IF(CS$72&gt;0,SUMPRODUCT((Results!$A$2:$A$5001=Schedule!CS$45)*(Results!$F$2:$F$5001)*(Results!$I$2:$I$5001))/CS$72,0)</f>
        <v>0</v>
      </c>
      <c r="CT75" s="6">
        <f>IF(CT$72&gt;0,SUMPRODUCT((Results!$A$2:$A$5001=Schedule!CT$45)*(Results!$F$2:$F$5001)*(Results!$I$2:$I$5001))/CT$72,0)</f>
        <v>0</v>
      </c>
      <c r="CU75" s="6">
        <f>IF(CU$72&gt;0,SUMPRODUCT((Results!$A$2:$A$5001=Schedule!CU$45)*(Results!$F$2:$F$5001)*(Results!$I$2:$I$5001))/CU$72,0)</f>
        <v>0</v>
      </c>
      <c r="CV75" s="6">
        <f>IF(CV$72&gt;0,SUMPRODUCT((Results!$A$2:$A$5001=Schedule!CV$45)*(Results!$F$2:$F$5001)*(Results!$I$2:$I$5001))/CV$72,0)</f>
        <v>0</v>
      </c>
      <c r="CW75" s="6">
        <f>IF(CW$72&gt;0,SUMPRODUCT((Results!$A$2:$A$5001=Schedule!CW$45)*(Results!$F$2:$F$5001)*(Results!$I$2:$I$5001))/CW$72,0)</f>
        <v>0</v>
      </c>
      <c r="CX75" s="6">
        <f>IF(CX$72&gt;0,SUMPRODUCT((Results!$A$2:$A$5001=Schedule!CX$45)*(Results!$F$2:$F$5001)*(Results!$I$2:$I$5001))/CX$72,0)</f>
        <v>0</v>
      </c>
      <c r="CY75" s="6">
        <f>IF(CY$72&gt;0,SUMPRODUCT((Results!$A$2:$A$5001=Schedule!CY$45)*(Results!$F$2:$F$5001)*(Results!$I$2:$I$5001))/CY$72,0)</f>
        <v>0</v>
      </c>
      <c r="CZ75" s="6">
        <f>IF(CZ$72&gt;0,SUMPRODUCT((Results!$A$2:$A$5001=Schedule!CZ$45)*(Results!$F$2:$F$5001)*(Results!$I$2:$I$5001))/CZ$72,0)</f>
        <v>0</v>
      </c>
      <c r="DA75" s="6">
        <f>IF(DA$72&gt;0,SUMPRODUCT((Results!$A$2:$A$5001=Schedule!DA$45)*(Results!$F$2:$F$5001)*(Results!$I$2:$I$5001))/DA$72,0)</f>
        <v>0</v>
      </c>
      <c r="DB75" s="6">
        <f>IF(DB$72&gt;0,SUMPRODUCT((Results!$A$2:$A$5001=Schedule!DB$45)*(Results!$F$2:$F$5001)*(Results!$I$2:$I$5001))/DB$72,0)</f>
        <v>0</v>
      </c>
      <c r="DC75" s="6">
        <f>IF(DC$72&gt;0,SUMPRODUCT((Results!$A$2:$A$5001=Schedule!DC$45)*(Results!$F$2:$F$5001)*(Results!$I$2:$I$5001))/DC$72,0)</f>
        <v>0</v>
      </c>
      <c r="DD75" s="6">
        <f>IF(DD$72&gt;0,SUMPRODUCT((Results!$A$2:$A$5001=Schedule!DD$45)*(Results!$F$2:$F$5001)*(Results!$I$2:$I$5001))/DD$72,0)</f>
        <v>0</v>
      </c>
      <c r="DE75" s="6">
        <f>IF(DE$72&gt;0,SUMPRODUCT((Results!$A$2:$A$5001=Schedule!DE$45)*(Results!$F$2:$F$5001)*(Results!$I$2:$I$5001))/DE$72,0)</f>
        <v>0</v>
      </c>
      <c r="DF75" s="6">
        <f>IF(DF$72&gt;0,SUMPRODUCT((Results!$A$2:$A$5001=Schedule!DF$45)*(Results!$F$2:$F$5001)*(Results!$I$2:$I$5001))/DF$72,0)</f>
        <v>0</v>
      </c>
      <c r="DG75" s="6">
        <f>IF(DG$72&gt;0,SUMPRODUCT((Results!$A$2:$A$5001=Schedule!DG$45)*(Results!$F$2:$F$5001)*(Results!$I$2:$I$5001))/DG$72,0)</f>
        <v>0</v>
      </c>
      <c r="DH75" s="6">
        <f>IF(DH$72&gt;0,SUMPRODUCT((Results!$A$2:$A$5001=Schedule!DH$45)*(Results!$F$2:$F$5001)*(Results!$I$2:$I$5001))/DH$72,0)</f>
        <v>0</v>
      </c>
      <c r="DI75" s="6">
        <f>IF(DI$72&gt;0,SUMPRODUCT((Results!$A$2:$A$5001=Schedule!DI$45)*(Results!$F$2:$F$5001)*(Results!$I$2:$I$5001))/DI$72,0)</f>
        <v>0</v>
      </c>
      <c r="DJ75" s="6">
        <f>IF(DJ$72&gt;0,SUMPRODUCT((Results!$A$2:$A$5001=Schedule!DJ$45)*(Results!$F$2:$F$5001)*(Results!$I$2:$I$5001))/DJ$72,0)</f>
        <v>0</v>
      </c>
      <c r="DK75" s="6">
        <f>IF(DK$72&gt;0,SUMPRODUCT((Results!$A$2:$A$5001=Schedule!DK$45)*(Results!$F$2:$F$5001)*(Results!$I$2:$I$5001))/DK$72,0)</f>
        <v>0</v>
      </c>
      <c r="DL75" s="6">
        <f>IF(DL$72&gt;0,SUMPRODUCT((Results!$A$2:$A$5001=Schedule!DL$45)*(Results!$F$2:$F$5001)*(Results!$I$2:$I$5001))/DL$72,0)</f>
        <v>0</v>
      </c>
      <c r="DM75" s="6">
        <f>IF(DM$72&gt;0,SUMPRODUCT((Results!$A$2:$A$5001=Schedule!DM$45)*(Results!$F$2:$F$5001)*(Results!$I$2:$I$5001))/DM$72,0)</f>
        <v>0</v>
      </c>
      <c r="DN75" s="6">
        <f>IF(DN$72&gt;0,SUMPRODUCT((Results!$A$2:$A$5001=Schedule!DN$45)*(Results!$F$2:$F$5001)*(Results!$I$2:$I$5001))/DN$72,0)</f>
        <v>0</v>
      </c>
      <c r="DO75" s="6">
        <f>IF(DO$72&gt;0,SUMPRODUCT((Results!$A$2:$A$5001=Schedule!DO$45)*(Results!$F$2:$F$5001)*(Results!$I$2:$I$5001))/DO$72,0)</f>
        <v>0</v>
      </c>
      <c r="DP75" s="6">
        <f>IF(DP$72&gt;0,SUMPRODUCT((Results!$A$2:$A$5001=Schedule!DP$45)*(Results!$F$2:$F$5001)*(Results!$I$2:$I$5001))/DP$72,0)</f>
        <v>0</v>
      </c>
      <c r="DQ75" s="6">
        <f>IF(DQ$72&gt;0,SUMPRODUCT((Results!$A$2:$A$5001=Schedule!DQ$45)*(Results!$F$2:$F$5001)*(Results!$I$2:$I$5001))/DQ$72,0)</f>
        <v>0</v>
      </c>
      <c r="DR75" s="6">
        <f>IF(DR$72&gt;0,SUMPRODUCT((Results!$A$2:$A$5001=Schedule!DR$45)*(Results!$F$2:$F$5001)*(Results!$I$2:$I$5001))/DR$72,0)</f>
        <v>0</v>
      </c>
      <c r="DS75" s="6">
        <f>IF(DS$72&gt;0,SUMPRODUCT((Results!$A$2:$A$5001=Schedule!DS$45)*(Results!$F$2:$F$5001)*(Results!$I$2:$I$5001))/DS$72,0)</f>
        <v>0</v>
      </c>
      <c r="DT75" s="6">
        <f>IF(DT$72&gt;0,SUMPRODUCT((Results!$A$2:$A$5001=Schedule!DT$45)*(Results!$F$2:$F$5001)*(Results!$I$2:$I$5001))/DT$72,0)</f>
        <v>0</v>
      </c>
      <c r="DU75" s="6">
        <f>IF(DU$72&gt;0,SUMPRODUCT((Results!$A$2:$A$5001=Schedule!DU$45)*(Results!$F$2:$F$5001)*(Results!$I$2:$I$5001))/DU$72,0)</f>
        <v>0</v>
      </c>
      <c r="DV75" s="6">
        <f>IF(DV$72&gt;0,SUMPRODUCT((Results!$A$2:$A$5001=Schedule!DV$45)*(Results!$F$2:$F$5001)*(Results!$I$2:$I$5001))/DV$72,0)</f>
        <v>0</v>
      </c>
      <c r="DW75" s="6">
        <f>IF(DW$72&gt;0,SUMPRODUCT((Results!$A$2:$A$5001=Schedule!DW$45)*(Results!$F$2:$F$5001)*(Results!$I$2:$I$5001))/DW$72,0)</f>
        <v>0</v>
      </c>
      <c r="DX75" s="6">
        <f>IF(DX$72&gt;0,SUMPRODUCT((Results!$A$2:$A$5001=Schedule!DX$45)*(Results!$F$2:$F$5001)*(Results!$I$2:$I$5001))/DX$72,0)</f>
        <v>0</v>
      </c>
      <c r="DY75" s="6">
        <f>IF(DY$72&gt;0,SUMPRODUCT((Results!$A$2:$A$5001=Schedule!DY$45)*(Results!$F$2:$F$5001)*(Results!$I$2:$I$5001))/DY$72,0)</f>
        <v>0</v>
      </c>
      <c r="DZ75" s="6">
        <f>IF(DZ$72&gt;0,SUMPRODUCT((Results!$A$2:$A$5001=Schedule!DZ$45)*(Results!$F$2:$F$5001)*(Results!$I$2:$I$5001))/DZ$72,0)</f>
        <v>0</v>
      </c>
      <c r="EA75" s="6">
        <f>IF(EA$72&gt;0,SUMPRODUCT((Results!$A$2:$A$5001=Schedule!EA$45)*(Results!$F$2:$F$5001)*(Results!$I$2:$I$5001))/EA$72,0)</f>
        <v>0</v>
      </c>
      <c r="EB75" s="6">
        <f>IF(EB$72&gt;0,SUMPRODUCT((Results!$A$2:$A$5001=Schedule!EB$45)*(Results!$F$2:$F$5001)*(Results!$I$2:$I$5001))/EB$72,0)</f>
        <v>0</v>
      </c>
      <c r="EC75" s="6">
        <f>IF(EC$72&gt;0,SUMPRODUCT((Results!$A$2:$A$5001=Schedule!EC$45)*(Results!$F$2:$F$5001)*(Results!$I$2:$I$5001))/EC$72,0)</f>
        <v>0</v>
      </c>
      <c r="ED75" s="6">
        <f>IF(ED$72&gt;0,SUMPRODUCT((Results!$A$2:$A$5001=Schedule!ED$45)*(Results!$F$2:$F$5001)*(Results!$I$2:$I$5001))/ED$72,0)</f>
        <v>0</v>
      </c>
      <c r="EE75" s="6">
        <f>IF(EE$72&gt;0,SUMPRODUCT((Results!$A$2:$A$5001=Schedule!EE$45)*(Results!$F$2:$F$5001)*(Results!$I$2:$I$5001))/EE$72,0)</f>
        <v>0</v>
      </c>
      <c r="EF75" s="6">
        <f>IF(EF$72&gt;0,SUMPRODUCT((Results!$A$2:$A$5001=Schedule!EF$45)*(Results!$F$2:$F$5001)*(Results!$I$2:$I$5001))/EF$72,0)</f>
        <v>0</v>
      </c>
      <c r="EG75" s="6">
        <f>IF(EG$72&gt;0,SUMPRODUCT((Results!$A$2:$A$5001=Schedule!EG$45)*(Results!$F$2:$F$5001)*(Results!$I$2:$I$5001))/EG$72,0)</f>
        <v>0</v>
      </c>
      <c r="EH75" s="6">
        <f>IF(EH$72&gt;0,SUMPRODUCT((Results!$A$2:$A$5001=Schedule!EH$45)*(Results!$F$2:$F$5001)*(Results!$I$2:$I$5001))/EH$72,0)</f>
        <v>0</v>
      </c>
      <c r="EI75" s="6">
        <f>IF(EI$72&gt;0,SUMPRODUCT((Results!$A$2:$A$5001=Schedule!EI$45)*(Results!$F$2:$F$5001)*(Results!$I$2:$I$5001))/EI$72,0)</f>
        <v>0</v>
      </c>
      <c r="EJ75" s="6">
        <f>IF(EJ$72&gt;0,SUMPRODUCT((Results!$A$2:$A$5001=Schedule!EJ$45)*(Results!$F$2:$F$5001)*(Results!$I$2:$I$5001))/EJ$72,0)</f>
        <v>0</v>
      </c>
      <c r="EK75" s="6">
        <f>IF(EK$72&gt;0,SUMPRODUCT((Results!$A$2:$A$5001=Schedule!EK$45)*(Results!$F$2:$F$5001)*(Results!$I$2:$I$5001))/EK$72,0)</f>
        <v>0</v>
      </c>
      <c r="EL75" s="6">
        <f>IF(EL$72&gt;0,SUMPRODUCT((Results!$A$2:$A$5001=Schedule!EL$45)*(Results!$F$2:$F$5001)*(Results!$I$2:$I$5001))/EL$72,0)</f>
        <v>0</v>
      </c>
      <c r="EM75" s="6">
        <f>IF(EM$72&gt;0,SUMPRODUCT((Results!$A$2:$A$5001=Schedule!EM$45)*(Results!$F$2:$F$5001)*(Results!$I$2:$I$5001))/EM$72,0)</f>
        <v>0</v>
      </c>
      <c r="EN75" s="6">
        <f>IF(EN$72&gt;0,SUMPRODUCT((Results!$A$2:$A$5001=Schedule!EN$45)*(Results!$F$2:$F$5001)*(Results!$I$2:$I$5001))/EN$72,0)</f>
        <v>0</v>
      </c>
      <c r="EO75" s="6">
        <f>IF(EO$72&gt;0,SUMPRODUCT((Results!$A$2:$A$5001=Schedule!EO$45)*(Results!$F$2:$F$5001)*(Results!$I$2:$I$5001))/EO$72,0)</f>
        <v>0</v>
      </c>
      <c r="EP75" s="6">
        <f>IF(EP$72&gt;0,SUMPRODUCT((Results!$A$2:$A$5001=Schedule!EP$45)*(Results!$F$2:$F$5001)*(Results!$I$2:$I$5001))/EP$72,0)</f>
        <v>0</v>
      </c>
      <c r="EQ75" s="6">
        <f>IF(EQ$72&gt;0,SUMPRODUCT((Results!$A$2:$A$5001=Schedule!EQ$45)*(Results!$F$2:$F$5001)*(Results!$I$2:$I$5001))/EQ$72,0)</f>
        <v>0</v>
      </c>
      <c r="ER75" s="6">
        <f>IF(ER$72&gt;0,SUMPRODUCT((Results!$A$2:$A$5001=Schedule!ER$45)*(Results!$F$2:$F$5001)*(Results!$I$2:$I$5001))/ER$72,0)</f>
        <v>0</v>
      </c>
      <c r="ES75" s="6">
        <f>IF(ES$72&gt;0,SUMPRODUCT((Results!$A$2:$A$5001=Schedule!ES$45)*(Results!$F$2:$F$5001)*(Results!$I$2:$I$5001))/ES$72,0)</f>
        <v>0</v>
      </c>
      <c r="ET75" s="6">
        <f>IF(ET$72&gt;0,SUMPRODUCT((Results!$A$2:$A$5001=Schedule!ET$45)*(Results!$F$2:$F$5001)*(Results!$I$2:$I$5001))/ET$72,0)</f>
        <v>0</v>
      </c>
      <c r="EU75" s="6">
        <f>IF(EU$72&gt;0,SUMPRODUCT((Results!$A$2:$A$5001=Schedule!EU$45)*(Results!$F$2:$F$5001)*(Results!$I$2:$I$5001))/EU$72,0)</f>
        <v>0</v>
      </c>
      <c r="EV75" s="6">
        <f>IF(EV$72&gt;0,SUMPRODUCT((Results!$A$2:$A$5001=Schedule!EV$45)*(Results!$F$2:$F$5001)*(Results!$I$2:$I$5001))/EV$72,0)</f>
        <v>0</v>
      </c>
      <c r="EW75" s="6">
        <f>IF(EW$72&gt;0,SUMPRODUCT((Results!$A$2:$A$5001=Schedule!EW$45)*(Results!$F$2:$F$5001)*(Results!$I$2:$I$5001))/EW$72,0)</f>
        <v>0</v>
      </c>
      <c r="EX75" s="6">
        <f>IF(EX$72&gt;0,SUMPRODUCT((Results!$A$2:$A$5001=Schedule!EX$45)*(Results!$F$2:$F$5001)*(Results!$I$2:$I$5001))/EX$72,0)</f>
        <v>0</v>
      </c>
      <c r="EY75" s="6">
        <f>IF(EY$72&gt;0,SUMPRODUCT((Results!$A$2:$A$5001=Schedule!EY$45)*(Results!$F$2:$F$5001)*(Results!$I$2:$I$5001))/EY$72,0)</f>
        <v>0</v>
      </c>
      <c r="EZ75" s="6">
        <f>IF(EZ$72&gt;0,SUMPRODUCT((Results!$A$2:$A$5001=Schedule!EZ$45)*(Results!$F$2:$F$5001)*(Results!$I$2:$I$5001))/EZ$72,0)</f>
        <v>0</v>
      </c>
      <c r="FA75" s="6">
        <f>IF(FA$72&gt;0,SUMPRODUCT((Results!$A$2:$A$5001=Schedule!FA$45)*(Results!$F$2:$F$5001)*(Results!$I$2:$I$5001))/FA$72,0)</f>
        <v>0</v>
      </c>
      <c r="FB75" s="6">
        <f>IF(FB$72&gt;0,SUMPRODUCT((Results!$A$2:$A$5001=Schedule!FB$45)*(Results!$F$2:$F$5001)*(Results!$I$2:$I$5001))/FB$72,0)</f>
        <v>0</v>
      </c>
      <c r="FC75" s="6">
        <f>IF(FC$72&gt;0,SUMPRODUCT((Results!$A$2:$A$5001=Schedule!FC$45)*(Results!$F$2:$F$5001)*(Results!$I$2:$I$5001))/FC$72,0)</f>
        <v>0</v>
      </c>
      <c r="FD75" s="6">
        <f>IF(FD$72&gt;0,SUMPRODUCT((Results!$A$2:$A$5001=Schedule!FD$45)*(Results!$F$2:$F$5001)*(Results!$I$2:$I$5001))/FD$72,0)</f>
        <v>0</v>
      </c>
      <c r="FE75" s="6">
        <f>IF(FE$72&gt;0,SUMPRODUCT((Results!$A$2:$A$5001=Schedule!FE$45)*(Results!$F$2:$F$5001)*(Results!$I$2:$I$5001))/FE$72,0)</f>
        <v>0</v>
      </c>
      <c r="FF75" s="6">
        <f>IF(FF$72&gt;0,SUMPRODUCT((Results!$A$2:$A$5001=Schedule!FF$45)*(Results!$F$2:$F$5001)*(Results!$I$2:$I$5001))/FF$72,0)</f>
        <v>0</v>
      </c>
      <c r="FG75" s="6">
        <f>IF(FG$72&gt;0,SUMPRODUCT((Results!$A$2:$A$5001=Schedule!FG$45)*(Results!$F$2:$F$5001)*(Results!$I$2:$I$5001))/FG$72,0)</f>
        <v>0</v>
      </c>
      <c r="FH75" s="6">
        <f>IF(FH$72&gt;0,SUMPRODUCT((Results!$A$2:$A$5001=Schedule!FH$45)*(Results!$F$2:$F$5001)*(Results!$I$2:$I$5001))/FH$72,0)</f>
        <v>0</v>
      </c>
      <c r="FI75" s="6">
        <f>IF(FI$72&gt;0,SUMPRODUCT((Results!$A$2:$A$5001=Schedule!FI$45)*(Results!$F$2:$F$5001)*(Results!$I$2:$I$5001))/FI$72,0)</f>
        <v>0</v>
      </c>
      <c r="FJ75" s="6">
        <f>IF(FJ$72&gt;0,SUMPRODUCT((Results!$A$2:$A$5001=Schedule!FJ$45)*(Results!$F$2:$F$5001)*(Results!$I$2:$I$5001))/FJ$72,0)</f>
        <v>0</v>
      </c>
      <c r="FK75" s="6">
        <f>IF(FK$72&gt;0,SUMPRODUCT((Results!$A$2:$A$5001=Schedule!FK$45)*(Results!$F$2:$F$5001)*(Results!$I$2:$I$5001))/FK$72,0)</f>
        <v>0</v>
      </c>
      <c r="FL75" s="6">
        <f>IF(FL$72&gt;0,SUMPRODUCT((Results!$A$2:$A$5001=Schedule!FL$45)*(Results!$F$2:$F$5001)*(Results!$I$2:$I$5001))/FL$72,0)</f>
        <v>0</v>
      </c>
      <c r="FM75" s="6">
        <f>IF(FM$72&gt;0,SUMPRODUCT((Results!$A$2:$A$5001=Schedule!FM$45)*(Results!$F$2:$F$5001)*(Results!$I$2:$I$5001))/FM$72,0)</f>
        <v>0</v>
      </c>
      <c r="FN75" s="6">
        <f>IF(FN$72&gt;0,SUMPRODUCT((Results!$A$2:$A$5001=Schedule!FN$45)*(Results!$F$2:$F$5001)*(Results!$I$2:$I$5001))/FN$72,0)</f>
        <v>0</v>
      </c>
      <c r="FO75" s="6">
        <f>IF(FO$72&gt;0,SUMPRODUCT((Results!$A$2:$A$5001=Schedule!FO$45)*(Results!$F$2:$F$5001)*(Results!$I$2:$I$5001))/FO$72,0)</f>
        <v>0</v>
      </c>
      <c r="FP75" s="6">
        <f>IF(FP$72&gt;0,SUMPRODUCT((Results!$A$2:$A$5001=Schedule!FP$45)*(Results!$F$2:$F$5001)*(Results!$I$2:$I$5001))/FP$72,0)</f>
        <v>0</v>
      </c>
      <c r="FQ75" s="6">
        <f>IF(FQ$72&gt;0,SUMPRODUCT((Results!$A$2:$A$5001=Schedule!FQ$45)*(Results!$F$2:$F$5001)*(Results!$I$2:$I$5001))/FQ$72,0)</f>
        <v>0</v>
      </c>
      <c r="FR75" s="6">
        <f>IF(FR$72&gt;0,SUMPRODUCT((Results!$A$2:$A$5001=Schedule!FR$45)*(Results!$F$2:$F$5001)*(Results!$I$2:$I$5001))/FR$72,0)</f>
        <v>0</v>
      </c>
      <c r="FS75" s="6">
        <f>IF(FS$72&gt;0,SUMPRODUCT((Results!$A$2:$A$5001=Schedule!FS$45)*(Results!$F$2:$F$5001)*(Results!$I$2:$I$5001))/FS$72,0)</f>
        <v>0</v>
      </c>
      <c r="FT75" s="6">
        <f>IF(FT$72&gt;0,SUMPRODUCT((Results!$A$2:$A$5001=Schedule!FT$45)*(Results!$F$2:$F$5001)*(Results!$I$2:$I$5001))/FT$72,0)</f>
        <v>0</v>
      </c>
      <c r="FU75" s="6">
        <f>IF(FU$72&gt;0,SUMPRODUCT((Results!$A$2:$A$5001=Schedule!FU$45)*(Results!$F$2:$F$5001)*(Results!$I$2:$I$5001))/FU$72,0)</f>
        <v>0</v>
      </c>
      <c r="FV75" s="6">
        <f>IF(FV$72&gt;0,SUMPRODUCT((Results!$A$2:$A$5001=Schedule!FV$45)*(Results!$F$2:$F$5001)*(Results!$I$2:$I$5001))/FV$72,0)</f>
        <v>0</v>
      </c>
      <c r="FW75" s="6">
        <f>IF(FW$72&gt;0,SUMPRODUCT((Results!$A$2:$A$5001=Schedule!FW$45)*(Results!$F$2:$F$5001)*(Results!$I$2:$I$5001))/FW$72,0)</f>
        <v>0</v>
      </c>
      <c r="FX75" s="6">
        <f>IF(FX$72&gt;0,SUMPRODUCT((Results!$A$2:$A$5001=Schedule!FX$45)*(Results!$F$2:$F$5001)*(Results!$I$2:$I$5001))/FX$72,0)</f>
        <v>0</v>
      </c>
      <c r="FY75" s="6">
        <f>IF(FY$72&gt;0,SUMPRODUCT((Results!$A$2:$A$5001=Schedule!FY$45)*(Results!$F$2:$F$5001)*(Results!$I$2:$I$5001))/FY$72,0)</f>
        <v>0</v>
      </c>
      <c r="FZ75" s="6">
        <f>IF(FZ$72&gt;0,SUMPRODUCT((Results!$A$2:$A$5001=Schedule!FZ$45)*(Results!$F$2:$F$5001)*(Results!$I$2:$I$5001))/FZ$72,0)</f>
        <v>0</v>
      </c>
      <c r="GA75" s="6">
        <f>IF(GA$72&gt;0,SUMPRODUCT((Results!$A$2:$A$5001=Schedule!GA$45)*(Results!$F$2:$F$5001)*(Results!$I$2:$I$5001))/GA$72,0)</f>
        <v>0</v>
      </c>
      <c r="GB75" s="6">
        <f>IF(GB$72&gt;0,SUMPRODUCT((Results!$A$2:$A$5001=Schedule!GB$45)*(Results!$F$2:$F$5001)*(Results!$I$2:$I$5001))/GB$72,0)</f>
        <v>0</v>
      </c>
      <c r="GC75" s="6">
        <f>IF(GC$72&gt;0,SUMPRODUCT((Results!$A$2:$A$5001=Schedule!GC$45)*(Results!$F$2:$F$5001)*(Results!$I$2:$I$5001))/GC$72,0)</f>
        <v>0</v>
      </c>
      <c r="GD75" s="6">
        <f>IF(GD$72&gt;0,SUMPRODUCT((Results!$A$2:$A$5001=Schedule!GD$45)*(Results!$F$2:$F$5001)*(Results!$I$2:$I$5001))/GD$72,0)</f>
        <v>0</v>
      </c>
      <c r="GE75" s="6">
        <f>IF(GE$72&gt;0,SUMPRODUCT((Results!$A$2:$A$5001=Schedule!GE$45)*(Results!$F$2:$F$5001)*(Results!$I$2:$I$5001))/GE$72,0)</f>
        <v>0</v>
      </c>
      <c r="GF75" s="6">
        <f>IF(GF$72&gt;0,SUMPRODUCT((Results!$A$2:$A$5001=Schedule!GF$45)*(Results!$F$2:$F$5001)*(Results!$I$2:$I$5001))/GF$72,0)</f>
        <v>0</v>
      </c>
      <c r="GG75" s="6">
        <f>IF(GG$72&gt;0,SUMPRODUCT((Results!$A$2:$A$5001=Schedule!GG$45)*(Results!$F$2:$F$5001)*(Results!$I$2:$I$5001))/GG$72,0)</f>
        <v>0</v>
      </c>
      <c r="GH75" s="6">
        <f>IF(GH$72&gt;0,SUMPRODUCT((Results!$A$2:$A$5001=Schedule!GH$45)*(Results!$F$2:$F$5001)*(Results!$I$2:$I$5001))/GH$72,0)</f>
        <v>0</v>
      </c>
      <c r="GI75" s="6">
        <f>IF(GI$72&gt;0,SUMPRODUCT((Results!$A$2:$A$5001=Schedule!GI$45)*(Results!$F$2:$F$5001)*(Results!$I$2:$I$5001))/GI$72,0)</f>
        <v>0</v>
      </c>
      <c r="GJ75" s="6">
        <f>IF(GJ$72&gt;0,SUMPRODUCT((Results!$A$2:$A$5001=Schedule!GJ$45)*(Results!$F$2:$F$5001)*(Results!$I$2:$I$5001))/GJ$72,0)</f>
        <v>0</v>
      </c>
      <c r="GK75" s="6">
        <f>IF(GK$72&gt;0,SUMPRODUCT((Results!$A$2:$A$5001=Schedule!GK$45)*(Results!$F$2:$F$5001)*(Results!$I$2:$I$5001))/GK$72,0)</f>
        <v>0</v>
      </c>
      <c r="GL75" s="6">
        <f>IF(GL$72&gt;0,SUMPRODUCT((Results!$A$2:$A$5001=Schedule!GL$45)*(Results!$F$2:$F$5001)*(Results!$I$2:$I$5001))/GL$72,0)</f>
        <v>0</v>
      </c>
      <c r="GM75" s="6">
        <f>IF(GM$72&gt;0,SUMPRODUCT((Results!$A$2:$A$5001=Schedule!GM$45)*(Results!$F$2:$F$5001)*(Results!$I$2:$I$5001))/GM$72,0)</f>
        <v>0</v>
      </c>
      <c r="GN75" s="6">
        <f>IF(GN$72&gt;0,SUMPRODUCT((Results!$A$2:$A$5001=Schedule!GN$45)*(Results!$F$2:$F$5001)*(Results!$I$2:$I$5001))/GN$72,0)</f>
        <v>0</v>
      </c>
      <c r="GO75" s="6">
        <f>IF(GO$72&gt;0,SUMPRODUCT((Results!$A$2:$A$5001=Schedule!GO$45)*(Results!$F$2:$F$5001)*(Results!$I$2:$I$5001))/GO$72,0)</f>
        <v>0</v>
      </c>
      <c r="GP75" s="6">
        <f>IF(GP$72&gt;0,SUMPRODUCT((Results!$A$2:$A$5001=Schedule!GP$45)*(Results!$F$2:$F$5001)*(Results!$I$2:$I$5001))/GP$72,0)</f>
        <v>0</v>
      </c>
      <c r="GQ75" s="6">
        <f>IF(GQ$72&gt;0,SUMPRODUCT((Results!$A$2:$A$5001=Schedule!GQ$45)*(Results!$F$2:$F$5001)*(Results!$I$2:$I$5001))/GQ$72,0)</f>
        <v>0</v>
      </c>
      <c r="GR75" s="6">
        <f>IF(GR$72&gt;0,SUMPRODUCT((Results!$A$2:$A$5001=Schedule!GR$45)*(Results!$F$2:$F$5001)*(Results!$I$2:$I$5001))/GR$72,0)</f>
        <v>0</v>
      </c>
      <c r="GS75" s="6">
        <f>IF(GS$72&gt;0,SUMPRODUCT((Results!$A$2:$A$5001=Schedule!GS$45)*(Results!$F$2:$F$5001)*(Results!$I$2:$I$5001))/GS$72,0)</f>
        <v>0</v>
      </c>
      <c r="GT75" s="6">
        <f>IF(GT$72&gt;0,SUMPRODUCT((Results!$A$2:$A$5001=Schedule!GT$45)*(Results!$F$2:$F$5001)*(Results!$I$2:$I$5001))/GT$72,0)</f>
        <v>0</v>
      </c>
      <c r="GU75" s="6">
        <f>IF(GU$72&gt;0,SUMPRODUCT((Results!$A$2:$A$5001=Schedule!GU$45)*(Results!$F$2:$F$5001)*(Results!$I$2:$I$5001))/GU$72,0)</f>
        <v>0</v>
      </c>
      <c r="GV75" s="6"/>
    </row>
    <row r="76" spans="1:204" ht="13.5" customHeight="1" x14ac:dyDescent="0.2">
      <c r="A76" s="40" t="str">
        <f t="shared" si="36"/>
        <v>GRADE3</v>
      </c>
      <c r="B76" s="40" t="str">
        <f t="shared" si="36"/>
        <v>Al2O3</v>
      </c>
      <c r="C76" s="6">
        <f>IF(C$72&gt;0,SUMPRODUCT((Results!$A$2:$A$5001=Schedule!C$45)*(Results!$F$2:$F$5001)*(Results!$J$2:$J$5001))/C$72,0)</f>
        <v>2.12434603487814</v>
      </c>
      <c r="D76" s="6">
        <f>IF(D$72&gt;0,SUMPRODUCT((Results!$A$2:$A$5001=Schedule!D$45)*(Results!$F$2:$F$5001)*(Results!$J$2:$J$5001))/D$72,0)</f>
        <v>2.1152772566117606</v>
      </c>
      <c r="E76" s="6">
        <f>IF(E$72&gt;0,SUMPRODUCT((Results!$A$2:$A$5001=Schedule!E$45)*(Results!$F$2:$F$5001)*(Results!$J$2:$J$5001))/E$72,0)</f>
        <v>2.2366893259474288</v>
      </c>
      <c r="F76" s="6">
        <f>IF(F$72&gt;0,SUMPRODUCT((Results!$A$2:$A$5001=Schedule!F$45)*(Results!$F$2:$F$5001)*(Results!$J$2:$J$5001))/F$72,0)</f>
        <v>1.9092492118190485</v>
      </c>
      <c r="G76" s="6">
        <f>IF(G$72&gt;0,SUMPRODUCT((Results!$A$2:$A$5001=Schedule!G$45)*(Results!$F$2:$F$5001)*(Results!$J$2:$J$5001))/G$72,0)</f>
        <v>2.0754199907750648</v>
      </c>
      <c r="H76" s="6">
        <f>IF(H$72&gt;0,SUMPRODUCT((Results!$A$2:$A$5001=Schedule!H$45)*(Results!$F$2:$F$5001)*(Results!$J$2:$J$5001))/H$72,0)</f>
        <v>2.0623253233335888</v>
      </c>
      <c r="I76" s="6">
        <f>IF(I$72&gt;0,SUMPRODUCT((Results!$A$2:$A$5001=Schedule!I$45)*(Results!$F$2:$F$5001)*(Results!$J$2:$J$5001))/I$72,0)</f>
        <v>0</v>
      </c>
      <c r="J76" s="6">
        <f>IF(J$72&gt;0,SUMPRODUCT((Results!$A$2:$A$5001=Schedule!J$45)*(Results!$F$2:$F$5001)*(Results!$J$2:$J$5001))/J$72,0)</f>
        <v>0</v>
      </c>
      <c r="K76" s="6">
        <f>IF(K$72&gt;0,SUMPRODUCT((Results!$A$2:$A$5001=Schedule!K$45)*(Results!$F$2:$F$5001)*(Results!$J$2:$J$5001))/K$72,0)</f>
        <v>0</v>
      </c>
      <c r="L76" s="6">
        <f>IF(L$72&gt;0,SUMPRODUCT((Results!$A$2:$A$5001=Schedule!L$45)*(Results!$F$2:$F$5001)*(Results!$J$2:$J$5001))/L$72,0)</f>
        <v>0</v>
      </c>
      <c r="M76" s="6">
        <f>IF(M$72&gt;0,SUMPRODUCT((Results!$A$2:$A$5001=Schedule!M$45)*(Results!$F$2:$F$5001)*(Results!$J$2:$J$5001))/M$72,0)</f>
        <v>0</v>
      </c>
      <c r="N76" s="6">
        <f>IF(N$72&gt;0,SUMPRODUCT((Results!$A$2:$A$5001=Schedule!N$45)*(Results!$F$2:$F$5001)*(Results!$J$2:$J$5001))/N$72,0)</f>
        <v>0</v>
      </c>
      <c r="O76" s="6">
        <f>IF(O$72&gt;0,SUMPRODUCT((Results!$A$2:$A$5001=Schedule!O$45)*(Results!$F$2:$F$5001)*(Results!$J$2:$J$5001))/O$72,0)</f>
        <v>0</v>
      </c>
      <c r="P76" s="6">
        <f>IF(P$72&gt;0,SUMPRODUCT((Results!$A$2:$A$5001=Schedule!P$45)*(Results!$F$2:$F$5001)*(Results!$J$2:$J$5001))/P$72,0)</f>
        <v>0</v>
      </c>
      <c r="Q76" s="6">
        <f>IF(Q$72&gt;0,SUMPRODUCT((Results!$A$2:$A$5001=Schedule!Q$45)*(Results!$F$2:$F$5001)*(Results!$J$2:$J$5001))/Q$72,0)</f>
        <v>0</v>
      </c>
      <c r="R76" s="6">
        <f>IF(R$72&gt;0,SUMPRODUCT((Results!$A$2:$A$5001=Schedule!R$45)*(Results!$F$2:$F$5001)*(Results!$J$2:$J$5001))/R$72,0)</f>
        <v>0</v>
      </c>
      <c r="S76" s="6">
        <f>IF(S$72&gt;0,SUMPRODUCT((Results!$A$2:$A$5001=Schedule!S$45)*(Results!$F$2:$F$5001)*(Results!$J$2:$J$5001))/S$72,0)</f>
        <v>0</v>
      </c>
      <c r="T76" s="6">
        <f>IF(T$72&gt;0,SUMPRODUCT((Results!$A$2:$A$5001=Schedule!T$45)*(Results!$F$2:$F$5001)*(Results!$J$2:$J$5001))/T$72,0)</f>
        <v>0</v>
      </c>
      <c r="U76" s="6">
        <f>IF(U$72&gt;0,SUMPRODUCT((Results!$A$2:$A$5001=Schedule!U$45)*(Results!$F$2:$F$5001)*(Results!$J$2:$J$5001))/U$72,0)</f>
        <v>0</v>
      </c>
      <c r="V76" s="6">
        <f>IF(V$72&gt;0,SUMPRODUCT((Results!$A$2:$A$5001=Schedule!V$45)*(Results!$F$2:$F$5001)*(Results!$J$2:$J$5001))/V$72,0)</f>
        <v>0</v>
      </c>
      <c r="W76" s="6">
        <f>IF(W$72&gt;0,SUMPRODUCT((Results!$A$2:$A$5001=Schedule!W$45)*(Results!$F$2:$F$5001)*(Results!$J$2:$J$5001))/W$72,0)</f>
        <v>0</v>
      </c>
      <c r="X76" s="6">
        <f>IF(X$72&gt;0,SUMPRODUCT((Results!$A$2:$A$5001=Schedule!X$45)*(Results!$F$2:$F$5001)*(Results!$J$2:$J$5001))/X$72,0)</f>
        <v>0</v>
      </c>
      <c r="Y76" s="6">
        <f>IF(Y$72&gt;0,SUMPRODUCT((Results!$A$2:$A$5001=Schedule!Y$45)*(Results!$F$2:$F$5001)*(Results!$J$2:$J$5001))/Y$72,0)</f>
        <v>0</v>
      </c>
      <c r="Z76" s="6">
        <f>IF(Z$72&gt;0,SUMPRODUCT((Results!$A$2:$A$5001=Schedule!Z$45)*(Results!$F$2:$F$5001)*(Results!$J$2:$J$5001))/Z$72,0)</f>
        <v>0</v>
      </c>
      <c r="AA76" s="6">
        <f>IF(AA$72&gt;0,SUMPRODUCT((Results!$A$2:$A$5001=Schedule!AA$45)*(Results!$F$2:$F$5001)*(Results!$J$2:$J$5001))/AA$72,0)</f>
        <v>0</v>
      </c>
      <c r="AB76" s="6">
        <f>IF(AB$72&gt;0,SUMPRODUCT((Results!$A$2:$A$5001=Schedule!AB$45)*(Results!$F$2:$F$5001)*(Results!$J$2:$J$5001))/AB$72,0)</f>
        <v>0</v>
      </c>
      <c r="AC76" s="6">
        <f>IF(AC$72&gt;0,SUMPRODUCT((Results!$A$2:$A$5001=Schedule!AC$45)*(Results!$F$2:$F$5001)*(Results!$J$2:$J$5001))/AC$72,0)</f>
        <v>0</v>
      </c>
      <c r="AD76" s="6">
        <f>IF(AD$72&gt;0,SUMPRODUCT((Results!$A$2:$A$5001=Schedule!AD$45)*(Results!$F$2:$F$5001)*(Results!$J$2:$J$5001))/AD$72,0)</f>
        <v>0</v>
      </c>
      <c r="AE76" s="6">
        <f>IF(AE$72&gt;0,SUMPRODUCT((Results!$A$2:$A$5001=Schedule!AE$45)*(Results!$F$2:$F$5001)*(Results!$J$2:$J$5001))/AE$72,0)</f>
        <v>0</v>
      </c>
      <c r="AF76" s="6">
        <f>IF(AF$72&gt;0,SUMPRODUCT((Results!$A$2:$A$5001=Schedule!AF$45)*(Results!$F$2:$F$5001)*(Results!$J$2:$J$5001))/AF$72,0)</f>
        <v>0</v>
      </c>
      <c r="AG76" s="6">
        <f>IF(AG$72&gt;0,SUMPRODUCT((Results!$A$2:$A$5001=Schedule!AG$45)*(Results!$F$2:$F$5001)*(Results!$J$2:$J$5001))/AG$72,0)</f>
        <v>0</v>
      </c>
      <c r="AH76" s="6">
        <f>IF(AH$72&gt;0,SUMPRODUCT((Results!$A$2:$A$5001=Schedule!AH$45)*(Results!$F$2:$F$5001)*(Results!$J$2:$J$5001))/AH$72,0)</f>
        <v>0</v>
      </c>
      <c r="AI76" s="6">
        <f>IF(AI$72&gt;0,SUMPRODUCT((Results!$A$2:$A$5001=Schedule!AI$45)*(Results!$F$2:$F$5001)*(Results!$J$2:$J$5001))/AI$72,0)</f>
        <v>0</v>
      </c>
      <c r="AJ76" s="6">
        <f>IF(AJ$72&gt;0,SUMPRODUCT((Results!$A$2:$A$5001=Schedule!AJ$45)*(Results!$F$2:$F$5001)*(Results!$J$2:$J$5001))/AJ$72,0)</f>
        <v>0</v>
      </c>
      <c r="AK76" s="6">
        <f>IF(AK$72&gt;0,SUMPRODUCT((Results!$A$2:$A$5001=Schedule!AK$45)*(Results!$F$2:$F$5001)*(Results!$J$2:$J$5001))/AK$72,0)</f>
        <v>0</v>
      </c>
      <c r="AL76" s="6">
        <f>IF(AL$72&gt;0,SUMPRODUCT((Results!$A$2:$A$5001=Schedule!AL$45)*(Results!$F$2:$F$5001)*(Results!$J$2:$J$5001))/AL$72,0)</f>
        <v>0</v>
      </c>
      <c r="AM76" s="6">
        <f>IF(AM$72&gt;0,SUMPRODUCT((Results!$A$2:$A$5001=Schedule!AM$45)*(Results!$F$2:$F$5001)*(Results!$J$2:$J$5001))/AM$72,0)</f>
        <v>0</v>
      </c>
      <c r="AN76" s="6">
        <f>IF(AN$72&gt;0,SUMPRODUCT((Results!$A$2:$A$5001=Schedule!AN$45)*(Results!$F$2:$F$5001)*(Results!$J$2:$J$5001))/AN$72,0)</f>
        <v>0</v>
      </c>
      <c r="AO76" s="6">
        <f>IF(AO$72&gt;0,SUMPRODUCT((Results!$A$2:$A$5001=Schedule!AO$45)*(Results!$F$2:$F$5001)*(Results!$J$2:$J$5001))/AO$72,0)</f>
        <v>0</v>
      </c>
      <c r="AP76" s="6">
        <f>IF(AP$72&gt;0,SUMPRODUCT((Results!$A$2:$A$5001=Schedule!AP$45)*(Results!$F$2:$F$5001)*(Results!$J$2:$J$5001))/AP$72,0)</f>
        <v>0</v>
      </c>
      <c r="AQ76" s="6">
        <f>IF(AQ$72&gt;0,SUMPRODUCT((Results!$A$2:$A$5001=Schedule!AQ$45)*(Results!$F$2:$F$5001)*(Results!$J$2:$J$5001))/AQ$72,0)</f>
        <v>0</v>
      </c>
      <c r="AR76" s="6">
        <f>IF(AR$72&gt;0,SUMPRODUCT((Results!$A$2:$A$5001=Schedule!AR$45)*(Results!$F$2:$F$5001)*(Results!$J$2:$J$5001))/AR$72,0)</f>
        <v>0</v>
      </c>
      <c r="AS76" s="6">
        <f>IF(AS$72&gt;0,SUMPRODUCT((Results!$A$2:$A$5001=Schedule!AS$45)*(Results!$F$2:$F$5001)*(Results!$J$2:$J$5001))/AS$72,0)</f>
        <v>0</v>
      </c>
      <c r="AT76" s="6">
        <f>IF(AT$72&gt;0,SUMPRODUCT((Results!$A$2:$A$5001=Schedule!AT$45)*(Results!$F$2:$F$5001)*(Results!$J$2:$J$5001))/AT$72,0)</f>
        <v>0</v>
      </c>
      <c r="AU76" s="6">
        <f>IF(AU$72&gt;0,SUMPRODUCT((Results!$A$2:$A$5001=Schedule!AU$45)*(Results!$F$2:$F$5001)*(Results!$J$2:$J$5001))/AU$72,0)</f>
        <v>0</v>
      </c>
      <c r="AV76" s="6">
        <f>IF(AV$72&gt;0,SUMPRODUCT((Results!$A$2:$A$5001=Schedule!AV$45)*(Results!$F$2:$F$5001)*(Results!$J$2:$J$5001))/AV$72,0)</f>
        <v>0</v>
      </c>
      <c r="AW76" s="6">
        <f>IF(AW$72&gt;0,SUMPRODUCT((Results!$A$2:$A$5001=Schedule!AW$45)*(Results!$F$2:$F$5001)*(Results!$J$2:$J$5001))/AW$72,0)</f>
        <v>0</v>
      </c>
      <c r="AX76" s="6">
        <f>IF(AX$72&gt;0,SUMPRODUCT((Results!$A$2:$A$5001=Schedule!AX$45)*(Results!$F$2:$F$5001)*(Results!$J$2:$J$5001))/AX$72,0)</f>
        <v>0</v>
      </c>
      <c r="AY76" s="6">
        <f>IF(AY$72&gt;0,SUMPRODUCT((Results!$A$2:$A$5001=Schedule!AY$45)*(Results!$F$2:$F$5001)*(Results!$J$2:$J$5001))/AY$72,0)</f>
        <v>0</v>
      </c>
      <c r="AZ76" s="6">
        <f>IF(AZ$72&gt;0,SUMPRODUCT((Results!$A$2:$A$5001=Schedule!AZ$45)*(Results!$F$2:$F$5001)*(Results!$J$2:$J$5001))/AZ$72,0)</f>
        <v>0</v>
      </c>
      <c r="BA76" s="6">
        <f>IF(BA$72&gt;0,SUMPRODUCT((Results!$A$2:$A$5001=Schedule!BA$45)*(Results!$F$2:$F$5001)*(Results!$J$2:$J$5001))/BA$72,0)</f>
        <v>0</v>
      </c>
      <c r="BB76" s="6">
        <f>IF(BB$72&gt;0,SUMPRODUCT((Results!$A$2:$A$5001=Schedule!BB$45)*(Results!$F$2:$F$5001)*(Results!$J$2:$J$5001))/BB$72,0)</f>
        <v>0</v>
      </c>
      <c r="BC76" s="6">
        <f>IF(BC$72&gt;0,SUMPRODUCT((Results!$A$2:$A$5001=Schedule!BC$45)*(Results!$F$2:$F$5001)*(Results!$J$2:$J$5001))/BC$72,0)</f>
        <v>0</v>
      </c>
      <c r="BD76" s="6">
        <f>IF(BD$72&gt;0,SUMPRODUCT((Results!$A$2:$A$5001=Schedule!BD$45)*(Results!$F$2:$F$5001)*(Results!$J$2:$J$5001))/BD$72,0)</f>
        <v>0</v>
      </c>
      <c r="BE76" s="6">
        <f>IF(BE$72&gt;0,SUMPRODUCT((Results!$A$2:$A$5001=Schedule!BE$45)*(Results!$F$2:$F$5001)*(Results!$J$2:$J$5001))/BE$72,0)</f>
        <v>0</v>
      </c>
      <c r="BF76" s="6">
        <f>IF(BF$72&gt;0,SUMPRODUCT((Results!$A$2:$A$5001=Schedule!BF$45)*(Results!$F$2:$F$5001)*(Results!$J$2:$J$5001))/BF$72,0)</f>
        <v>0</v>
      </c>
      <c r="BG76" s="6">
        <f>IF(BG$72&gt;0,SUMPRODUCT((Results!$A$2:$A$5001=Schedule!BG$45)*(Results!$F$2:$F$5001)*(Results!$J$2:$J$5001))/BG$72,0)</f>
        <v>0</v>
      </c>
      <c r="BH76" s="6">
        <f>IF(BH$72&gt;0,SUMPRODUCT((Results!$A$2:$A$5001=Schedule!BH$45)*(Results!$F$2:$F$5001)*(Results!$J$2:$J$5001))/BH$72,0)</f>
        <v>0</v>
      </c>
      <c r="BI76" s="6">
        <f>IF(BI$72&gt;0,SUMPRODUCT((Results!$A$2:$A$5001=Schedule!BI$45)*(Results!$F$2:$F$5001)*(Results!$J$2:$J$5001))/BI$72,0)</f>
        <v>0</v>
      </c>
      <c r="BJ76" s="6">
        <f>IF(BJ$72&gt;0,SUMPRODUCT((Results!$A$2:$A$5001=Schedule!BJ$45)*(Results!$F$2:$F$5001)*(Results!$J$2:$J$5001))/BJ$72,0)</f>
        <v>0</v>
      </c>
      <c r="BK76" s="6">
        <f>IF(BK$72&gt;0,SUMPRODUCT((Results!$A$2:$A$5001=Schedule!BK$45)*(Results!$F$2:$F$5001)*(Results!$J$2:$J$5001))/BK$72,0)</f>
        <v>0</v>
      </c>
      <c r="BL76" s="6">
        <f>IF(BL$72&gt;0,SUMPRODUCT((Results!$A$2:$A$5001=Schedule!BL$45)*(Results!$F$2:$F$5001)*(Results!$J$2:$J$5001))/BL$72,0)</f>
        <v>0</v>
      </c>
      <c r="BM76" s="6">
        <f>IF(BM$72&gt;0,SUMPRODUCT((Results!$A$2:$A$5001=Schedule!BM$45)*(Results!$F$2:$F$5001)*(Results!$J$2:$J$5001))/BM$72,0)</f>
        <v>0</v>
      </c>
      <c r="BN76" s="6">
        <f>IF(BN$72&gt;0,SUMPRODUCT((Results!$A$2:$A$5001=Schedule!BN$45)*(Results!$F$2:$F$5001)*(Results!$J$2:$J$5001))/BN$72,0)</f>
        <v>0</v>
      </c>
      <c r="BO76" s="6">
        <f>IF(BO$72&gt;0,SUMPRODUCT((Results!$A$2:$A$5001=Schedule!BO$45)*(Results!$F$2:$F$5001)*(Results!$J$2:$J$5001))/BO$72,0)</f>
        <v>0</v>
      </c>
      <c r="BP76" s="6">
        <f>IF(BP$72&gt;0,SUMPRODUCT((Results!$A$2:$A$5001=Schedule!BP$45)*(Results!$F$2:$F$5001)*(Results!$J$2:$J$5001))/BP$72,0)</f>
        <v>0</v>
      </c>
      <c r="BQ76" s="6">
        <f>IF(BQ$72&gt;0,SUMPRODUCT((Results!$A$2:$A$5001=Schedule!BQ$45)*(Results!$F$2:$F$5001)*(Results!$J$2:$J$5001))/BQ$72,0)</f>
        <v>0</v>
      </c>
      <c r="BR76" s="6">
        <f>IF(BR$72&gt;0,SUMPRODUCT((Results!$A$2:$A$5001=Schedule!BR$45)*(Results!$F$2:$F$5001)*(Results!$J$2:$J$5001))/BR$72,0)</f>
        <v>0</v>
      </c>
      <c r="BS76" s="6">
        <f>IF(BS$72&gt;0,SUMPRODUCT((Results!$A$2:$A$5001=Schedule!BS$45)*(Results!$F$2:$F$5001)*(Results!$J$2:$J$5001))/BS$72,0)</f>
        <v>0</v>
      </c>
      <c r="BT76" s="6">
        <f>IF(BT$72&gt;0,SUMPRODUCT((Results!$A$2:$A$5001=Schedule!BT$45)*(Results!$F$2:$F$5001)*(Results!$J$2:$J$5001))/BT$72,0)</f>
        <v>0</v>
      </c>
      <c r="BU76" s="6">
        <f>IF(BU$72&gt;0,SUMPRODUCT((Results!$A$2:$A$5001=Schedule!BU$45)*(Results!$F$2:$F$5001)*(Results!$J$2:$J$5001))/BU$72,0)</f>
        <v>0</v>
      </c>
      <c r="BV76" s="6">
        <f>IF(BV$72&gt;0,SUMPRODUCT((Results!$A$2:$A$5001=Schedule!BV$45)*(Results!$F$2:$F$5001)*(Results!$J$2:$J$5001))/BV$72,0)</f>
        <v>0</v>
      </c>
      <c r="BW76" s="6">
        <f>IF(BW$72&gt;0,SUMPRODUCT((Results!$A$2:$A$5001=Schedule!BW$45)*(Results!$F$2:$F$5001)*(Results!$J$2:$J$5001))/BW$72,0)</f>
        <v>0</v>
      </c>
      <c r="BX76" s="6">
        <f>IF(BX$72&gt;0,SUMPRODUCT((Results!$A$2:$A$5001=Schedule!BX$45)*(Results!$F$2:$F$5001)*(Results!$J$2:$J$5001))/BX$72,0)</f>
        <v>0</v>
      </c>
      <c r="BY76" s="6">
        <f>IF(BY$72&gt;0,SUMPRODUCT((Results!$A$2:$A$5001=Schedule!BY$45)*(Results!$F$2:$F$5001)*(Results!$J$2:$J$5001))/BY$72,0)</f>
        <v>0</v>
      </c>
      <c r="BZ76" s="6">
        <f>IF(BZ$72&gt;0,SUMPRODUCT((Results!$A$2:$A$5001=Schedule!BZ$45)*(Results!$F$2:$F$5001)*(Results!$J$2:$J$5001))/BZ$72,0)</f>
        <v>0</v>
      </c>
      <c r="CA76" s="6">
        <f>IF(CA$72&gt;0,SUMPRODUCT((Results!$A$2:$A$5001=Schedule!CA$45)*(Results!$F$2:$F$5001)*(Results!$J$2:$J$5001))/CA$72,0)</f>
        <v>0</v>
      </c>
      <c r="CB76" s="6">
        <f>IF(CB$72&gt;0,SUMPRODUCT((Results!$A$2:$A$5001=Schedule!CB$45)*(Results!$F$2:$F$5001)*(Results!$J$2:$J$5001))/CB$72,0)</f>
        <v>0</v>
      </c>
      <c r="CC76" s="6">
        <f>IF(CC$72&gt;0,SUMPRODUCT((Results!$A$2:$A$5001=Schedule!CC$45)*(Results!$F$2:$F$5001)*(Results!$J$2:$J$5001))/CC$72,0)</f>
        <v>0</v>
      </c>
      <c r="CD76" s="6">
        <f>IF(CD$72&gt;0,SUMPRODUCT((Results!$A$2:$A$5001=Schedule!CD$45)*(Results!$F$2:$F$5001)*(Results!$J$2:$J$5001))/CD$72,0)</f>
        <v>0</v>
      </c>
      <c r="CE76" s="6">
        <f>IF(CE$72&gt;0,SUMPRODUCT((Results!$A$2:$A$5001=Schedule!CE$45)*(Results!$F$2:$F$5001)*(Results!$J$2:$J$5001))/CE$72,0)</f>
        <v>0</v>
      </c>
      <c r="CF76" s="6">
        <f>IF(CF$72&gt;0,SUMPRODUCT((Results!$A$2:$A$5001=Schedule!CF$45)*(Results!$F$2:$F$5001)*(Results!$J$2:$J$5001))/CF$72,0)</f>
        <v>0</v>
      </c>
      <c r="CG76" s="6">
        <f>IF(CG$72&gt;0,SUMPRODUCT((Results!$A$2:$A$5001=Schedule!CG$45)*(Results!$F$2:$F$5001)*(Results!$J$2:$J$5001))/CG$72,0)</f>
        <v>0</v>
      </c>
      <c r="CH76" s="6">
        <f>IF(CH$72&gt;0,SUMPRODUCT((Results!$A$2:$A$5001=Schedule!CH$45)*(Results!$F$2:$F$5001)*(Results!$J$2:$J$5001))/CH$72,0)</f>
        <v>0</v>
      </c>
      <c r="CI76" s="6">
        <f>IF(CI$72&gt;0,SUMPRODUCT((Results!$A$2:$A$5001=Schedule!CI$45)*(Results!$F$2:$F$5001)*(Results!$J$2:$J$5001))/CI$72,0)</f>
        <v>0</v>
      </c>
      <c r="CJ76" s="6">
        <f>IF(CJ$72&gt;0,SUMPRODUCT((Results!$A$2:$A$5001=Schedule!CJ$45)*(Results!$F$2:$F$5001)*(Results!$J$2:$J$5001))/CJ$72,0)</f>
        <v>0</v>
      </c>
      <c r="CK76" s="6">
        <f>IF(CK$72&gt;0,SUMPRODUCT((Results!$A$2:$A$5001=Schedule!CK$45)*(Results!$F$2:$F$5001)*(Results!$J$2:$J$5001))/CK$72,0)</f>
        <v>0</v>
      </c>
      <c r="CL76" s="6">
        <f>IF(CL$72&gt;0,SUMPRODUCT((Results!$A$2:$A$5001=Schedule!CL$45)*(Results!$F$2:$F$5001)*(Results!$J$2:$J$5001))/CL$72,0)</f>
        <v>0</v>
      </c>
      <c r="CM76" s="6">
        <f>IF(CM$72&gt;0,SUMPRODUCT((Results!$A$2:$A$5001=Schedule!CM$45)*(Results!$F$2:$F$5001)*(Results!$J$2:$J$5001))/CM$72,0)</f>
        <v>0</v>
      </c>
      <c r="CN76" s="6">
        <f>IF(CN$72&gt;0,SUMPRODUCT((Results!$A$2:$A$5001=Schedule!CN$45)*(Results!$F$2:$F$5001)*(Results!$J$2:$J$5001))/CN$72,0)</f>
        <v>0</v>
      </c>
      <c r="CO76" s="6">
        <f>IF(CO$72&gt;0,SUMPRODUCT((Results!$A$2:$A$5001=Schedule!CO$45)*(Results!$F$2:$F$5001)*(Results!$J$2:$J$5001))/CO$72,0)</f>
        <v>0</v>
      </c>
      <c r="CP76" s="6">
        <f>IF(CP$72&gt;0,SUMPRODUCT((Results!$A$2:$A$5001=Schedule!CP$45)*(Results!$F$2:$F$5001)*(Results!$J$2:$J$5001))/CP$72,0)</f>
        <v>0</v>
      </c>
      <c r="CQ76" s="6">
        <f>IF(CQ$72&gt;0,SUMPRODUCT((Results!$A$2:$A$5001=Schedule!CQ$45)*(Results!$F$2:$F$5001)*(Results!$J$2:$J$5001))/CQ$72,0)</f>
        <v>0</v>
      </c>
      <c r="CR76" s="6">
        <f>IF(CR$72&gt;0,SUMPRODUCT((Results!$A$2:$A$5001=Schedule!CR$45)*(Results!$F$2:$F$5001)*(Results!$J$2:$J$5001))/CR$72,0)</f>
        <v>0</v>
      </c>
      <c r="CS76" s="6">
        <f>IF(CS$72&gt;0,SUMPRODUCT((Results!$A$2:$A$5001=Schedule!CS$45)*(Results!$F$2:$F$5001)*(Results!$J$2:$J$5001))/CS$72,0)</f>
        <v>0</v>
      </c>
      <c r="CT76" s="6">
        <f>IF(CT$72&gt;0,SUMPRODUCT((Results!$A$2:$A$5001=Schedule!CT$45)*(Results!$F$2:$F$5001)*(Results!$J$2:$J$5001))/CT$72,0)</f>
        <v>0</v>
      </c>
      <c r="CU76" s="6">
        <f>IF(CU$72&gt;0,SUMPRODUCT((Results!$A$2:$A$5001=Schedule!CU$45)*(Results!$F$2:$F$5001)*(Results!$J$2:$J$5001))/CU$72,0)</f>
        <v>0</v>
      </c>
      <c r="CV76" s="6">
        <f>IF(CV$72&gt;0,SUMPRODUCT((Results!$A$2:$A$5001=Schedule!CV$45)*(Results!$F$2:$F$5001)*(Results!$J$2:$J$5001))/CV$72,0)</f>
        <v>0</v>
      </c>
      <c r="CW76" s="6">
        <f>IF(CW$72&gt;0,SUMPRODUCT((Results!$A$2:$A$5001=Schedule!CW$45)*(Results!$F$2:$F$5001)*(Results!$J$2:$J$5001))/CW$72,0)</f>
        <v>0</v>
      </c>
      <c r="CX76" s="6">
        <f>IF(CX$72&gt;0,SUMPRODUCT((Results!$A$2:$A$5001=Schedule!CX$45)*(Results!$F$2:$F$5001)*(Results!$J$2:$J$5001))/CX$72,0)</f>
        <v>0</v>
      </c>
      <c r="CY76" s="6">
        <f>IF(CY$72&gt;0,SUMPRODUCT((Results!$A$2:$A$5001=Schedule!CY$45)*(Results!$F$2:$F$5001)*(Results!$J$2:$J$5001))/CY$72,0)</f>
        <v>0</v>
      </c>
      <c r="CZ76" s="6">
        <f>IF(CZ$72&gt;0,SUMPRODUCT((Results!$A$2:$A$5001=Schedule!CZ$45)*(Results!$F$2:$F$5001)*(Results!$J$2:$J$5001))/CZ$72,0)</f>
        <v>0</v>
      </c>
      <c r="DA76" s="6">
        <f>IF(DA$72&gt;0,SUMPRODUCT((Results!$A$2:$A$5001=Schedule!DA$45)*(Results!$F$2:$F$5001)*(Results!$J$2:$J$5001))/DA$72,0)</f>
        <v>0</v>
      </c>
      <c r="DB76" s="6">
        <f>IF(DB$72&gt;0,SUMPRODUCT((Results!$A$2:$A$5001=Schedule!DB$45)*(Results!$F$2:$F$5001)*(Results!$J$2:$J$5001))/DB$72,0)</f>
        <v>0</v>
      </c>
      <c r="DC76" s="6">
        <f>IF(DC$72&gt;0,SUMPRODUCT((Results!$A$2:$A$5001=Schedule!DC$45)*(Results!$F$2:$F$5001)*(Results!$J$2:$J$5001))/DC$72,0)</f>
        <v>0</v>
      </c>
      <c r="DD76" s="6">
        <f>IF(DD$72&gt;0,SUMPRODUCT((Results!$A$2:$A$5001=Schedule!DD$45)*(Results!$F$2:$F$5001)*(Results!$J$2:$J$5001))/DD$72,0)</f>
        <v>0</v>
      </c>
      <c r="DE76" s="6">
        <f>IF(DE$72&gt;0,SUMPRODUCT((Results!$A$2:$A$5001=Schedule!DE$45)*(Results!$F$2:$F$5001)*(Results!$J$2:$J$5001))/DE$72,0)</f>
        <v>0</v>
      </c>
      <c r="DF76" s="6">
        <f>IF(DF$72&gt;0,SUMPRODUCT((Results!$A$2:$A$5001=Schedule!DF$45)*(Results!$F$2:$F$5001)*(Results!$J$2:$J$5001))/DF$72,0)</f>
        <v>0</v>
      </c>
      <c r="DG76" s="6">
        <f>IF(DG$72&gt;0,SUMPRODUCT((Results!$A$2:$A$5001=Schedule!DG$45)*(Results!$F$2:$F$5001)*(Results!$J$2:$J$5001))/DG$72,0)</f>
        <v>0</v>
      </c>
      <c r="DH76" s="6">
        <f>IF(DH$72&gt;0,SUMPRODUCT((Results!$A$2:$A$5001=Schedule!DH$45)*(Results!$F$2:$F$5001)*(Results!$J$2:$J$5001))/DH$72,0)</f>
        <v>0</v>
      </c>
      <c r="DI76" s="6">
        <f>IF(DI$72&gt;0,SUMPRODUCT((Results!$A$2:$A$5001=Schedule!DI$45)*(Results!$F$2:$F$5001)*(Results!$J$2:$J$5001))/DI$72,0)</f>
        <v>0</v>
      </c>
      <c r="DJ76" s="6">
        <f>IF(DJ$72&gt;0,SUMPRODUCT((Results!$A$2:$A$5001=Schedule!DJ$45)*(Results!$F$2:$F$5001)*(Results!$J$2:$J$5001))/DJ$72,0)</f>
        <v>0</v>
      </c>
      <c r="DK76" s="6">
        <f>IF(DK$72&gt;0,SUMPRODUCT((Results!$A$2:$A$5001=Schedule!DK$45)*(Results!$F$2:$F$5001)*(Results!$J$2:$J$5001))/DK$72,0)</f>
        <v>0</v>
      </c>
      <c r="DL76" s="6">
        <f>IF(DL$72&gt;0,SUMPRODUCT((Results!$A$2:$A$5001=Schedule!DL$45)*(Results!$F$2:$F$5001)*(Results!$J$2:$J$5001))/DL$72,0)</f>
        <v>0</v>
      </c>
      <c r="DM76" s="6">
        <f>IF(DM$72&gt;0,SUMPRODUCT((Results!$A$2:$A$5001=Schedule!DM$45)*(Results!$F$2:$F$5001)*(Results!$J$2:$J$5001))/DM$72,0)</f>
        <v>0</v>
      </c>
      <c r="DN76" s="6">
        <f>IF(DN$72&gt;0,SUMPRODUCT((Results!$A$2:$A$5001=Schedule!DN$45)*(Results!$F$2:$F$5001)*(Results!$J$2:$J$5001))/DN$72,0)</f>
        <v>0</v>
      </c>
      <c r="DO76" s="6">
        <f>IF(DO$72&gt;0,SUMPRODUCT((Results!$A$2:$A$5001=Schedule!DO$45)*(Results!$F$2:$F$5001)*(Results!$J$2:$J$5001))/DO$72,0)</f>
        <v>0</v>
      </c>
      <c r="DP76" s="6">
        <f>IF(DP$72&gt;0,SUMPRODUCT((Results!$A$2:$A$5001=Schedule!DP$45)*(Results!$F$2:$F$5001)*(Results!$J$2:$J$5001))/DP$72,0)</f>
        <v>0</v>
      </c>
      <c r="DQ76" s="6">
        <f>IF(DQ$72&gt;0,SUMPRODUCT((Results!$A$2:$A$5001=Schedule!DQ$45)*(Results!$F$2:$F$5001)*(Results!$J$2:$J$5001))/DQ$72,0)</f>
        <v>0</v>
      </c>
      <c r="DR76" s="6">
        <f>IF(DR$72&gt;0,SUMPRODUCT((Results!$A$2:$A$5001=Schedule!DR$45)*(Results!$F$2:$F$5001)*(Results!$J$2:$J$5001))/DR$72,0)</f>
        <v>0</v>
      </c>
      <c r="DS76" s="6">
        <f>IF(DS$72&gt;0,SUMPRODUCT((Results!$A$2:$A$5001=Schedule!DS$45)*(Results!$F$2:$F$5001)*(Results!$J$2:$J$5001))/DS$72,0)</f>
        <v>0</v>
      </c>
      <c r="DT76" s="6">
        <f>IF(DT$72&gt;0,SUMPRODUCT((Results!$A$2:$A$5001=Schedule!DT$45)*(Results!$F$2:$F$5001)*(Results!$J$2:$J$5001))/DT$72,0)</f>
        <v>0</v>
      </c>
      <c r="DU76" s="6">
        <f>IF(DU$72&gt;0,SUMPRODUCT((Results!$A$2:$A$5001=Schedule!DU$45)*(Results!$F$2:$F$5001)*(Results!$J$2:$J$5001))/DU$72,0)</f>
        <v>0</v>
      </c>
      <c r="DV76" s="6">
        <f>IF(DV$72&gt;0,SUMPRODUCT((Results!$A$2:$A$5001=Schedule!DV$45)*(Results!$F$2:$F$5001)*(Results!$J$2:$J$5001))/DV$72,0)</f>
        <v>0</v>
      </c>
      <c r="DW76" s="6">
        <f>IF(DW$72&gt;0,SUMPRODUCT((Results!$A$2:$A$5001=Schedule!DW$45)*(Results!$F$2:$F$5001)*(Results!$J$2:$J$5001))/DW$72,0)</f>
        <v>0</v>
      </c>
      <c r="DX76" s="6">
        <f>IF(DX$72&gt;0,SUMPRODUCT((Results!$A$2:$A$5001=Schedule!DX$45)*(Results!$F$2:$F$5001)*(Results!$J$2:$J$5001))/DX$72,0)</f>
        <v>0</v>
      </c>
      <c r="DY76" s="6">
        <f>IF(DY$72&gt;0,SUMPRODUCT((Results!$A$2:$A$5001=Schedule!DY$45)*(Results!$F$2:$F$5001)*(Results!$J$2:$J$5001))/DY$72,0)</f>
        <v>0</v>
      </c>
      <c r="DZ76" s="6">
        <f>IF(DZ$72&gt;0,SUMPRODUCT((Results!$A$2:$A$5001=Schedule!DZ$45)*(Results!$F$2:$F$5001)*(Results!$J$2:$J$5001))/DZ$72,0)</f>
        <v>0</v>
      </c>
      <c r="EA76" s="6">
        <f>IF(EA$72&gt;0,SUMPRODUCT((Results!$A$2:$A$5001=Schedule!EA$45)*(Results!$F$2:$F$5001)*(Results!$J$2:$J$5001))/EA$72,0)</f>
        <v>0</v>
      </c>
      <c r="EB76" s="6">
        <f>IF(EB$72&gt;0,SUMPRODUCT((Results!$A$2:$A$5001=Schedule!EB$45)*(Results!$F$2:$F$5001)*(Results!$J$2:$J$5001))/EB$72,0)</f>
        <v>0</v>
      </c>
      <c r="EC76" s="6">
        <f>IF(EC$72&gt;0,SUMPRODUCT((Results!$A$2:$A$5001=Schedule!EC$45)*(Results!$F$2:$F$5001)*(Results!$J$2:$J$5001))/EC$72,0)</f>
        <v>0</v>
      </c>
      <c r="ED76" s="6">
        <f>IF(ED$72&gt;0,SUMPRODUCT((Results!$A$2:$A$5001=Schedule!ED$45)*(Results!$F$2:$F$5001)*(Results!$J$2:$J$5001))/ED$72,0)</f>
        <v>0</v>
      </c>
      <c r="EE76" s="6">
        <f>IF(EE$72&gt;0,SUMPRODUCT((Results!$A$2:$A$5001=Schedule!EE$45)*(Results!$F$2:$F$5001)*(Results!$J$2:$J$5001))/EE$72,0)</f>
        <v>0</v>
      </c>
      <c r="EF76" s="6">
        <f>IF(EF$72&gt;0,SUMPRODUCT((Results!$A$2:$A$5001=Schedule!EF$45)*(Results!$F$2:$F$5001)*(Results!$J$2:$J$5001))/EF$72,0)</f>
        <v>0</v>
      </c>
      <c r="EG76" s="6">
        <f>IF(EG$72&gt;0,SUMPRODUCT((Results!$A$2:$A$5001=Schedule!EG$45)*(Results!$F$2:$F$5001)*(Results!$J$2:$J$5001))/EG$72,0)</f>
        <v>0</v>
      </c>
      <c r="EH76" s="6">
        <f>IF(EH$72&gt;0,SUMPRODUCT((Results!$A$2:$A$5001=Schedule!EH$45)*(Results!$F$2:$F$5001)*(Results!$J$2:$J$5001))/EH$72,0)</f>
        <v>0</v>
      </c>
      <c r="EI76" s="6">
        <f>IF(EI$72&gt;0,SUMPRODUCT((Results!$A$2:$A$5001=Schedule!EI$45)*(Results!$F$2:$F$5001)*(Results!$J$2:$J$5001))/EI$72,0)</f>
        <v>0</v>
      </c>
      <c r="EJ76" s="6">
        <f>IF(EJ$72&gt;0,SUMPRODUCT((Results!$A$2:$A$5001=Schedule!EJ$45)*(Results!$F$2:$F$5001)*(Results!$J$2:$J$5001))/EJ$72,0)</f>
        <v>0</v>
      </c>
      <c r="EK76" s="6">
        <f>IF(EK$72&gt;0,SUMPRODUCT((Results!$A$2:$A$5001=Schedule!EK$45)*(Results!$F$2:$F$5001)*(Results!$J$2:$J$5001))/EK$72,0)</f>
        <v>0</v>
      </c>
      <c r="EL76" s="6">
        <f>IF(EL$72&gt;0,SUMPRODUCT((Results!$A$2:$A$5001=Schedule!EL$45)*(Results!$F$2:$F$5001)*(Results!$J$2:$J$5001))/EL$72,0)</f>
        <v>0</v>
      </c>
      <c r="EM76" s="6">
        <f>IF(EM$72&gt;0,SUMPRODUCT((Results!$A$2:$A$5001=Schedule!EM$45)*(Results!$F$2:$F$5001)*(Results!$J$2:$J$5001))/EM$72,0)</f>
        <v>0</v>
      </c>
      <c r="EN76" s="6">
        <f>IF(EN$72&gt;0,SUMPRODUCT((Results!$A$2:$A$5001=Schedule!EN$45)*(Results!$F$2:$F$5001)*(Results!$J$2:$J$5001))/EN$72,0)</f>
        <v>0</v>
      </c>
      <c r="EO76" s="6">
        <f>IF(EO$72&gt;0,SUMPRODUCT((Results!$A$2:$A$5001=Schedule!EO$45)*(Results!$F$2:$F$5001)*(Results!$J$2:$J$5001))/EO$72,0)</f>
        <v>0</v>
      </c>
      <c r="EP76" s="6">
        <f>IF(EP$72&gt;0,SUMPRODUCT((Results!$A$2:$A$5001=Schedule!EP$45)*(Results!$F$2:$F$5001)*(Results!$J$2:$J$5001))/EP$72,0)</f>
        <v>0</v>
      </c>
      <c r="EQ76" s="6">
        <f>IF(EQ$72&gt;0,SUMPRODUCT((Results!$A$2:$A$5001=Schedule!EQ$45)*(Results!$F$2:$F$5001)*(Results!$J$2:$J$5001))/EQ$72,0)</f>
        <v>0</v>
      </c>
      <c r="ER76" s="6">
        <f>IF(ER$72&gt;0,SUMPRODUCT((Results!$A$2:$A$5001=Schedule!ER$45)*(Results!$F$2:$F$5001)*(Results!$J$2:$J$5001))/ER$72,0)</f>
        <v>0</v>
      </c>
      <c r="ES76" s="6">
        <f>IF(ES$72&gt;0,SUMPRODUCT((Results!$A$2:$A$5001=Schedule!ES$45)*(Results!$F$2:$F$5001)*(Results!$J$2:$J$5001))/ES$72,0)</f>
        <v>0</v>
      </c>
      <c r="ET76" s="6">
        <f>IF(ET$72&gt;0,SUMPRODUCT((Results!$A$2:$A$5001=Schedule!ET$45)*(Results!$F$2:$F$5001)*(Results!$J$2:$J$5001))/ET$72,0)</f>
        <v>0</v>
      </c>
      <c r="EU76" s="6">
        <f>IF(EU$72&gt;0,SUMPRODUCT((Results!$A$2:$A$5001=Schedule!EU$45)*(Results!$F$2:$F$5001)*(Results!$J$2:$J$5001))/EU$72,0)</f>
        <v>0</v>
      </c>
      <c r="EV76" s="6">
        <f>IF(EV$72&gt;0,SUMPRODUCT((Results!$A$2:$A$5001=Schedule!EV$45)*(Results!$F$2:$F$5001)*(Results!$J$2:$J$5001))/EV$72,0)</f>
        <v>0</v>
      </c>
      <c r="EW76" s="6">
        <f>IF(EW$72&gt;0,SUMPRODUCT((Results!$A$2:$A$5001=Schedule!EW$45)*(Results!$F$2:$F$5001)*(Results!$J$2:$J$5001))/EW$72,0)</f>
        <v>0</v>
      </c>
      <c r="EX76" s="6">
        <f>IF(EX$72&gt;0,SUMPRODUCT((Results!$A$2:$A$5001=Schedule!EX$45)*(Results!$F$2:$F$5001)*(Results!$J$2:$J$5001))/EX$72,0)</f>
        <v>0</v>
      </c>
      <c r="EY76" s="6">
        <f>IF(EY$72&gt;0,SUMPRODUCT((Results!$A$2:$A$5001=Schedule!EY$45)*(Results!$F$2:$F$5001)*(Results!$J$2:$J$5001))/EY$72,0)</f>
        <v>0</v>
      </c>
      <c r="EZ76" s="6">
        <f>IF(EZ$72&gt;0,SUMPRODUCT((Results!$A$2:$A$5001=Schedule!EZ$45)*(Results!$F$2:$F$5001)*(Results!$J$2:$J$5001))/EZ$72,0)</f>
        <v>0</v>
      </c>
      <c r="FA76" s="6">
        <f>IF(FA$72&gt;0,SUMPRODUCT((Results!$A$2:$A$5001=Schedule!FA$45)*(Results!$F$2:$F$5001)*(Results!$J$2:$J$5001))/FA$72,0)</f>
        <v>0</v>
      </c>
      <c r="FB76" s="6">
        <f>IF(FB$72&gt;0,SUMPRODUCT((Results!$A$2:$A$5001=Schedule!FB$45)*(Results!$F$2:$F$5001)*(Results!$J$2:$J$5001))/FB$72,0)</f>
        <v>0</v>
      </c>
      <c r="FC76" s="6">
        <f>IF(FC$72&gt;0,SUMPRODUCT((Results!$A$2:$A$5001=Schedule!FC$45)*(Results!$F$2:$F$5001)*(Results!$J$2:$J$5001))/FC$72,0)</f>
        <v>0</v>
      </c>
      <c r="FD76" s="6">
        <f>IF(FD$72&gt;0,SUMPRODUCT((Results!$A$2:$A$5001=Schedule!FD$45)*(Results!$F$2:$F$5001)*(Results!$J$2:$J$5001))/FD$72,0)</f>
        <v>0</v>
      </c>
      <c r="FE76" s="6">
        <f>IF(FE$72&gt;0,SUMPRODUCT((Results!$A$2:$A$5001=Schedule!FE$45)*(Results!$F$2:$F$5001)*(Results!$J$2:$J$5001))/FE$72,0)</f>
        <v>0</v>
      </c>
      <c r="FF76" s="6">
        <f>IF(FF$72&gt;0,SUMPRODUCT((Results!$A$2:$A$5001=Schedule!FF$45)*(Results!$F$2:$F$5001)*(Results!$J$2:$J$5001))/FF$72,0)</f>
        <v>0</v>
      </c>
      <c r="FG76" s="6">
        <f>IF(FG$72&gt;0,SUMPRODUCT((Results!$A$2:$A$5001=Schedule!FG$45)*(Results!$F$2:$F$5001)*(Results!$J$2:$J$5001))/FG$72,0)</f>
        <v>0</v>
      </c>
      <c r="FH76" s="6">
        <f>IF(FH$72&gt;0,SUMPRODUCT((Results!$A$2:$A$5001=Schedule!FH$45)*(Results!$F$2:$F$5001)*(Results!$J$2:$J$5001))/FH$72,0)</f>
        <v>0</v>
      </c>
      <c r="FI76" s="6">
        <f>IF(FI$72&gt;0,SUMPRODUCT((Results!$A$2:$A$5001=Schedule!FI$45)*(Results!$F$2:$F$5001)*(Results!$J$2:$J$5001))/FI$72,0)</f>
        <v>0</v>
      </c>
      <c r="FJ76" s="6">
        <f>IF(FJ$72&gt;0,SUMPRODUCT((Results!$A$2:$A$5001=Schedule!FJ$45)*(Results!$F$2:$F$5001)*(Results!$J$2:$J$5001))/FJ$72,0)</f>
        <v>0</v>
      </c>
      <c r="FK76" s="6">
        <f>IF(FK$72&gt;0,SUMPRODUCT((Results!$A$2:$A$5001=Schedule!FK$45)*(Results!$F$2:$F$5001)*(Results!$J$2:$J$5001))/FK$72,0)</f>
        <v>0</v>
      </c>
      <c r="FL76" s="6">
        <f>IF(FL$72&gt;0,SUMPRODUCT((Results!$A$2:$A$5001=Schedule!FL$45)*(Results!$F$2:$F$5001)*(Results!$J$2:$J$5001))/FL$72,0)</f>
        <v>0</v>
      </c>
      <c r="FM76" s="6">
        <f>IF(FM$72&gt;0,SUMPRODUCT((Results!$A$2:$A$5001=Schedule!FM$45)*(Results!$F$2:$F$5001)*(Results!$J$2:$J$5001))/FM$72,0)</f>
        <v>0</v>
      </c>
      <c r="FN76" s="6">
        <f>IF(FN$72&gt;0,SUMPRODUCT((Results!$A$2:$A$5001=Schedule!FN$45)*(Results!$F$2:$F$5001)*(Results!$J$2:$J$5001))/FN$72,0)</f>
        <v>0</v>
      </c>
      <c r="FO76" s="6">
        <f>IF(FO$72&gt;0,SUMPRODUCT((Results!$A$2:$A$5001=Schedule!FO$45)*(Results!$F$2:$F$5001)*(Results!$J$2:$J$5001))/FO$72,0)</f>
        <v>0</v>
      </c>
      <c r="FP76" s="6">
        <f>IF(FP$72&gt;0,SUMPRODUCT((Results!$A$2:$A$5001=Schedule!FP$45)*(Results!$F$2:$F$5001)*(Results!$J$2:$J$5001))/FP$72,0)</f>
        <v>0</v>
      </c>
      <c r="FQ76" s="6">
        <f>IF(FQ$72&gt;0,SUMPRODUCT((Results!$A$2:$A$5001=Schedule!FQ$45)*(Results!$F$2:$F$5001)*(Results!$J$2:$J$5001))/FQ$72,0)</f>
        <v>0</v>
      </c>
      <c r="FR76" s="6">
        <f>IF(FR$72&gt;0,SUMPRODUCT((Results!$A$2:$A$5001=Schedule!FR$45)*(Results!$F$2:$F$5001)*(Results!$J$2:$J$5001))/FR$72,0)</f>
        <v>0</v>
      </c>
      <c r="FS76" s="6">
        <f>IF(FS$72&gt;0,SUMPRODUCT((Results!$A$2:$A$5001=Schedule!FS$45)*(Results!$F$2:$F$5001)*(Results!$J$2:$J$5001))/FS$72,0)</f>
        <v>0</v>
      </c>
      <c r="FT76" s="6">
        <f>IF(FT$72&gt;0,SUMPRODUCT((Results!$A$2:$A$5001=Schedule!FT$45)*(Results!$F$2:$F$5001)*(Results!$J$2:$J$5001))/FT$72,0)</f>
        <v>0</v>
      </c>
      <c r="FU76" s="6">
        <f>IF(FU$72&gt;0,SUMPRODUCT((Results!$A$2:$A$5001=Schedule!FU$45)*(Results!$F$2:$F$5001)*(Results!$J$2:$J$5001))/FU$72,0)</f>
        <v>0</v>
      </c>
      <c r="FV76" s="6">
        <f>IF(FV$72&gt;0,SUMPRODUCT((Results!$A$2:$A$5001=Schedule!FV$45)*(Results!$F$2:$F$5001)*(Results!$J$2:$J$5001))/FV$72,0)</f>
        <v>0</v>
      </c>
      <c r="FW76" s="6">
        <f>IF(FW$72&gt;0,SUMPRODUCT((Results!$A$2:$A$5001=Schedule!FW$45)*(Results!$F$2:$F$5001)*(Results!$J$2:$J$5001))/FW$72,0)</f>
        <v>0</v>
      </c>
      <c r="FX76" s="6">
        <f>IF(FX$72&gt;0,SUMPRODUCT((Results!$A$2:$A$5001=Schedule!FX$45)*(Results!$F$2:$F$5001)*(Results!$J$2:$J$5001))/FX$72,0)</f>
        <v>0</v>
      </c>
      <c r="FY76" s="6">
        <f>IF(FY$72&gt;0,SUMPRODUCT((Results!$A$2:$A$5001=Schedule!FY$45)*(Results!$F$2:$F$5001)*(Results!$J$2:$J$5001))/FY$72,0)</f>
        <v>0</v>
      </c>
      <c r="FZ76" s="6">
        <f>IF(FZ$72&gt;0,SUMPRODUCT((Results!$A$2:$A$5001=Schedule!FZ$45)*(Results!$F$2:$F$5001)*(Results!$J$2:$J$5001))/FZ$72,0)</f>
        <v>0</v>
      </c>
      <c r="GA76" s="6">
        <f>IF(GA$72&gt;0,SUMPRODUCT((Results!$A$2:$A$5001=Schedule!GA$45)*(Results!$F$2:$F$5001)*(Results!$J$2:$J$5001))/GA$72,0)</f>
        <v>0</v>
      </c>
      <c r="GB76" s="6">
        <f>IF(GB$72&gt;0,SUMPRODUCT((Results!$A$2:$A$5001=Schedule!GB$45)*(Results!$F$2:$F$5001)*(Results!$J$2:$J$5001))/GB$72,0)</f>
        <v>0</v>
      </c>
      <c r="GC76" s="6">
        <f>IF(GC$72&gt;0,SUMPRODUCT((Results!$A$2:$A$5001=Schedule!GC$45)*(Results!$F$2:$F$5001)*(Results!$J$2:$J$5001))/GC$72,0)</f>
        <v>0</v>
      </c>
      <c r="GD76" s="6">
        <f>IF(GD$72&gt;0,SUMPRODUCT((Results!$A$2:$A$5001=Schedule!GD$45)*(Results!$F$2:$F$5001)*(Results!$J$2:$J$5001))/GD$72,0)</f>
        <v>0</v>
      </c>
      <c r="GE76" s="6">
        <f>IF(GE$72&gt;0,SUMPRODUCT((Results!$A$2:$A$5001=Schedule!GE$45)*(Results!$F$2:$F$5001)*(Results!$J$2:$J$5001))/GE$72,0)</f>
        <v>0</v>
      </c>
      <c r="GF76" s="6">
        <f>IF(GF$72&gt;0,SUMPRODUCT((Results!$A$2:$A$5001=Schedule!GF$45)*(Results!$F$2:$F$5001)*(Results!$J$2:$J$5001))/GF$72,0)</f>
        <v>0</v>
      </c>
      <c r="GG76" s="6">
        <f>IF(GG$72&gt;0,SUMPRODUCT((Results!$A$2:$A$5001=Schedule!GG$45)*(Results!$F$2:$F$5001)*(Results!$J$2:$J$5001))/GG$72,0)</f>
        <v>0</v>
      </c>
      <c r="GH76" s="6">
        <f>IF(GH$72&gt;0,SUMPRODUCT((Results!$A$2:$A$5001=Schedule!GH$45)*(Results!$F$2:$F$5001)*(Results!$J$2:$J$5001))/GH$72,0)</f>
        <v>0</v>
      </c>
      <c r="GI76" s="6">
        <f>IF(GI$72&gt;0,SUMPRODUCT((Results!$A$2:$A$5001=Schedule!GI$45)*(Results!$F$2:$F$5001)*(Results!$J$2:$J$5001))/GI$72,0)</f>
        <v>0</v>
      </c>
      <c r="GJ76" s="6">
        <f>IF(GJ$72&gt;0,SUMPRODUCT((Results!$A$2:$A$5001=Schedule!GJ$45)*(Results!$F$2:$F$5001)*(Results!$J$2:$J$5001))/GJ$72,0)</f>
        <v>0</v>
      </c>
      <c r="GK76" s="6">
        <f>IF(GK$72&gt;0,SUMPRODUCT((Results!$A$2:$A$5001=Schedule!GK$45)*(Results!$F$2:$F$5001)*(Results!$J$2:$J$5001))/GK$72,0)</f>
        <v>0</v>
      </c>
      <c r="GL76" s="6">
        <f>IF(GL$72&gt;0,SUMPRODUCT((Results!$A$2:$A$5001=Schedule!GL$45)*(Results!$F$2:$F$5001)*(Results!$J$2:$J$5001))/GL$72,0)</f>
        <v>0</v>
      </c>
      <c r="GM76" s="6">
        <f>IF(GM$72&gt;0,SUMPRODUCT((Results!$A$2:$A$5001=Schedule!GM$45)*(Results!$F$2:$F$5001)*(Results!$J$2:$J$5001))/GM$72,0)</f>
        <v>0</v>
      </c>
      <c r="GN76" s="6">
        <f>IF(GN$72&gt;0,SUMPRODUCT((Results!$A$2:$A$5001=Schedule!GN$45)*(Results!$F$2:$F$5001)*(Results!$J$2:$J$5001))/GN$72,0)</f>
        <v>0</v>
      </c>
      <c r="GO76" s="6">
        <f>IF(GO$72&gt;0,SUMPRODUCT((Results!$A$2:$A$5001=Schedule!GO$45)*(Results!$F$2:$F$5001)*(Results!$J$2:$J$5001))/GO$72,0)</f>
        <v>0</v>
      </c>
      <c r="GP76" s="6">
        <f>IF(GP$72&gt;0,SUMPRODUCT((Results!$A$2:$A$5001=Schedule!GP$45)*(Results!$F$2:$F$5001)*(Results!$J$2:$J$5001))/GP$72,0)</f>
        <v>0</v>
      </c>
      <c r="GQ76" s="6">
        <f>IF(GQ$72&gt;0,SUMPRODUCT((Results!$A$2:$A$5001=Schedule!GQ$45)*(Results!$F$2:$F$5001)*(Results!$J$2:$J$5001))/GQ$72,0)</f>
        <v>0</v>
      </c>
      <c r="GR76" s="6">
        <f>IF(GR$72&gt;0,SUMPRODUCT((Results!$A$2:$A$5001=Schedule!GR$45)*(Results!$F$2:$F$5001)*(Results!$J$2:$J$5001))/GR$72,0)</f>
        <v>0</v>
      </c>
      <c r="GS76" s="6">
        <f>IF(GS$72&gt;0,SUMPRODUCT((Results!$A$2:$A$5001=Schedule!GS$45)*(Results!$F$2:$F$5001)*(Results!$J$2:$J$5001))/GS$72,0)</f>
        <v>0</v>
      </c>
      <c r="GT76" s="6">
        <f>IF(GT$72&gt;0,SUMPRODUCT((Results!$A$2:$A$5001=Schedule!GT$45)*(Results!$F$2:$F$5001)*(Results!$J$2:$J$5001))/GT$72,0)</f>
        <v>0</v>
      </c>
      <c r="GU76" s="6">
        <f>IF(GU$72&gt;0,SUMPRODUCT((Results!$A$2:$A$5001=Schedule!GU$45)*(Results!$F$2:$F$5001)*(Results!$J$2:$J$5001))/GU$72,0)</f>
        <v>0</v>
      </c>
      <c r="GV76" s="6"/>
    </row>
    <row r="77" spans="1:204" ht="13.5" customHeight="1" x14ac:dyDescent="0.2">
      <c r="A77" s="40" t="str">
        <f t="shared" si="36"/>
        <v>GRADE4</v>
      </c>
      <c r="B77" s="40" t="str">
        <f t="shared" si="36"/>
        <v>100%-Fe</v>
      </c>
      <c r="C77" s="6">
        <f>IF(C$72&gt;0,SUMPRODUCT((Results!$A$2:$A$5001=Schedule!C$45)*(Results!$F$2:$F$5001)*(Results!$K$2:$K$5001))/C$72,0)</f>
        <v>40.905749693349698</v>
      </c>
      <c r="D77" s="6">
        <f>IF(D$72&gt;0,SUMPRODUCT((Results!$A$2:$A$5001=Schedule!D$45)*(Results!$F$2:$F$5001)*(Results!$K$2:$K$5001))/D$72,0)</f>
        <v>39.591906911217798</v>
      </c>
      <c r="E77" s="6">
        <f>IF(E$72&gt;0,SUMPRODUCT((Results!$A$2:$A$5001=Schedule!E$45)*(Results!$F$2:$F$5001)*(Results!$K$2:$K$5001))/E$72,0)</f>
        <v>39.549316493115661</v>
      </c>
      <c r="F77" s="6">
        <f>IF(F$72&gt;0,SUMPRODUCT((Results!$A$2:$A$5001=Schedule!F$45)*(Results!$F$2:$F$5001)*(Results!$K$2:$K$5001))/F$72,0)</f>
        <v>39.592953095734835</v>
      </c>
      <c r="G77" s="6">
        <f>IF(G$72&gt;0,SUMPRODUCT((Results!$A$2:$A$5001=Schedule!G$45)*(Results!$F$2:$F$5001)*(Results!$K$2:$K$5001))/G$72,0)</f>
        <v>39.993469258759418</v>
      </c>
      <c r="H77" s="6">
        <f>IF(H$72&gt;0,SUMPRODUCT((Results!$A$2:$A$5001=Schedule!H$45)*(Results!$F$2:$F$5001)*(Results!$K$2:$K$5001))/H$72,0)</f>
        <v>42.295262875947039</v>
      </c>
      <c r="I77" s="6">
        <f>IF(I$72&gt;0,SUMPRODUCT((Results!$A$2:$A$5001=Schedule!I$45)*(Results!$F$2:$F$5001)*(Results!$K$2:$K$5001))/I$72,0)</f>
        <v>0</v>
      </c>
      <c r="J77" s="6">
        <f>IF(J$72&gt;0,SUMPRODUCT((Results!$A$2:$A$5001=Schedule!J$45)*(Results!$F$2:$F$5001)*(Results!$K$2:$K$5001))/J$72,0)</f>
        <v>0</v>
      </c>
      <c r="K77" s="6">
        <f>IF(K$72&gt;0,SUMPRODUCT((Results!$A$2:$A$5001=Schedule!K$45)*(Results!$F$2:$F$5001)*(Results!$K$2:$K$5001))/K$72,0)</f>
        <v>0</v>
      </c>
      <c r="L77" s="6">
        <f>IF(L$72&gt;0,SUMPRODUCT((Results!$A$2:$A$5001=Schedule!L$45)*(Results!$F$2:$F$5001)*(Results!$K$2:$K$5001))/L$72,0)</f>
        <v>0</v>
      </c>
      <c r="M77" s="6">
        <f>IF(M$72&gt;0,SUMPRODUCT((Results!$A$2:$A$5001=Schedule!M$45)*(Results!$F$2:$F$5001)*(Results!$K$2:$K$5001))/M$72,0)</f>
        <v>0</v>
      </c>
      <c r="N77" s="6">
        <f>IF(N$72&gt;0,SUMPRODUCT((Results!$A$2:$A$5001=Schedule!N$45)*(Results!$F$2:$F$5001)*(Results!$K$2:$K$5001))/N$72,0)</f>
        <v>0</v>
      </c>
      <c r="O77" s="6">
        <f>IF(O$72&gt;0,SUMPRODUCT((Results!$A$2:$A$5001=Schedule!O$45)*(Results!$F$2:$F$5001)*(Results!$K$2:$K$5001))/O$72,0)</f>
        <v>0</v>
      </c>
      <c r="P77" s="6">
        <f>IF(P$72&gt;0,SUMPRODUCT((Results!$A$2:$A$5001=Schedule!P$45)*(Results!$F$2:$F$5001)*(Results!$K$2:$K$5001))/P$72,0)</f>
        <v>0</v>
      </c>
      <c r="Q77" s="6">
        <f>IF(Q$72&gt;0,SUMPRODUCT((Results!$A$2:$A$5001=Schedule!Q$45)*(Results!$F$2:$F$5001)*(Results!$K$2:$K$5001))/Q$72,0)</f>
        <v>0</v>
      </c>
      <c r="R77" s="6">
        <f>IF(R$72&gt;0,SUMPRODUCT((Results!$A$2:$A$5001=Schedule!R$45)*(Results!$F$2:$F$5001)*(Results!$K$2:$K$5001))/R$72,0)</f>
        <v>0</v>
      </c>
      <c r="S77" s="6">
        <f>IF(S$72&gt;0,SUMPRODUCT((Results!$A$2:$A$5001=Schedule!S$45)*(Results!$F$2:$F$5001)*(Results!$K$2:$K$5001))/S$72,0)</f>
        <v>0</v>
      </c>
      <c r="T77" s="6">
        <f>IF(T$72&gt;0,SUMPRODUCT((Results!$A$2:$A$5001=Schedule!T$45)*(Results!$F$2:$F$5001)*(Results!$K$2:$K$5001))/T$72,0)</f>
        <v>0</v>
      </c>
      <c r="U77" s="6">
        <f>IF(U$72&gt;0,SUMPRODUCT((Results!$A$2:$A$5001=Schedule!U$45)*(Results!$F$2:$F$5001)*(Results!$K$2:$K$5001))/U$72,0)</f>
        <v>0</v>
      </c>
      <c r="V77" s="6">
        <f>IF(V$72&gt;0,SUMPRODUCT((Results!$A$2:$A$5001=Schedule!V$45)*(Results!$F$2:$F$5001)*(Results!$K$2:$K$5001))/V$72,0)</f>
        <v>0</v>
      </c>
      <c r="W77" s="6">
        <f>IF(W$72&gt;0,SUMPRODUCT((Results!$A$2:$A$5001=Schedule!W$45)*(Results!$F$2:$F$5001)*(Results!$K$2:$K$5001))/W$72,0)</f>
        <v>0</v>
      </c>
      <c r="X77" s="6">
        <f>IF(X$72&gt;0,SUMPRODUCT((Results!$A$2:$A$5001=Schedule!X$45)*(Results!$F$2:$F$5001)*(Results!$K$2:$K$5001))/X$72,0)</f>
        <v>0</v>
      </c>
      <c r="Y77" s="6">
        <f>IF(Y$72&gt;0,SUMPRODUCT((Results!$A$2:$A$5001=Schedule!Y$45)*(Results!$F$2:$F$5001)*(Results!$K$2:$K$5001))/Y$72,0)</f>
        <v>0</v>
      </c>
      <c r="Z77" s="6">
        <f>IF(Z$72&gt;0,SUMPRODUCT((Results!$A$2:$A$5001=Schedule!Z$45)*(Results!$F$2:$F$5001)*(Results!$K$2:$K$5001))/Z$72,0)</f>
        <v>0</v>
      </c>
      <c r="AA77" s="6">
        <f>IF(AA$72&gt;0,SUMPRODUCT((Results!$A$2:$A$5001=Schedule!AA$45)*(Results!$F$2:$F$5001)*(Results!$K$2:$K$5001))/AA$72,0)</f>
        <v>0</v>
      </c>
      <c r="AB77" s="6">
        <f>IF(AB$72&gt;0,SUMPRODUCT((Results!$A$2:$A$5001=Schedule!AB$45)*(Results!$F$2:$F$5001)*(Results!$K$2:$K$5001))/AB$72,0)</f>
        <v>0</v>
      </c>
      <c r="AC77" s="6">
        <f>IF(AC$72&gt;0,SUMPRODUCT((Results!$A$2:$A$5001=Schedule!AC$45)*(Results!$F$2:$F$5001)*(Results!$K$2:$K$5001))/AC$72,0)</f>
        <v>0</v>
      </c>
      <c r="AD77" s="6">
        <f>IF(AD$72&gt;0,SUMPRODUCT((Results!$A$2:$A$5001=Schedule!AD$45)*(Results!$F$2:$F$5001)*(Results!$K$2:$K$5001))/AD$72,0)</f>
        <v>0</v>
      </c>
      <c r="AE77" s="6">
        <f>IF(AE$72&gt;0,SUMPRODUCT((Results!$A$2:$A$5001=Schedule!AE$45)*(Results!$F$2:$F$5001)*(Results!$K$2:$K$5001))/AE$72,0)</f>
        <v>0</v>
      </c>
      <c r="AF77" s="6">
        <f>IF(AF$72&gt;0,SUMPRODUCT((Results!$A$2:$A$5001=Schedule!AF$45)*(Results!$F$2:$F$5001)*(Results!$K$2:$K$5001))/AF$72,0)</f>
        <v>0</v>
      </c>
      <c r="AG77" s="6">
        <f>IF(AG$72&gt;0,SUMPRODUCT((Results!$A$2:$A$5001=Schedule!AG$45)*(Results!$F$2:$F$5001)*(Results!$K$2:$K$5001))/AG$72,0)</f>
        <v>0</v>
      </c>
      <c r="AH77" s="6">
        <f>IF(AH$72&gt;0,SUMPRODUCT((Results!$A$2:$A$5001=Schedule!AH$45)*(Results!$F$2:$F$5001)*(Results!$K$2:$K$5001))/AH$72,0)</f>
        <v>0</v>
      </c>
      <c r="AI77" s="6">
        <f>IF(AI$72&gt;0,SUMPRODUCT((Results!$A$2:$A$5001=Schedule!AI$45)*(Results!$F$2:$F$5001)*(Results!$K$2:$K$5001))/AI$72,0)</f>
        <v>0</v>
      </c>
      <c r="AJ77" s="6">
        <f>IF(AJ$72&gt;0,SUMPRODUCT((Results!$A$2:$A$5001=Schedule!AJ$45)*(Results!$F$2:$F$5001)*(Results!$K$2:$K$5001))/AJ$72,0)</f>
        <v>0</v>
      </c>
      <c r="AK77" s="6">
        <f>IF(AK$72&gt;0,SUMPRODUCT((Results!$A$2:$A$5001=Schedule!AK$45)*(Results!$F$2:$F$5001)*(Results!$K$2:$K$5001))/AK$72,0)</f>
        <v>0</v>
      </c>
      <c r="AL77" s="6">
        <f>IF(AL$72&gt;0,SUMPRODUCT((Results!$A$2:$A$5001=Schedule!AL$45)*(Results!$F$2:$F$5001)*(Results!$K$2:$K$5001))/AL$72,0)</f>
        <v>0</v>
      </c>
      <c r="AM77" s="6">
        <f>IF(AM$72&gt;0,SUMPRODUCT((Results!$A$2:$A$5001=Schedule!AM$45)*(Results!$F$2:$F$5001)*(Results!$K$2:$K$5001))/AM$72,0)</f>
        <v>0</v>
      </c>
      <c r="AN77" s="6">
        <f>IF(AN$72&gt;0,SUMPRODUCT((Results!$A$2:$A$5001=Schedule!AN$45)*(Results!$F$2:$F$5001)*(Results!$K$2:$K$5001))/AN$72,0)</f>
        <v>0</v>
      </c>
      <c r="AO77" s="6">
        <f>IF(AO$72&gt;0,SUMPRODUCT((Results!$A$2:$A$5001=Schedule!AO$45)*(Results!$F$2:$F$5001)*(Results!$K$2:$K$5001))/AO$72,0)</f>
        <v>0</v>
      </c>
      <c r="AP77" s="6">
        <f>IF(AP$72&gt;0,SUMPRODUCT((Results!$A$2:$A$5001=Schedule!AP$45)*(Results!$F$2:$F$5001)*(Results!$K$2:$K$5001))/AP$72,0)</f>
        <v>0</v>
      </c>
      <c r="AQ77" s="6">
        <f>IF(AQ$72&gt;0,SUMPRODUCT((Results!$A$2:$A$5001=Schedule!AQ$45)*(Results!$F$2:$F$5001)*(Results!$K$2:$K$5001))/AQ$72,0)</f>
        <v>0</v>
      </c>
      <c r="AR77" s="6">
        <f>IF(AR$72&gt;0,SUMPRODUCT((Results!$A$2:$A$5001=Schedule!AR$45)*(Results!$F$2:$F$5001)*(Results!$K$2:$K$5001))/AR$72,0)</f>
        <v>0</v>
      </c>
      <c r="AS77" s="6">
        <f>IF(AS$72&gt;0,SUMPRODUCT((Results!$A$2:$A$5001=Schedule!AS$45)*(Results!$F$2:$F$5001)*(Results!$K$2:$K$5001))/AS$72,0)</f>
        <v>0</v>
      </c>
      <c r="AT77" s="6">
        <f>IF(AT$72&gt;0,SUMPRODUCT((Results!$A$2:$A$5001=Schedule!AT$45)*(Results!$F$2:$F$5001)*(Results!$K$2:$K$5001))/AT$72,0)</f>
        <v>0</v>
      </c>
      <c r="AU77" s="6">
        <f>IF(AU$72&gt;0,SUMPRODUCT((Results!$A$2:$A$5001=Schedule!AU$45)*(Results!$F$2:$F$5001)*(Results!$K$2:$K$5001))/AU$72,0)</f>
        <v>0</v>
      </c>
      <c r="AV77" s="6">
        <f>IF(AV$72&gt;0,SUMPRODUCT((Results!$A$2:$A$5001=Schedule!AV$45)*(Results!$F$2:$F$5001)*(Results!$K$2:$K$5001))/AV$72,0)</f>
        <v>0</v>
      </c>
      <c r="AW77" s="6">
        <f>IF(AW$72&gt;0,SUMPRODUCT((Results!$A$2:$A$5001=Schedule!AW$45)*(Results!$F$2:$F$5001)*(Results!$K$2:$K$5001))/AW$72,0)</f>
        <v>0</v>
      </c>
      <c r="AX77" s="6">
        <f>IF(AX$72&gt;0,SUMPRODUCT((Results!$A$2:$A$5001=Schedule!AX$45)*(Results!$F$2:$F$5001)*(Results!$K$2:$K$5001))/AX$72,0)</f>
        <v>0</v>
      </c>
      <c r="AY77" s="6">
        <f>IF(AY$72&gt;0,SUMPRODUCT((Results!$A$2:$A$5001=Schedule!AY$45)*(Results!$F$2:$F$5001)*(Results!$K$2:$K$5001))/AY$72,0)</f>
        <v>0</v>
      </c>
      <c r="AZ77" s="6">
        <f>IF(AZ$72&gt;0,SUMPRODUCT((Results!$A$2:$A$5001=Schedule!AZ$45)*(Results!$F$2:$F$5001)*(Results!$K$2:$K$5001))/AZ$72,0)</f>
        <v>0</v>
      </c>
      <c r="BA77" s="6">
        <f>IF(BA$72&gt;0,SUMPRODUCT((Results!$A$2:$A$5001=Schedule!BA$45)*(Results!$F$2:$F$5001)*(Results!$K$2:$K$5001))/BA$72,0)</f>
        <v>0</v>
      </c>
      <c r="BB77" s="6">
        <f>IF(BB$72&gt;0,SUMPRODUCT((Results!$A$2:$A$5001=Schedule!BB$45)*(Results!$F$2:$F$5001)*(Results!$K$2:$K$5001))/BB$72,0)</f>
        <v>0</v>
      </c>
      <c r="BC77" s="6">
        <f>IF(BC$72&gt;0,SUMPRODUCT((Results!$A$2:$A$5001=Schedule!BC$45)*(Results!$F$2:$F$5001)*(Results!$K$2:$K$5001))/BC$72,0)</f>
        <v>0</v>
      </c>
      <c r="BD77" s="6">
        <f>IF(BD$72&gt;0,SUMPRODUCT((Results!$A$2:$A$5001=Schedule!BD$45)*(Results!$F$2:$F$5001)*(Results!$K$2:$K$5001))/BD$72,0)</f>
        <v>0</v>
      </c>
      <c r="BE77" s="6">
        <f>IF(BE$72&gt;0,SUMPRODUCT((Results!$A$2:$A$5001=Schedule!BE$45)*(Results!$F$2:$F$5001)*(Results!$K$2:$K$5001))/BE$72,0)</f>
        <v>0</v>
      </c>
      <c r="BF77" s="6">
        <f>IF(BF$72&gt;0,SUMPRODUCT((Results!$A$2:$A$5001=Schedule!BF$45)*(Results!$F$2:$F$5001)*(Results!$K$2:$K$5001))/BF$72,0)</f>
        <v>0</v>
      </c>
      <c r="BG77" s="6">
        <f>IF(BG$72&gt;0,SUMPRODUCT((Results!$A$2:$A$5001=Schedule!BG$45)*(Results!$F$2:$F$5001)*(Results!$K$2:$K$5001))/BG$72,0)</f>
        <v>0</v>
      </c>
      <c r="BH77" s="6">
        <f>IF(BH$72&gt;0,SUMPRODUCT((Results!$A$2:$A$5001=Schedule!BH$45)*(Results!$F$2:$F$5001)*(Results!$K$2:$K$5001))/BH$72,0)</f>
        <v>0</v>
      </c>
      <c r="BI77" s="6">
        <f>IF(BI$72&gt;0,SUMPRODUCT((Results!$A$2:$A$5001=Schedule!BI$45)*(Results!$F$2:$F$5001)*(Results!$K$2:$K$5001))/BI$72,0)</f>
        <v>0</v>
      </c>
      <c r="BJ77" s="6">
        <f>IF(BJ$72&gt;0,SUMPRODUCT((Results!$A$2:$A$5001=Schedule!BJ$45)*(Results!$F$2:$F$5001)*(Results!$K$2:$K$5001))/BJ$72,0)</f>
        <v>0</v>
      </c>
      <c r="BK77" s="6">
        <f>IF(BK$72&gt;0,SUMPRODUCT((Results!$A$2:$A$5001=Schedule!BK$45)*(Results!$F$2:$F$5001)*(Results!$K$2:$K$5001))/BK$72,0)</f>
        <v>0</v>
      </c>
      <c r="BL77" s="6">
        <f>IF(BL$72&gt;0,SUMPRODUCT((Results!$A$2:$A$5001=Schedule!BL$45)*(Results!$F$2:$F$5001)*(Results!$K$2:$K$5001))/BL$72,0)</f>
        <v>0</v>
      </c>
      <c r="BM77" s="6">
        <f>IF(BM$72&gt;0,SUMPRODUCT((Results!$A$2:$A$5001=Schedule!BM$45)*(Results!$F$2:$F$5001)*(Results!$K$2:$K$5001))/BM$72,0)</f>
        <v>0</v>
      </c>
      <c r="BN77" s="6">
        <f>IF(BN$72&gt;0,SUMPRODUCT((Results!$A$2:$A$5001=Schedule!BN$45)*(Results!$F$2:$F$5001)*(Results!$K$2:$K$5001))/BN$72,0)</f>
        <v>0</v>
      </c>
      <c r="BO77" s="6">
        <f>IF(BO$72&gt;0,SUMPRODUCT((Results!$A$2:$A$5001=Schedule!BO$45)*(Results!$F$2:$F$5001)*(Results!$K$2:$K$5001))/BO$72,0)</f>
        <v>0</v>
      </c>
      <c r="BP77" s="6">
        <f>IF(BP$72&gt;0,SUMPRODUCT((Results!$A$2:$A$5001=Schedule!BP$45)*(Results!$F$2:$F$5001)*(Results!$K$2:$K$5001))/BP$72,0)</f>
        <v>0</v>
      </c>
      <c r="BQ77" s="6">
        <f>IF(BQ$72&gt;0,SUMPRODUCT((Results!$A$2:$A$5001=Schedule!BQ$45)*(Results!$F$2:$F$5001)*(Results!$K$2:$K$5001))/BQ$72,0)</f>
        <v>0</v>
      </c>
      <c r="BR77" s="6">
        <f>IF(BR$72&gt;0,SUMPRODUCT((Results!$A$2:$A$5001=Schedule!BR$45)*(Results!$F$2:$F$5001)*(Results!$K$2:$K$5001))/BR$72,0)</f>
        <v>0</v>
      </c>
      <c r="BS77" s="6">
        <f>IF(BS$72&gt;0,SUMPRODUCT((Results!$A$2:$A$5001=Schedule!BS$45)*(Results!$F$2:$F$5001)*(Results!$K$2:$K$5001))/BS$72,0)</f>
        <v>0</v>
      </c>
      <c r="BT77" s="6">
        <f>IF(BT$72&gt;0,SUMPRODUCT((Results!$A$2:$A$5001=Schedule!BT$45)*(Results!$F$2:$F$5001)*(Results!$K$2:$K$5001))/BT$72,0)</f>
        <v>0</v>
      </c>
      <c r="BU77" s="6">
        <f>IF(BU$72&gt;0,SUMPRODUCT((Results!$A$2:$A$5001=Schedule!BU$45)*(Results!$F$2:$F$5001)*(Results!$K$2:$K$5001))/BU$72,0)</f>
        <v>0</v>
      </c>
      <c r="BV77" s="6">
        <f>IF(BV$72&gt;0,SUMPRODUCT((Results!$A$2:$A$5001=Schedule!BV$45)*(Results!$F$2:$F$5001)*(Results!$K$2:$K$5001))/BV$72,0)</f>
        <v>0</v>
      </c>
      <c r="BW77" s="6">
        <f>IF(BW$72&gt;0,SUMPRODUCT((Results!$A$2:$A$5001=Schedule!BW$45)*(Results!$F$2:$F$5001)*(Results!$K$2:$K$5001))/BW$72,0)</f>
        <v>0</v>
      </c>
      <c r="BX77" s="6">
        <f>IF(BX$72&gt;0,SUMPRODUCT((Results!$A$2:$A$5001=Schedule!BX$45)*(Results!$F$2:$F$5001)*(Results!$K$2:$K$5001))/BX$72,0)</f>
        <v>0</v>
      </c>
      <c r="BY77" s="6">
        <f>IF(BY$72&gt;0,SUMPRODUCT((Results!$A$2:$A$5001=Schedule!BY$45)*(Results!$F$2:$F$5001)*(Results!$K$2:$K$5001))/BY$72,0)</f>
        <v>0</v>
      </c>
      <c r="BZ77" s="6">
        <f>IF(BZ$72&gt;0,SUMPRODUCT((Results!$A$2:$A$5001=Schedule!BZ$45)*(Results!$F$2:$F$5001)*(Results!$K$2:$K$5001))/BZ$72,0)</f>
        <v>0</v>
      </c>
      <c r="CA77" s="6">
        <f>IF(CA$72&gt;0,SUMPRODUCT((Results!$A$2:$A$5001=Schedule!CA$45)*(Results!$F$2:$F$5001)*(Results!$K$2:$K$5001))/CA$72,0)</f>
        <v>0</v>
      </c>
      <c r="CB77" s="6">
        <f>IF(CB$72&gt;0,SUMPRODUCT((Results!$A$2:$A$5001=Schedule!CB$45)*(Results!$F$2:$F$5001)*(Results!$K$2:$K$5001))/CB$72,0)</f>
        <v>0</v>
      </c>
      <c r="CC77" s="6">
        <f>IF(CC$72&gt;0,SUMPRODUCT((Results!$A$2:$A$5001=Schedule!CC$45)*(Results!$F$2:$F$5001)*(Results!$K$2:$K$5001))/CC$72,0)</f>
        <v>0</v>
      </c>
      <c r="CD77" s="6">
        <f>IF(CD$72&gt;0,SUMPRODUCT((Results!$A$2:$A$5001=Schedule!CD$45)*(Results!$F$2:$F$5001)*(Results!$K$2:$K$5001))/CD$72,0)</f>
        <v>0</v>
      </c>
      <c r="CE77" s="6">
        <f>IF(CE$72&gt;0,SUMPRODUCT((Results!$A$2:$A$5001=Schedule!CE$45)*(Results!$F$2:$F$5001)*(Results!$K$2:$K$5001))/CE$72,0)</f>
        <v>0</v>
      </c>
      <c r="CF77" s="6">
        <f>IF(CF$72&gt;0,SUMPRODUCT((Results!$A$2:$A$5001=Schedule!CF$45)*(Results!$F$2:$F$5001)*(Results!$K$2:$K$5001))/CF$72,0)</f>
        <v>0</v>
      </c>
      <c r="CG77" s="6">
        <f>IF(CG$72&gt;0,SUMPRODUCT((Results!$A$2:$A$5001=Schedule!CG$45)*(Results!$F$2:$F$5001)*(Results!$K$2:$K$5001))/CG$72,0)</f>
        <v>0</v>
      </c>
      <c r="CH77" s="6">
        <f>IF(CH$72&gt;0,SUMPRODUCT((Results!$A$2:$A$5001=Schedule!CH$45)*(Results!$F$2:$F$5001)*(Results!$K$2:$K$5001))/CH$72,0)</f>
        <v>0</v>
      </c>
      <c r="CI77" s="6">
        <f>IF(CI$72&gt;0,SUMPRODUCT((Results!$A$2:$A$5001=Schedule!CI$45)*(Results!$F$2:$F$5001)*(Results!$K$2:$K$5001))/CI$72,0)</f>
        <v>0</v>
      </c>
      <c r="CJ77" s="6">
        <f>IF(CJ$72&gt;0,SUMPRODUCT((Results!$A$2:$A$5001=Schedule!CJ$45)*(Results!$F$2:$F$5001)*(Results!$K$2:$K$5001))/CJ$72,0)</f>
        <v>0</v>
      </c>
      <c r="CK77" s="6">
        <f>IF(CK$72&gt;0,SUMPRODUCT((Results!$A$2:$A$5001=Schedule!CK$45)*(Results!$F$2:$F$5001)*(Results!$K$2:$K$5001))/CK$72,0)</f>
        <v>0</v>
      </c>
      <c r="CL77" s="6">
        <f>IF(CL$72&gt;0,SUMPRODUCT((Results!$A$2:$A$5001=Schedule!CL$45)*(Results!$F$2:$F$5001)*(Results!$K$2:$K$5001))/CL$72,0)</f>
        <v>0</v>
      </c>
      <c r="CM77" s="6">
        <f>IF(CM$72&gt;0,SUMPRODUCT((Results!$A$2:$A$5001=Schedule!CM$45)*(Results!$F$2:$F$5001)*(Results!$K$2:$K$5001))/CM$72,0)</f>
        <v>0</v>
      </c>
      <c r="CN77" s="6">
        <f>IF(CN$72&gt;0,SUMPRODUCT((Results!$A$2:$A$5001=Schedule!CN$45)*(Results!$F$2:$F$5001)*(Results!$K$2:$K$5001))/CN$72,0)</f>
        <v>0</v>
      </c>
      <c r="CO77" s="6">
        <f>IF(CO$72&gt;0,SUMPRODUCT((Results!$A$2:$A$5001=Schedule!CO$45)*(Results!$F$2:$F$5001)*(Results!$K$2:$K$5001))/CO$72,0)</f>
        <v>0</v>
      </c>
      <c r="CP77" s="6">
        <f>IF(CP$72&gt;0,SUMPRODUCT((Results!$A$2:$A$5001=Schedule!CP$45)*(Results!$F$2:$F$5001)*(Results!$K$2:$K$5001))/CP$72,0)</f>
        <v>0</v>
      </c>
      <c r="CQ77" s="6">
        <f>IF(CQ$72&gt;0,SUMPRODUCT((Results!$A$2:$A$5001=Schedule!CQ$45)*(Results!$F$2:$F$5001)*(Results!$K$2:$K$5001))/CQ$72,0)</f>
        <v>0</v>
      </c>
      <c r="CR77" s="6">
        <f>IF(CR$72&gt;0,SUMPRODUCT((Results!$A$2:$A$5001=Schedule!CR$45)*(Results!$F$2:$F$5001)*(Results!$K$2:$K$5001))/CR$72,0)</f>
        <v>0</v>
      </c>
      <c r="CS77" s="6">
        <f>IF(CS$72&gt;0,SUMPRODUCT((Results!$A$2:$A$5001=Schedule!CS$45)*(Results!$F$2:$F$5001)*(Results!$K$2:$K$5001))/CS$72,0)</f>
        <v>0</v>
      </c>
      <c r="CT77" s="6">
        <f>IF(CT$72&gt;0,SUMPRODUCT((Results!$A$2:$A$5001=Schedule!CT$45)*(Results!$F$2:$F$5001)*(Results!$K$2:$K$5001))/CT$72,0)</f>
        <v>0</v>
      </c>
      <c r="CU77" s="6">
        <f>IF(CU$72&gt;0,SUMPRODUCT((Results!$A$2:$A$5001=Schedule!CU$45)*(Results!$F$2:$F$5001)*(Results!$K$2:$K$5001))/CU$72,0)</f>
        <v>0</v>
      </c>
      <c r="CV77" s="6">
        <f>IF(CV$72&gt;0,SUMPRODUCT((Results!$A$2:$A$5001=Schedule!CV$45)*(Results!$F$2:$F$5001)*(Results!$K$2:$K$5001))/CV$72,0)</f>
        <v>0</v>
      </c>
      <c r="CW77" s="6">
        <f>IF(CW$72&gt;0,SUMPRODUCT((Results!$A$2:$A$5001=Schedule!CW$45)*(Results!$F$2:$F$5001)*(Results!$K$2:$K$5001))/CW$72,0)</f>
        <v>0</v>
      </c>
      <c r="CX77" s="6">
        <f>IF(CX$72&gt;0,SUMPRODUCT((Results!$A$2:$A$5001=Schedule!CX$45)*(Results!$F$2:$F$5001)*(Results!$K$2:$K$5001))/CX$72,0)</f>
        <v>0</v>
      </c>
      <c r="CY77" s="6">
        <f>IF(CY$72&gt;0,SUMPRODUCT((Results!$A$2:$A$5001=Schedule!CY$45)*(Results!$F$2:$F$5001)*(Results!$K$2:$K$5001))/CY$72,0)</f>
        <v>0</v>
      </c>
      <c r="CZ77" s="6">
        <f>IF(CZ$72&gt;0,SUMPRODUCT((Results!$A$2:$A$5001=Schedule!CZ$45)*(Results!$F$2:$F$5001)*(Results!$K$2:$K$5001))/CZ$72,0)</f>
        <v>0</v>
      </c>
      <c r="DA77" s="6">
        <f>IF(DA$72&gt;0,SUMPRODUCT((Results!$A$2:$A$5001=Schedule!DA$45)*(Results!$F$2:$F$5001)*(Results!$K$2:$K$5001))/DA$72,0)</f>
        <v>0</v>
      </c>
      <c r="DB77" s="6">
        <f>IF(DB$72&gt;0,SUMPRODUCT((Results!$A$2:$A$5001=Schedule!DB$45)*(Results!$F$2:$F$5001)*(Results!$K$2:$K$5001))/DB$72,0)</f>
        <v>0</v>
      </c>
      <c r="DC77" s="6">
        <f>IF(DC$72&gt;0,SUMPRODUCT((Results!$A$2:$A$5001=Schedule!DC$45)*(Results!$F$2:$F$5001)*(Results!$K$2:$K$5001))/DC$72,0)</f>
        <v>0</v>
      </c>
      <c r="DD77" s="6">
        <f>IF(DD$72&gt;0,SUMPRODUCT((Results!$A$2:$A$5001=Schedule!DD$45)*(Results!$F$2:$F$5001)*(Results!$K$2:$K$5001))/DD$72,0)</f>
        <v>0</v>
      </c>
      <c r="DE77" s="6">
        <f>IF(DE$72&gt;0,SUMPRODUCT((Results!$A$2:$A$5001=Schedule!DE$45)*(Results!$F$2:$F$5001)*(Results!$K$2:$K$5001))/DE$72,0)</f>
        <v>0</v>
      </c>
      <c r="DF77" s="6">
        <f>IF(DF$72&gt;0,SUMPRODUCT((Results!$A$2:$A$5001=Schedule!DF$45)*(Results!$F$2:$F$5001)*(Results!$K$2:$K$5001))/DF$72,0)</f>
        <v>0</v>
      </c>
      <c r="DG77" s="6">
        <f>IF(DG$72&gt;0,SUMPRODUCT((Results!$A$2:$A$5001=Schedule!DG$45)*(Results!$F$2:$F$5001)*(Results!$K$2:$K$5001))/DG$72,0)</f>
        <v>0</v>
      </c>
      <c r="DH77" s="6">
        <f>IF(DH$72&gt;0,SUMPRODUCT((Results!$A$2:$A$5001=Schedule!DH$45)*(Results!$F$2:$F$5001)*(Results!$K$2:$K$5001))/DH$72,0)</f>
        <v>0</v>
      </c>
      <c r="DI77" s="6">
        <f>IF(DI$72&gt;0,SUMPRODUCT((Results!$A$2:$A$5001=Schedule!DI$45)*(Results!$F$2:$F$5001)*(Results!$K$2:$K$5001))/DI$72,0)</f>
        <v>0</v>
      </c>
      <c r="DJ77" s="6">
        <f>IF(DJ$72&gt;0,SUMPRODUCT((Results!$A$2:$A$5001=Schedule!DJ$45)*(Results!$F$2:$F$5001)*(Results!$K$2:$K$5001))/DJ$72,0)</f>
        <v>0</v>
      </c>
      <c r="DK77" s="6">
        <f>IF(DK$72&gt;0,SUMPRODUCT((Results!$A$2:$A$5001=Schedule!DK$45)*(Results!$F$2:$F$5001)*(Results!$K$2:$K$5001))/DK$72,0)</f>
        <v>0</v>
      </c>
      <c r="DL77" s="6">
        <f>IF(DL$72&gt;0,SUMPRODUCT((Results!$A$2:$A$5001=Schedule!DL$45)*(Results!$F$2:$F$5001)*(Results!$K$2:$K$5001))/DL$72,0)</f>
        <v>0</v>
      </c>
      <c r="DM77" s="6">
        <f>IF(DM$72&gt;0,SUMPRODUCT((Results!$A$2:$A$5001=Schedule!DM$45)*(Results!$F$2:$F$5001)*(Results!$K$2:$K$5001))/DM$72,0)</f>
        <v>0</v>
      </c>
      <c r="DN77" s="6">
        <f>IF(DN$72&gt;0,SUMPRODUCT((Results!$A$2:$A$5001=Schedule!DN$45)*(Results!$F$2:$F$5001)*(Results!$K$2:$K$5001))/DN$72,0)</f>
        <v>0</v>
      </c>
      <c r="DO77" s="6">
        <f>IF(DO$72&gt;0,SUMPRODUCT((Results!$A$2:$A$5001=Schedule!DO$45)*(Results!$F$2:$F$5001)*(Results!$K$2:$K$5001))/DO$72,0)</f>
        <v>0</v>
      </c>
      <c r="DP77" s="6">
        <f>IF(DP$72&gt;0,SUMPRODUCT((Results!$A$2:$A$5001=Schedule!DP$45)*(Results!$F$2:$F$5001)*(Results!$K$2:$K$5001))/DP$72,0)</f>
        <v>0</v>
      </c>
      <c r="DQ77" s="6">
        <f>IF(DQ$72&gt;0,SUMPRODUCT((Results!$A$2:$A$5001=Schedule!DQ$45)*(Results!$F$2:$F$5001)*(Results!$K$2:$K$5001))/DQ$72,0)</f>
        <v>0</v>
      </c>
      <c r="DR77" s="6">
        <f>IF(DR$72&gt;0,SUMPRODUCT((Results!$A$2:$A$5001=Schedule!DR$45)*(Results!$F$2:$F$5001)*(Results!$K$2:$K$5001))/DR$72,0)</f>
        <v>0</v>
      </c>
      <c r="DS77" s="6">
        <f>IF(DS$72&gt;0,SUMPRODUCT((Results!$A$2:$A$5001=Schedule!DS$45)*(Results!$F$2:$F$5001)*(Results!$K$2:$K$5001))/DS$72,0)</f>
        <v>0</v>
      </c>
      <c r="DT77" s="6">
        <f>IF(DT$72&gt;0,SUMPRODUCT((Results!$A$2:$A$5001=Schedule!DT$45)*(Results!$F$2:$F$5001)*(Results!$K$2:$K$5001))/DT$72,0)</f>
        <v>0</v>
      </c>
      <c r="DU77" s="6">
        <f>IF(DU$72&gt;0,SUMPRODUCT((Results!$A$2:$A$5001=Schedule!DU$45)*(Results!$F$2:$F$5001)*(Results!$K$2:$K$5001))/DU$72,0)</f>
        <v>0</v>
      </c>
      <c r="DV77" s="6">
        <f>IF(DV$72&gt;0,SUMPRODUCT((Results!$A$2:$A$5001=Schedule!DV$45)*(Results!$F$2:$F$5001)*(Results!$K$2:$K$5001))/DV$72,0)</f>
        <v>0</v>
      </c>
      <c r="DW77" s="6">
        <f>IF(DW$72&gt;0,SUMPRODUCT((Results!$A$2:$A$5001=Schedule!DW$45)*(Results!$F$2:$F$5001)*(Results!$K$2:$K$5001))/DW$72,0)</f>
        <v>0</v>
      </c>
      <c r="DX77" s="6">
        <f>IF(DX$72&gt;0,SUMPRODUCT((Results!$A$2:$A$5001=Schedule!DX$45)*(Results!$F$2:$F$5001)*(Results!$K$2:$K$5001))/DX$72,0)</f>
        <v>0</v>
      </c>
      <c r="DY77" s="6">
        <f>IF(DY$72&gt;0,SUMPRODUCT((Results!$A$2:$A$5001=Schedule!DY$45)*(Results!$F$2:$F$5001)*(Results!$K$2:$K$5001))/DY$72,0)</f>
        <v>0</v>
      </c>
      <c r="DZ77" s="6">
        <f>IF(DZ$72&gt;0,SUMPRODUCT((Results!$A$2:$A$5001=Schedule!DZ$45)*(Results!$F$2:$F$5001)*(Results!$K$2:$K$5001))/DZ$72,0)</f>
        <v>0</v>
      </c>
      <c r="EA77" s="6">
        <f>IF(EA$72&gt;0,SUMPRODUCT((Results!$A$2:$A$5001=Schedule!EA$45)*(Results!$F$2:$F$5001)*(Results!$K$2:$K$5001))/EA$72,0)</f>
        <v>0</v>
      </c>
      <c r="EB77" s="6">
        <f>IF(EB$72&gt;0,SUMPRODUCT((Results!$A$2:$A$5001=Schedule!EB$45)*(Results!$F$2:$F$5001)*(Results!$K$2:$K$5001))/EB$72,0)</f>
        <v>0</v>
      </c>
      <c r="EC77" s="6">
        <f>IF(EC$72&gt;0,SUMPRODUCT((Results!$A$2:$A$5001=Schedule!EC$45)*(Results!$F$2:$F$5001)*(Results!$K$2:$K$5001))/EC$72,0)</f>
        <v>0</v>
      </c>
      <c r="ED77" s="6">
        <f>IF(ED$72&gt;0,SUMPRODUCT((Results!$A$2:$A$5001=Schedule!ED$45)*(Results!$F$2:$F$5001)*(Results!$K$2:$K$5001))/ED$72,0)</f>
        <v>0</v>
      </c>
      <c r="EE77" s="6">
        <f>IF(EE$72&gt;0,SUMPRODUCT((Results!$A$2:$A$5001=Schedule!EE$45)*(Results!$F$2:$F$5001)*(Results!$K$2:$K$5001))/EE$72,0)</f>
        <v>0</v>
      </c>
      <c r="EF77" s="6">
        <f>IF(EF$72&gt;0,SUMPRODUCT((Results!$A$2:$A$5001=Schedule!EF$45)*(Results!$F$2:$F$5001)*(Results!$K$2:$K$5001))/EF$72,0)</f>
        <v>0</v>
      </c>
      <c r="EG77" s="6">
        <f>IF(EG$72&gt;0,SUMPRODUCT((Results!$A$2:$A$5001=Schedule!EG$45)*(Results!$F$2:$F$5001)*(Results!$K$2:$K$5001))/EG$72,0)</f>
        <v>0</v>
      </c>
      <c r="EH77" s="6">
        <f>IF(EH$72&gt;0,SUMPRODUCT((Results!$A$2:$A$5001=Schedule!EH$45)*(Results!$F$2:$F$5001)*(Results!$K$2:$K$5001))/EH$72,0)</f>
        <v>0</v>
      </c>
      <c r="EI77" s="6">
        <f>IF(EI$72&gt;0,SUMPRODUCT((Results!$A$2:$A$5001=Schedule!EI$45)*(Results!$F$2:$F$5001)*(Results!$K$2:$K$5001))/EI$72,0)</f>
        <v>0</v>
      </c>
      <c r="EJ77" s="6">
        <f>IF(EJ$72&gt;0,SUMPRODUCT((Results!$A$2:$A$5001=Schedule!EJ$45)*(Results!$F$2:$F$5001)*(Results!$K$2:$K$5001))/EJ$72,0)</f>
        <v>0</v>
      </c>
      <c r="EK77" s="6">
        <f>IF(EK$72&gt;0,SUMPRODUCT((Results!$A$2:$A$5001=Schedule!EK$45)*(Results!$F$2:$F$5001)*(Results!$K$2:$K$5001))/EK$72,0)</f>
        <v>0</v>
      </c>
      <c r="EL77" s="6">
        <f>IF(EL$72&gt;0,SUMPRODUCT((Results!$A$2:$A$5001=Schedule!EL$45)*(Results!$F$2:$F$5001)*(Results!$K$2:$K$5001))/EL$72,0)</f>
        <v>0</v>
      </c>
      <c r="EM77" s="6">
        <f>IF(EM$72&gt;0,SUMPRODUCT((Results!$A$2:$A$5001=Schedule!EM$45)*(Results!$F$2:$F$5001)*(Results!$K$2:$K$5001))/EM$72,0)</f>
        <v>0</v>
      </c>
      <c r="EN77" s="6">
        <f>IF(EN$72&gt;0,SUMPRODUCT((Results!$A$2:$A$5001=Schedule!EN$45)*(Results!$F$2:$F$5001)*(Results!$K$2:$K$5001))/EN$72,0)</f>
        <v>0</v>
      </c>
      <c r="EO77" s="6">
        <f>IF(EO$72&gt;0,SUMPRODUCT((Results!$A$2:$A$5001=Schedule!EO$45)*(Results!$F$2:$F$5001)*(Results!$K$2:$K$5001))/EO$72,0)</f>
        <v>0</v>
      </c>
      <c r="EP77" s="6">
        <f>IF(EP$72&gt;0,SUMPRODUCT((Results!$A$2:$A$5001=Schedule!EP$45)*(Results!$F$2:$F$5001)*(Results!$K$2:$K$5001))/EP$72,0)</f>
        <v>0</v>
      </c>
      <c r="EQ77" s="6">
        <f>IF(EQ$72&gt;0,SUMPRODUCT((Results!$A$2:$A$5001=Schedule!EQ$45)*(Results!$F$2:$F$5001)*(Results!$K$2:$K$5001))/EQ$72,0)</f>
        <v>0</v>
      </c>
      <c r="ER77" s="6">
        <f>IF(ER$72&gt;0,SUMPRODUCT((Results!$A$2:$A$5001=Schedule!ER$45)*(Results!$F$2:$F$5001)*(Results!$K$2:$K$5001))/ER$72,0)</f>
        <v>0</v>
      </c>
      <c r="ES77" s="6">
        <f>IF(ES$72&gt;0,SUMPRODUCT((Results!$A$2:$A$5001=Schedule!ES$45)*(Results!$F$2:$F$5001)*(Results!$K$2:$K$5001))/ES$72,0)</f>
        <v>0</v>
      </c>
      <c r="ET77" s="6">
        <f>IF(ET$72&gt;0,SUMPRODUCT((Results!$A$2:$A$5001=Schedule!ET$45)*(Results!$F$2:$F$5001)*(Results!$K$2:$K$5001))/ET$72,0)</f>
        <v>0</v>
      </c>
      <c r="EU77" s="6">
        <f>IF(EU$72&gt;0,SUMPRODUCT((Results!$A$2:$A$5001=Schedule!EU$45)*(Results!$F$2:$F$5001)*(Results!$K$2:$K$5001))/EU$72,0)</f>
        <v>0</v>
      </c>
      <c r="EV77" s="6">
        <f>IF(EV$72&gt;0,SUMPRODUCT((Results!$A$2:$A$5001=Schedule!EV$45)*(Results!$F$2:$F$5001)*(Results!$K$2:$K$5001))/EV$72,0)</f>
        <v>0</v>
      </c>
      <c r="EW77" s="6">
        <f>IF(EW$72&gt;0,SUMPRODUCT((Results!$A$2:$A$5001=Schedule!EW$45)*(Results!$F$2:$F$5001)*(Results!$K$2:$K$5001))/EW$72,0)</f>
        <v>0</v>
      </c>
      <c r="EX77" s="6">
        <f>IF(EX$72&gt;0,SUMPRODUCT((Results!$A$2:$A$5001=Schedule!EX$45)*(Results!$F$2:$F$5001)*(Results!$K$2:$K$5001))/EX$72,0)</f>
        <v>0</v>
      </c>
      <c r="EY77" s="6">
        <f>IF(EY$72&gt;0,SUMPRODUCT((Results!$A$2:$A$5001=Schedule!EY$45)*(Results!$F$2:$F$5001)*(Results!$K$2:$K$5001))/EY$72,0)</f>
        <v>0</v>
      </c>
      <c r="EZ77" s="6">
        <f>IF(EZ$72&gt;0,SUMPRODUCT((Results!$A$2:$A$5001=Schedule!EZ$45)*(Results!$F$2:$F$5001)*(Results!$K$2:$K$5001))/EZ$72,0)</f>
        <v>0</v>
      </c>
      <c r="FA77" s="6">
        <f>IF(FA$72&gt;0,SUMPRODUCT((Results!$A$2:$A$5001=Schedule!FA$45)*(Results!$F$2:$F$5001)*(Results!$K$2:$K$5001))/FA$72,0)</f>
        <v>0</v>
      </c>
      <c r="FB77" s="6">
        <f>IF(FB$72&gt;0,SUMPRODUCT((Results!$A$2:$A$5001=Schedule!FB$45)*(Results!$F$2:$F$5001)*(Results!$K$2:$K$5001))/FB$72,0)</f>
        <v>0</v>
      </c>
      <c r="FC77" s="6">
        <f>IF(FC$72&gt;0,SUMPRODUCT((Results!$A$2:$A$5001=Schedule!FC$45)*(Results!$F$2:$F$5001)*(Results!$K$2:$K$5001))/FC$72,0)</f>
        <v>0</v>
      </c>
      <c r="FD77" s="6">
        <f>IF(FD$72&gt;0,SUMPRODUCT((Results!$A$2:$A$5001=Schedule!FD$45)*(Results!$F$2:$F$5001)*(Results!$K$2:$K$5001))/FD$72,0)</f>
        <v>0</v>
      </c>
      <c r="FE77" s="6">
        <f>IF(FE$72&gt;0,SUMPRODUCT((Results!$A$2:$A$5001=Schedule!FE$45)*(Results!$F$2:$F$5001)*(Results!$K$2:$K$5001))/FE$72,0)</f>
        <v>0</v>
      </c>
      <c r="FF77" s="6">
        <f>IF(FF$72&gt;0,SUMPRODUCT((Results!$A$2:$A$5001=Schedule!FF$45)*(Results!$F$2:$F$5001)*(Results!$K$2:$K$5001))/FF$72,0)</f>
        <v>0</v>
      </c>
      <c r="FG77" s="6">
        <f>IF(FG$72&gt;0,SUMPRODUCT((Results!$A$2:$A$5001=Schedule!FG$45)*(Results!$F$2:$F$5001)*(Results!$K$2:$K$5001))/FG$72,0)</f>
        <v>0</v>
      </c>
      <c r="FH77" s="6">
        <f>IF(FH$72&gt;0,SUMPRODUCT((Results!$A$2:$A$5001=Schedule!FH$45)*(Results!$F$2:$F$5001)*(Results!$K$2:$K$5001))/FH$72,0)</f>
        <v>0</v>
      </c>
      <c r="FI77" s="6">
        <f>IF(FI$72&gt;0,SUMPRODUCT((Results!$A$2:$A$5001=Schedule!FI$45)*(Results!$F$2:$F$5001)*(Results!$K$2:$K$5001))/FI$72,0)</f>
        <v>0</v>
      </c>
      <c r="FJ77" s="6">
        <f>IF(FJ$72&gt;0,SUMPRODUCT((Results!$A$2:$A$5001=Schedule!FJ$45)*(Results!$F$2:$F$5001)*(Results!$K$2:$K$5001))/FJ$72,0)</f>
        <v>0</v>
      </c>
      <c r="FK77" s="6">
        <f>IF(FK$72&gt;0,SUMPRODUCT((Results!$A$2:$A$5001=Schedule!FK$45)*(Results!$F$2:$F$5001)*(Results!$K$2:$K$5001))/FK$72,0)</f>
        <v>0</v>
      </c>
      <c r="FL77" s="6">
        <f>IF(FL$72&gt;0,SUMPRODUCT((Results!$A$2:$A$5001=Schedule!FL$45)*(Results!$F$2:$F$5001)*(Results!$K$2:$K$5001))/FL$72,0)</f>
        <v>0</v>
      </c>
      <c r="FM77" s="6">
        <f>IF(FM$72&gt;0,SUMPRODUCT((Results!$A$2:$A$5001=Schedule!FM$45)*(Results!$F$2:$F$5001)*(Results!$K$2:$K$5001))/FM$72,0)</f>
        <v>0</v>
      </c>
      <c r="FN77" s="6">
        <f>IF(FN$72&gt;0,SUMPRODUCT((Results!$A$2:$A$5001=Schedule!FN$45)*(Results!$F$2:$F$5001)*(Results!$K$2:$K$5001))/FN$72,0)</f>
        <v>0</v>
      </c>
      <c r="FO77" s="6">
        <f>IF(FO$72&gt;0,SUMPRODUCT((Results!$A$2:$A$5001=Schedule!FO$45)*(Results!$F$2:$F$5001)*(Results!$K$2:$K$5001))/FO$72,0)</f>
        <v>0</v>
      </c>
      <c r="FP77" s="6">
        <f>IF(FP$72&gt;0,SUMPRODUCT((Results!$A$2:$A$5001=Schedule!FP$45)*(Results!$F$2:$F$5001)*(Results!$K$2:$K$5001))/FP$72,0)</f>
        <v>0</v>
      </c>
      <c r="FQ77" s="6">
        <f>IF(FQ$72&gt;0,SUMPRODUCT((Results!$A$2:$A$5001=Schedule!FQ$45)*(Results!$F$2:$F$5001)*(Results!$K$2:$K$5001))/FQ$72,0)</f>
        <v>0</v>
      </c>
      <c r="FR77" s="6">
        <f>IF(FR$72&gt;0,SUMPRODUCT((Results!$A$2:$A$5001=Schedule!FR$45)*(Results!$F$2:$F$5001)*(Results!$K$2:$K$5001))/FR$72,0)</f>
        <v>0</v>
      </c>
      <c r="FS77" s="6">
        <f>IF(FS$72&gt;0,SUMPRODUCT((Results!$A$2:$A$5001=Schedule!FS$45)*(Results!$F$2:$F$5001)*(Results!$K$2:$K$5001))/FS$72,0)</f>
        <v>0</v>
      </c>
      <c r="FT77" s="6">
        <f>IF(FT$72&gt;0,SUMPRODUCT((Results!$A$2:$A$5001=Schedule!FT$45)*(Results!$F$2:$F$5001)*(Results!$K$2:$K$5001))/FT$72,0)</f>
        <v>0</v>
      </c>
      <c r="FU77" s="6">
        <f>IF(FU$72&gt;0,SUMPRODUCT((Results!$A$2:$A$5001=Schedule!FU$45)*(Results!$F$2:$F$5001)*(Results!$K$2:$K$5001))/FU$72,0)</f>
        <v>0</v>
      </c>
      <c r="FV77" s="6">
        <f>IF(FV$72&gt;0,SUMPRODUCT((Results!$A$2:$A$5001=Schedule!FV$45)*(Results!$F$2:$F$5001)*(Results!$K$2:$K$5001))/FV$72,0)</f>
        <v>0</v>
      </c>
      <c r="FW77" s="6">
        <f>IF(FW$72&gt;0,SUMPRODUCT((Results!$A$2:$A$5001=Schedule!FW$45)*(Results!$F$2:$F$5001)*(Results!$K$2:$K$5001))/FW$72,0)</f>
        <v>0</v>
      </c>
      <c r="FX77" s="6">
        <f>IF(FX$72&gt;0,SUMPRODUCT((Results!$A$2:$A$5001=Schedule!FX$45)*(Results!$F$2:$F$5001)*(Results!$K$2:$K$5001))/FX$72,0)</f>
        <v>0</v>
      </c>
      <c r="FY77" s="6">
        <f>IF(FY$72&gt;0,SUMPRODUCT((Results!$A$2:$A$5001=Schedule!FY$45)*(Results!$F$2:$F$5001)*(Results!$K$2:$K$5001))/FY$72,0)</f>
        <v>0</v>
      </c>
      <c r="FZ77" s="6">
        <f>IF(FZ$72&gt;0,SUMPRODUCT((Results!$A$2:$A$5001=Schedule!FZ$45)*(Results!$F$2:$F$5001)*(Results!$K$2:$K$5001))/FZ$72,0)</f>
        <v>0</v>
      </c>
      <c r="GA77" s="6">
        <f>IF(GA$72&gt;0,SUMPRODUCT((Results!$A$2:$A$5001=Schedule!GA$45)*(Results!$F$2:$F$5001)*(Results!$K$2:$K$5001))/GA$72,0)</f>
        <v>0</v>
      </c>
      <c r="GB77" s="6">
        <f>IF(GB$72&gt;0,SUMPRODUCT((Results!$A$2:$A$5001=Schedule!GB$45)*(Results!$F$2:$F$5001)*(Results!$K$2:$K$5001))/GB$72,0)</f>
        <v>0</v>
      </c>
      <c r="GC77" s="6">
        <f>IF(GC$72&gt;0,SUMPRODUCT((Results!$A$2:$A$5001=Schedule!GC$45)*(Results!$F$2:$F$5001)*(Results!$K$2:$K$5001))/GC$72,0)</f>
        <v>0</v>
      </c>
      <c r="GD77" s="6">
        <f>IF(GD$72&gt;0,SUMPRODUCT((Results!$A$2:$A$5001=Schedule!GD$45)*(Results!$F$2:$F$5001)*(Results!$K$2:$K$5001))/GD$72,0)</f>
        <v>0</v>
      </c>
      <c r="GE77" s="6">
        <f>IF(GE$72&gt;0,SUMPRODUCT((Results!$A$2:$A$5001=Schedule!GE$45)*(Results!$F$2:$F$5001)*(Results!$K$2:$K$5001))/GE$72,0)</f>
        <v>0</v>
      </c>
      <c r="GF77" s="6">
        <f>IF(GF$72&gt;0,SUMPRODUCT((Results!$A$2:$A$5001=Schedule!GF$45)*(Results!$F$2:$F$5001)*(Results!$K$2:$K$5001))/GF$72,0)</f>
        <v>0</v>
      </c>
      <c r="GG77" s="6">
        <f>IF(GG$72&gt;0,SUMPRODUCT((Results!$A$2:$A$5001=Schedule!GG$45)*(Results!$F$2:$F$5001)*(Results!$K$2:$K$5001))/GG$72,0)</f>
        <v>0</v>
      </c>
      <c r="GH77" s="6">
        <f>IF(GH$72&gt;0,SUMPRODUCT((Results!$A$2:$A$5001=Schedule!GH$45)*(Results!$F$2:$F$5001)*(Results!$K$2:$K$5001))/GH$72,0)</f>
        <v>0</v>
      </c>
      <c r="GI77" s="6">
        <f>IF(GI$72&gt;0,SUMPRODUCT((Results!$A$2:$A$5001=Schedule!GI$45)*(Results!$F$2:$F$5001)*(Results!$K$2:$K$5001))/GI$72,0)</f>
        <v>0</v>
      </c>
      <c r="GJ77" s="6">
        <f>IF(GJ$72&gt;0,SUMPRODUCT((Results!$A$2:$A$5001=Schedule!GJ$45)*(Results!$F$2:$F$5001)*(Results!$K$2:$K$5001))/GJ$72,0)</f>
        <v>0</v>
      </c>
      <c r="GK77" s="6">
        <f>IF(GK$72&gt;0,SUMPRODUCT((Results!$A$2:$A$5001=Schedule!GK$45)*(Results!$F$2:$F$5001)*(Results!$K$2:$K$5001))/GK$72,0)</f>
        <v>0</v>
      </c>
      <c r="GL77" s="6">
        <f>IF(GL$72&gt;0,SUMPRODUCT((Results!$A$2:$A$5001=Schedule!GL$45)*(Results!$F$2:$F$5001)*(Results!$K$2:$K$5001))/GL$72,0)</f>
        <v>0</v>
      </c>
      <c r="GM77" s="6">
        <f>IF(GM$72&gt;0,SUMPRODUCT((Results!$A$2:$A$5001=Schedule!GM$45)*(Results!$F$2:$F$5001)*(Results!$K$2:$K$5001))/GM$72,0)</f>
        <v>0</v>
      </c>
      <c r="GN77" s="6">
        <f>IF(GN$72&gt;0,SUMPRODUCT((Results!$A$2:$A$5001=Schedule!GN$45)*(Results!$F$2:$F$5001)*(Results!$K$2:$K$5001))/GN$72,0)</f>
        <v>0</v>
      </c>
      <c r="GO77" s="6">
        <f>IF(GO$72&gt;0,SUMPRODUCT((Results!$A$2:$A$5001=Schedule!GO$45)*(Results!$F$2:$F$5001)*(Results!$K$2:$K$5001))/GO$72,0)</f>
        <v>0</v>
      </c>
      <c r="GP77" s="6">
        <f>IF(GP$72&gt;0,SUMPRODUCT((Results!$A$2:$A$5001=Schedule!GP$45)*(Results!$F$2:$F$5001)*(Results!$K$2:$K$5001))/GP$72,0)</f>
        <v>0</v>
      </c>
      <c r="GQ77" s="6">
        <f>IF(GQ$72&gt;0,SUMPRODUCT((Results!$A$2:$A$5001=Schedule!GQ$45)*(Results!$F$2:$F$5001)*(Results!$K$2:$K$5001))/GQ$72,0)</f>
        <v>0</v>
      </c>
      <c r="GR77" s="6">
        <f>IF(GR$72&gt;0,SUMPRODUCT((Results!$A$2:$A$5001=Schedule!GR$45)*(Results!$F$2:$F$5001)*(Results!$K$2:$K$5001))/GR$72,0)</f>
        <v>0</v>
      </c>
      <c r="GS77" s="6">
        <f>IF(GS$72&gt;0,SUMPRODUCT((Results!$A$2:$A$5001=Schedule!GS$45)*(Results!$F$2:$F$5001)*(Results!$K$2:$K$5001))/GS$72,0)</f>
        <v>0</v>
      </c>
      <c r="GT77" s="6">
        <f>IF(GT$72&gt;0,SUMPRODUCT((Results!$A$2:$A$5001=Schedule!GT$45)*(Results!$F$2:$F$5001)*(Results!$K$2:$K$5001))/GT$72,0)</f>
        <v>0</v>
      </c>
      <c r="GU77" s="6">
        <f>IF(GU$72&gt;0,SUMPRODUCT((Results!$A$2:$A$5001=Schedule!GU$45)*(Results!$F$2:$F$5001)*(Results!$K$2:$K$5001))/GU$72,0)</f>
        <v>0</v>
      </c>
      <c r="GV77" s="6"/>
    </row>
    <row r="78" spans="1:204" ht="13.5" customHeight="1" x14ac:dyDescent="0.2">
      <c r="A78" s="40" t="str">
        <f t="shared" si="36"/>
        <v>FLAG1</v>
      </c>
      <c r="B78" s="40" t="str">
        <f t="shared" si="36"/>
        <v>Pre-Strip</v>
      </c>
      <c r="C78" s="6">
        <f>IF(C$70&gt;0,SUMPRODUCT((Results!$A$2:$A$5001=Schedule!C$45)*(Results!$D$2:$D$5001)*(Results!$L$2:$L$5001))/C$70,0)</f>
        <v>2.581339003164556E-2</v>
      </c>
      <c r="D78" s="6">
        <f>IF(D$70&gt;0,SUMPRODUCT((Results!$A$2:$A$5001=Schedule!D$45)*(Results!$D$2:$D$5001)*(Results!$L$2:$L$5001))/D$70,0)</f>
        <v>5.2013898113575952E-5</v>
      </c>
      <c r="E78" s="6">
        <f>IF(E$70&gt;0,SUMPRODUCT((Results!$A$2:$A$5001=Schedule!E$45)*(Results!$D$2:$D$5001)*(Results!$L$2:$L$5001))/E$70,0)</f>
        <v>7.1591560327428135E-3</v>
      </c>
      <c r="F78" s="6">
        <f>IF(F$70&gt;0,SUMPRODUCT((Results!$A$2:$A$5001=Schedule!F$45)*(Results!$D$2:$D$5001)*(Results!$L$2:$L$5001))/F$70,0)</f>
        <v>0</v>
      </c>
      <c r="G78" s="6">
        <f>IF(G$70&gt;0,SUMPRODUCT((Results!$A$2:$A$5001=Schedule!G$45)*(Results!$D$2:$D$5001)*(Results!$L$2:$L$5001))/G$70,0)</f>
        <v>5.4545276428043611E-2</v>
      </c>
      <c r="H78" s="6">
        <f>IF(H$70&gt;0,SUMPRODUCT((Results!$A$2:$A$5001=Schedule!H$45)*(Results!$D$2:$D$5001)*(Results!$L$2:$L$5001))/H$70,0)</f>
        <v>0</v>
      </c>
      <c r="I78" s="6">
        <f>IF(I$70&gt;0,SUMPRODUCT((Results!$A$2:$A$5001=Schedule!I$45)*(Results!$D$2:$D$5001)*(Results!$L$2:$L$5001))/I$70,0)</f>
        <v>0</v>
      </c>
      <c r="J78" s="6">
        <f>IF(J$70&gt;0,SUMPRODUCT((Results!$A$2:$A$5001=Schedule!J$45)*(Results!$D$2:$D$5001)*(Results!$L$2:$L$5001))/J$70,0)</f>
        <v>0</v>
      </c>
      <c r="K78" s="6">
        <f>IF(K$70&gt;0,SUMPRODUCT((Results!$A$2:$A$5001=Schedule!K$45)*(Results!$D$2:$D$5001)*(Results!$L$2:$L$5001))/K$70,0)</f>
        <v>0</v>
      </c>
      <c r="L78" s="6">
        <f>IF(L$70&gt;0,SUMPRODUCT((Results!$A$2:$A$5001=Schedule!L$45)*(Results!$D$2:$D$5001)*(Results!$L$2:$L$5001))/L$70,0)</f>
        <v>0</v>
      </c>
      <c r="M78" s="6">
        <f>IF(M$70&gt;0,SUMPRODUCT((Results!$A$2:$A$5001=Schedule!M$45)*(Results!$D$2:$D$5001)*(Results!$L$2:$L$5001))/M$70,0)</f>
        <v>0</v>
      </c>
      <c r="N78" s="6">
        <f>IF(N$70&gt;0,SUMPRODUCT((Results!$A$2:$A$5001=Schedule!N$45)*(Results!$D$2:$D$5001)*(Results!$L$2:$L$5001))/N$70,0)</f>
        <v>0</v>
      </c>
      <c r="O78" s="6">
        <f>IF(O$70&gt;0,SUMPRODUCT((Results!$A$2:$A$5001=Schedule!O$45)*(Results!$D$2:$D$5001)*(Results!$L$2:$L$5001))/O$70,0)</f>
        <v>0</v>
      </c>
      <c r="P78" s="6">
        <f>IF(P$70&gt;0,SUMPRODUCT((Results!$A$2:$A$5001=Schedule!P$45)*(Results!$D$2:$D$5001)*(Results!$L$2:$L$5001))/P$70,0)</f>
        <v>0</v>
      </c>
      <c r="Q78" s="6">
        <f>IF(Q$70&gt;0,SUMPRODUCT((Results!$A$2:$A$5001=Schedule!Q$45)*(Results!$D$2:$D$5001)*(Results!$L$2:$L$5001))/Q$70,0)</f>
        <v>0</v>
      </c>
      <c r="R78" s="6">
        <f>IF(R$70&gt;0,SUMPRODUCT((Results!$A$2:$A$5001=Schedule!R$45)*(Results!$D$2:$D$5001)*(Results!$L$2:$L$5001))/R$70,0)</f>
        <v>0</v>
      </c>
      <c r="S78" s="6">
        <f>IF(S$70&gt;0,SUMPRODUCT((Results!$A$2:$A$5001=Schedule!S$45)*(Results!$D$2:$D$5001)*(Results!$L$2:$L$5001))/S$70,0)</f>
        <v>0</v>
      </c>
      <c r="T78" s="6">
        <f>IF(T$70&gt;0,SUMPRODUCT((Results!$A$2:$A$5001=Schedule!T$45)*(Results!$D$2:$D$5001)*(Results!$L$2:$L$5001))/T$70,0)</f>
        <v>0</v>
      </c>
      <c r="U78" s="6">
        <f>IF(U$70&gt;0,SUMPRODUCT((Results!$A$2:$A$5001=Schedule!U$45)*(Results!$D$2:$D$5001)*(Results!$L$2:$L$5001))/U$70,0)</f>
        <v>0</v>
      </c>
      <c r="V78" s="6">
        <f>IF(V$70&gt;0,SUMPRODUCT((Results!$A$2:$A$5001=Schedule!V$45)*(Results!$D$2:$D$5001)*(Results!$L$2:$L$5001))/V$70,0)</f>
        <v>0</v>
      </c>
      <c r="W78" s="6">
        <f>IF(W$70&gt;0,SUMPRODUCT((Results!$A$2:$A$5001=Schedule!W$45)*(Results!$D$2:$D$5001)*(Results!$L$2:$L$5001))/W$70,0)</f>
        <v>0</v>
      </c>
      <c r="X78" s="6">
        <f>IF(X$70&gt;0,SUMPRODUCT((Results!$A$2:$A$5001=Schedule!X$45)*(Results!$D$2:$D$5001)*(Results!$L$2:$L$5001))/X$70,0)</f>
        <v>0</v>
      </c>
      <c r="Y78" s="6">
        <f>IF(Y$70&gt;0,SUMPRODUCT((Results!$A$2:$A$5001=Schedule!Y$45)*(Results!$D$2:$D$5001)*(Results!$L$2:$L$5001))/Y$70,0)</f>
        <v>0</v>
      </c>
      <c r="Z78" s="6">
        <f>IF(Z$70&gt;0,SUMPRODUCT((Results!$A$2:$A$5001=Schedule!Z$45)*(Results!$D$2:$D$5001)*(Results!$L$2:$L$5001))/Z$70,0)</f>
        <v>0</v>
      </c>
      <c r="AA78" s="6">
        <f>IF(AA$70&gt;0,SUMPRODUCT((Results!$A$2:$A$5001=Schedule!AA$45)*(Results!$D$2:$D$5001)*(Results!$L$2:$L$5001))/AA$70,0)</f>
        <v>0</v>
      </c>
      <c r="AB78" s="6">
        <f>IF(AB$70&gt;0,SUMPRODUCT((Results!$A$2:$A$5001=Schedule!AB$45)*(Results!$D$2:$D$5001)*(Results!$L$2:$L$5001))/AB$70,0)</f>
        <v>0</v>
      </c>
      <c r="AC78" s="6">
        <f>IF(AC$70&gt;0,SUMPRODUCT((Results!$A$2:$A$5001=Schedule!AC$45)*(Results!$D$2:$D$5001)*(Results!$L$2:$L$5001))/AC$70,0)</f>
        <v>0</v>
      </c>
      <c r="AD78" s="6">
        <f>IF(AD$70&gt;0,SUMPRODUCT((Results!$A$2:$A$5001=Schedule!AD$45)*(Results!$D$2:$D$5001)*(Results!$L$2:$L$5001))/AD$70,0)</f>
        <v>0</v>
      </c>
      <c r="AE78" s="6">
        <f>IF(AE$70&gt;0,SUMPRODUCT((Results!$A$2:$A$5001=Schedule!AE$45)*(Results!$D$2:$D$5001)*(Results!$L$2:$L$5001))/AE$70,0)</f>
        <v>0</v>
      </c>
      <c r="AF78" s="6">
        <f>IF(AF$70&gt;0,SUMPRODUCT((Results!$A$2:$A$5001=Schedule!AF$45)*(Results!$D$2:$D$5001)*(Results!$L$2:$L$5001))/AF$70,0)</f>
        <v>0</v>
      </c>
      <c r="AG78" s="6">
        <f>IF(AG$70&gt;0,SUMPRODUCT((Results!$A$2:$A$5001=Schedule!AG$45)*(Results!$D$2:$D$5001)*(Results!$L$2:$L$5001))/AG$70,0)</f>
        <v>0</v>
      </c>
      <c r="AH78" s="6">
        <f>IF(AH$70&gt;0,SUMPRODUCT((Results!$A$2:$A$5001=Schedule!AH$45)*(Results!$D$2:$D$5001)*(Results!$L$2:$L$5001))/AH$70,0)</f>
        <v>0</v>
      </c>
      <c r="AI78" s="6">
        <f>IF(AI$70&gt;0,SUMPRODUCT((Results!$A$2:$A$5001=Schedule!AI$45)*(Results!$D$2:$D$5001)*(Results!$L$2:$L$5001))/AI$70,0)</f>
        <v>0</v>
      </c>
      <c r="AJ78" s="6">
        <f>IF(AJ$70&gt;0,SUMPRODUCT((Results!$A$2:$A$5001=Schedule!AJ$45)*(Results!$D$2:$D$5001)*(Results!$L$2:$L$5001))/AJ$70,0)</f>
        <v>0</v>
      </c>
      <c r="AK78" s="6">
        <f>IF(AK$70&gt;0,SUMPRODUCT((Results!$A$2:$A$5001=Schedule!AK$45)*(Results!$D$2:$D$5001)*(Results!$L$2:$L$5001))/AK$70,0)</f>
        <v>0</v>
      </c>
      <c r="AL78" s="6">
        <f>IF(AL$70&gt;0,SUMPRODUCT((Results!$A$2:$A$5001=Schedule!AL$45)*(Results!$D$2:$D$5001)*(Results!$L$2:$L$5001))/AL$70,0)</f>
        <v>0</v>
      </c>
      <c r="AM78" s="6">
        <f>IF(AM$70&gt;0,SUMPRODUCT((Results!$A$2:$A$5001=Schedule!AM$45)*(Results!$D$2:$D$5001)*(Results!$L$2:$L$5001))/AM$70,0)</f>
        <v>0</v>
      </c>
      <c r="AN78" s="6">
        <f>IF(AN$70&gt;0,SUMPRODUCT((Results!$A$2:$A$5001=Schedule!AN$45)*(Results!$D$2:$D$5001)*(Results!$L$2:$L$5001))/AN$70,0)</f>
        <v>0</v>
      </c>
      <c r="AO78" s="6">
        <f>IF(AO$70&gt;0,SUMPRODUCT((Results!$A$2:$A$5001=Schedule!AO$45)*(Results!$D$2:$D$5001)*(Results!$L$2:$L$5001))/AO$70,0)</f>
        <v>0</v>
      </c>
      <c r="AP78" s="6">
        <f>IF(AP$70&gt;0,SUMPRODUCT((Results!$A$2:$A$5001=Schedule!AP$45)*(Results!$D$2:$D$5001)*(Results!$L$2:$L$5001))/AP$70,0)</f>
        <v>0</v>
      </c>
      <c r="AQ78" s="6">
        <f>IF(AQ$70&gt;0,SUMPRODUCT((Results!$A$2:$A$5001=Schedule!AQ$45)*(Results!$D$2:$D$5001)*(Results!$L$2:$L$5001))/AQ$70,0)</f>
        <v>0</v>
      </c>
      <c r="AR78" s="6">
        <f>IF(AR$70&gt;0,SUMPRODUCT((Results!$A$2:$A$5001=Schedule!AR$45)*(Results!$D$2:$D$5001)*(Results!$L$2:$L$5001))/AR$70,0)</f>
        <v>0</v>
      </c>
      <c r="AS78" s="6">
        <f>IF(AS$70&gt;0,SUMPRODUCT((Results!$A$2:$A$5001=Schedule!AS$45)*(Results!$D$2:$D$5001)*(Results!$L$2:$L$5001))/AS$70,0)</f>
        <v>0</v>
      </c>
      <c r="AT78" s="6">
        <f>IF(AT$70&gt;0,SUMPRODUCT((Results!$A$2:$A$5001=Schedule!AT$45)*(Results!$D$2:$D$5001)*(Results!$L$2:$L$5001))/AT$70,0)</f>
        <v>0</v>
      </c>
      <c r="AU78" s="6">
        <f>IF(AU$70&gt;0,SUMPRODUCT((Results!$A$2:$A$5001=Schedule!AU$45)*(Results!$D$2:$D$5001)*(Results!$L$2:$L$5001))/AU$70,0)</f>
        <v>0</v>
      </c>
      <c r="AV78" s="6">
        <f>IF(AV$70&gt;0,SUMPRODUCT((Results!$A$2:$A$5001=Schedule!AV$45)*(Results!$D$2:$D$5001)*(Results!$L$2:$L$5001))/AV$70,0)</f>
        <v>0</v>
      </c>
      <c r="AW78" s="6">
        <f>IF(AW$70&gt;0,SUMPRODUCT((Results!$A$2:$A$5001=Schedule!AW$45)*(Results!$D$2:$D$5001)*(Results!$L$2:$L$5001))/AW$70,0)</f>
        <v>0</v>
      </c>
      <c r="AX78" s="6">
        <f>IF(AX$70&gt;0,SUMPRODUCT((Results!$A$2:$A$5001=Schedule!AX$45)*(Results!$D$2:$D$5001)*(Results!$L$2:$L$5001))/AX$70,0)</f>
        <v>0</v>
      </c>
      <c r="AY78" s="6">
        <f>IF(AY$70&gt;0,SUMPRODUCT((Results!$A$2:$A$5001=Schedule!AY$45)*(Results!$D$2:$D$5001)*(Results!$L$2:$L$5001))/AY$70,0)</f>
        <v>0</v>
      </c>
      <c r="AZ78" s="6">
        <f>IF(AZ$70&gt;0,SUMPRODUCT((Results!$A$2:$A$5001=Schedule!AZ$45)*(Results!$D$2:$D$5001)*(Results!$L$2:$L$5001))/AZ$70,0)</f>
        <v>0</v>
      </c>
      <c r="BA78" s="6">
        <f>IF(BA$70&gt;0,SUMPRODUCT((Results!$A$2:$A$5001=Schedule!BA$45)*(Results!$D$2:$D$5001)*(Results!$L$2:$L$5001))/BA$70,0)</f>
        <v>0</v>
      </c>
      <c r="BB78" s="6">
        <f>IF(BB$70&gt;0,SUMPRODUCT((Results!$A$2:$A$5001=Schedule!BB$45)*(Results!$D$2:$D$5001)*(Results!$L$2:$L$5001))/BB$70,0)</f>
        <v>0</v>
      </c>
      <c r="BC78" s="6">
        <f>IF(BC$70&gt;0,SUMPRODUCT((Results!$A$2:$A$5001=Schedule!BC$45)*(Results!$D$2:$D$5001)*(Results!$L$2:$L$5001))/BC$70,0)</f>
        <v>0</v>
      </c>
      <c r="BD78" s="6">
        <f>IF(BD$70&gt;0,SUMPRODUCT((Results!$A$2:$A$5001=Schedule!BD$45)*(Results!$D$2:$D$5001)*(Results!$L$2:$L$5001))/BD$70,0)</f>
        <v>0</v>
      </c>
      <c r="BE78" s="6">
        <f>IF(BE$70&gt;0,SUMPRODUCT((Results!$A$2:$A$5001=Schedule!BE$45)*(Results!$D$2:$D$5001)*(Results!$L$2:$L$5001))/BE$70,0)</f>
        <v>0</v>
      </c>
      <c r="BF78" s="6">
        <f>IF(BF$70&gt;0,SUMPRODUCT((Results!$A$2:$A$5001=Schedule!BF$45)*(Results!$D$2:$D$5001)*(Results!$L$2:$L$5001))/BF$70,0)</f>
        <v>0</v>
      </c>
      <c r="BG78" s="6">
        <f>IF(BG$70&gt;0,SUMPRODUCT((Results!$A$2:$A$5001=Schedule!BG$45)*(Results!$D$2:$D$5001)*(Results!$L$2:$L$5001))/BG$70,0)</f>
        <v>0</v>
      </c>
      <c r="BH78" s="6">
        <f>IF(BH$70&gt;0,SUMPRODUCT((Results!$A$2:$A$5001=Schedule!BH$45)*(Results!$D$2:$D$5001)*(Results!$L$2:$L$5001))/BH$70,0)</f>
        <v>0</v>
      </c>
      <c r="BI78" s="6">
        <f>IF(BI$70&gt;0,SUMPRODUCT((Results!$A$2:$A$5001=Schedule!BI$45)*(Results!$D$2:$D$5001)*(Results!$L$2:$L$5001))/BI$70,0)</f>
        <v>0</v>
      </c>
      <c r="BJ78" s="6">
        <f>IF(BJ$70&gt;0,SUMPRODUCT((Results!$A$2:$A$5001=Schedule!BJ$45)*(Results!$D$2:$D$5001)*(Results!$L$2:$L$5001))/BJ$70,0)</f>
        <v>0</v>
      </c>
      <c r="BK78" s="6">
        <f>IF(BK$70&gt;0,SUMPRODUCT((Results!$A$2:$A$5001=Schedule!BK$45)*(Results!$D$2:$D$5001)*(Results!$L$2:$L$5001))/BK$70,0)</f>
        <v>0</v>
      </c>
      <c r="BL78" s="6">
        <f>IF(BL$70&gt;0,SUMPRODUCT((Results!$A$2:$A$5001=Schedule!BL$45)*(Results!$D$2:$D$5001)*(Results!$L$2:$L$5001))/BL$70,0)</f>
        <v>0</v>
      </c>
      <c r="BM78" s="6">
        <f>IF(BM$70&gt;0,SUMPRODUCT((Results!$A$2:$A$5001=Schedule!BM$45)*(Results!$D$2:$D$5001)*(Results!$L$2:$L$5001))/BM$70,0)</f>
        <v>0</v>
      </c>
      <c r="BN78" s="6">
        <f>IF(BN$70&gt;0,SUMPRODUCT((Results!$A$2:$A$5001=Schedule!BN$45)*(Results!$D$2:$D$5001)*(Results!$L$2:$L$5001))/BN$70,0)</f>
        <v>0</v>
      </c>
      <c r="BO78" s="6">
        <f>IF(BO$70&gt;0,SUMPRODUCT((Results!$A$2:$A$5001=Schedule!BO$45)*(Results!$D$2:$D$5001)*(Results!$L$2:$L$5001))/BO$70,0)</f>
        <v>0</v>
      </c>
      <c r="BP78" s="6">
        <f>IF(BP$70&gt;0,SUMPRODUCT((Results!$A$2:$A$5001=Schedule!BP$45)*(Results!$D$2:$D$5001)*(Results!$L$2:$L$5001))/BP$70,0)</f>
        <v>0</v>
      </c>
      <c r="BQ78" s="6">
        <f>IF(BQ$70&gt;0,SUMPRODUCT((Results!$A$2:$A$5001=Schedule!BQ$45)*(Results!$D$2:$D$5001)*(Results!$L$2:$L$5001))/BQ$70,0)</f>
        <v>0</v>
      </c>
      <c r="BR78" s="6">
        <f>IF(BR$70&gt;0,SUMPRODUCT((Results!$A$2:$A$5001=Schedule!BR$45)*(Results!$D$2:$D$5001)*(Results!$L$2:$L$5001))/BR$70,0)</f>
        <v>0</v>
      </c>
      <c r="BS78" s="6">
        <f>IF(BS$70&gt;0,SUMPRODUCT((Results!$A$2:$A$5001=Schedule!BS$45)*(Results!$D$2:$D$5001)*(Results!$L$2:$L$5001))/BS$70,0)</f>
        <v>0</v>
      </c>
      <c r="BT78" s="6">
        <f>IF(BT$70&gt;0,SUMPRODUCT((Results!$A$2:$A$5001=Schedule!BT$45)*(Results!$D$2:$D$5001)*(Results!$L$2:$L$5001))/BT$70,0)</f>
        <v>0</v>
      </c>
      <c r="BU78" s="6">
        <f>IF(BU$70&gt;0,SUMPRODUCT((Results!$A$2:$A$5001=Schedule!BU$45)*(Results!$D$2:$D$5001)*(Results!$L$2:$L$5001))/BU$70,0)</f>
        <v>0</v>
      </c>
      <c r="BV78" s="6">
        <f>IF(BV$70&gt;0,SUMPRODUCT((Results!$A$2:$A$5001=Schedule!BV$45)*(Results!$D$2:$D$5001)*(Results!$L$2:$L$5001))/BV$70,0)</f>
        <v>0</v>
      </c>
      <c r="BW78" s="6">
        <f>IF(BW$70&gt;0,SUMPRODUCT((Results!$A$2:$A$5001=Schedule!BW$45)*(Results!$D$2:$D$5001)*(Results!$L$2:$L$5001))/BW$70,0)</f>
        <v>0</v>
      </c>
      <c r="BX78" s="6">
        <f>IF(BX$70&gt;0,SUMPRODUCT((Results!$A$2:$A$5001=Schedule!BX$45)*(Results!$D$2:$D$5001)*(Results!$L$2:$L$5001))/BX$70,0)</f>
        <v>0</v>
      </c>
      <c r="BY78" s="6">
        <f>IF(BY$70&gt;0,SUMPRODUCT((Results!$A$2:$A$5001=Schedule!BY$45)*(Results!$D$2:$D$5001)*(Results!$L$2:$L$5001))/BY$70,0)</f>
        <v>0</v>
      </c>
      <c r="BZ78" s="6">
        <f>IF(BZ$70&gt;0,SUMPRODUCT((Results!$A$2:$A$5001=Schedule!BZ$45)*(Results!$D$2:$D$5001)*(Results!$L$2:$L$5001))/BZ$70,0)</f>
        <v>0</v>
      </c>
      <c r="CA78" s="6">
        <f>IF(CA$70&gt;0,SUMPRODUCT((Results!$A$2:$A$5001=Schedule!CA$45)*(Results!$D$2:$D$5001)*(Results!$L$2:$L$5001))/CA$70,0)</f>
        <v>0</v>
      </c>
      <c r="CB78" s="6">
        <f>IF(CB$70&gt;0,SUMPRODUCT((Results!$A$2:$A$5001=Schedule!CB$45)*(Results!$D$2:$D$5001)*(Results!$L$2:$L$5001))/CB$70,0)</f>
        <v>0</v>
      </c>
      <c r="CC78" s="6">
        <f>IF(CC$70&gt;0,SUMPRODUCT((Results!$A$2:$A$5001=Schedule!CC$45)*(Results!$D$2:$D$5001)*(Results!$L$2:$L$5001))/CC$70,0)</f>
        <v>0</v>
      </c>
      <c r="CD78" s="6">
        <f>IF(CD$70&gt;0,SUMPRODUCT((Results!$A$2:$A$5001=Schedule!CD$45)*(Results!$D$2:$D$5001)*(Results!$L$2:$L$5001))/CD$70,0)</f>
        <v>0</v>
      </c>
      <c r="CE78" s="6">
        <f>IF(CE$70&gt;0,SUMPRODUCT((Results!$A$2:$A$5001=Schedule!CE$45)*(Results!$D$2:$D$5001)*(Results!$L$2:$L$5001))/CE$70,0)</f>
        <v>0</v>
      </c>
      <c r="CF78" s="6">
        <f>IF(CF$70&gt;0,SUMPRODUCT((Results!$A$2:$A$5001=Schedule!CF$45)*(Results!$D$2:$D$5001)*(Results!$L$2:$L$5001))/CF$70,0)</f>
        <v>0</v>
      </c>
      <c r="CG78" s="6">
        <f>IF(CG$70&gt;0,SUMPRODUCT((Results!$A$2:$A$5001=Schedule!CG$45)*(Results!$D$2:$D$5001)*(Results!$L$2:$L$5001))/CG$70,0)</f>
        <v>0</v>
      </c>
      <c r="CH78" s="6">
        <f>IF(CH$70&gt;0,SUMPRODUCT((Results!$A$2:$A$5001=Schedule!CH$45)*(Results!$D$2:$D$5001)*(Results!$L$2:$L$5001))/CH$70,0)</f>
        <v>0</v>
      </c>
      <c r="CI78" s="6">
        <f>IF(CI$70&gt;0,SUMPRODUCT((Results!$A$2:$A$5001=Schedule!CI$45)*(Results!$D$2:$D$5001)*(Results!$L$2:$L$5001))/CI$70,0)</f>
        <v>0</v>
      </c>
      <c r="CJ78" s="6">
        <f>IF(CJ$70&gt;0,SUMPRODUCT((Results!$A$2:$A$5001=Schedule!CJ$45)*(Results!$D$2:$D$5001)*(Results!$L$2:$L$5001))/CJ$70,0)</f>
        <v>0</v>
      </c>
      <c r="CK78" s="6">
        <f>IF(CK$70&gt;0,SUMPRODUCT((Results!$A$2:$A$5001=Schedule!CK$45)*(Results!$D$2:$D$5001)*(Results!$L$2:$L$5001))/CK$70,0)</f>
        <v>0</v>
      </c>
      <c r="CL78" s="6">
        <f>IF(CL$70&gt;0,SUMPRODUCT((Results!$A$2:$A$5001=Schedule!CL$45)*(Results!$D$2:$D$5001)*(Results!$L$2:$L$5001))/CL$70,0)</f>
        <v>0</v>
      </c>
      <c r="CM78" s="6">
        <f>IF(CM$70&gt;0,SUMPRODUCT((Results!$A$2:$A$5001=Schedule!CM$45)*(Results!$D$2:$D$5001)*(Results!$L$2:$L$5001))/CM$70,0)</f>
        <v>0</v>
      </c>
      <c r="CN78" s="6">
        <f>IF(CN$70&gt;0,SUMPRODUCT((Results!$A$2:$A$5001=Schedule!CN$45)*(Results!$D$2:$D$5001)*(Results!$L$2:$L$5001))/CN$70,0)</f>
        <v>0</v>
      </c>
      <c r="CO78" s="6">
        <f>IF(CO$70&gt;0,SUMPRODUCT((Results!$A$2:$A$5001=Schedule!CO$45)*(Results!$D$2:$D$5001)*(Results!$L$2:$L$5001))/CO$70,0)</f>
        <v>0</v>
      </c>
      <c r="CP78" s="6">
        <f>IF(CP$70&gt;0,SUMPRODUCT((Results!$A$2:$A$5001=Schedule!CP$45)*(Results!$D$2:$D$5001)*(Results!$L$2:$L$5001))/CP$70,0)</f>
        <v>0</v>
      </c>
      <c r="CQ78" s="6">
        <f>IF(CQ$70&gt;0,SUMPRODUCT((Results!$A$2:$A$5001=Schedule!CQ$45)*(Results!$D$2:$D$5001)*(Results!$L$2:$L$5001))/CQ$70,0)</f>
        <v>0</v>
      </c>
      <c r="CR78" s="6">
        <f>IF(CR$70&gt;0,SUMPRODUCT((Results!$A$2:$A$5001=Schedule!CR$45)*(Results!$D$2:$D$5001)*(Results!$L$2:$L$5001))/CR$70,0)</f>
        <v>0</v>
      </c>
      <c r="CS78" s="6">
        <f>IF(CS$70&gt;0,SUMPRODUCT((Results!$A$2:$A$5001=Schedule!CS$45)*(Results!$D$2:$D$5001)*(Results!$L$2:$L$5001))/CS$70,0)</f>
        <v>0</v>
      </c>
      <c r="CT78" s="6">
        <f>IF(CT$70&gt;0,SUMPRODUCT((Results!$A$2:$A$5001=Schedule!CT$45)*(Results!$D$2:$D$5001)*(Results!$L$2:$L$5001))/CT$70,0)</f>
        <v>0</v>
      </c>
      <c r="CU78" s="6">
        <f>IF(CU$70&gt;0,SUMPRODUCT((Results!$A$2:$A$5001=Schedule!CU$45)*(Results!$D$2:$D$5001)*(Results!$L$2:$L$5001))/CU$70,0)</f>
        <v>0</v>
      </c>
      <c r="CV78" s="6">
        <f>IF(CV$70&gt;0,SUMPRODUCT((Results!$A$2:$A$5001=Schedule!CV$45)*(Results!$D$2:$D$5001)*(Results!$L$2:$L$5001))/CV$70,0)</f>
        <v>0</v>
      </c>
      <c r="CW78" s="6">
        <f>IF(CW$70&gt;0,SUMPRODUCT((Results!$A$2:$A$5001=Schedule!CW$45)*(Results!$D$2:$D$5001)*(Results!$L$2:$L$5001))/CW$70,0)</f>
        <v>0</v>
      </c>
      <c r="CX78" s="6">
        <f>IF(CX$70&gt;0,SUMPRODUCT((Results!$A$2:$A$5001=Schedule!CX$45)*(Results!$D$2:$D$5001)*(Results!$L$2:$L$5001))/CX$70,0)</f>
        <v>0</v>
      </c>
      <c r="CY78" s="6">
        <f>IF(CY$70&gt;0,SUMPRODUCT((Results!$A$2:$A$5001=Schedule!CY$45)*(Results!$D$2:$D$5001)*(Results!$L$2:$L$5001))/CY$70,0)</f>
        <v>0</v>
      </c>
      <c r="CZ78" s="6">
        <f>IF(CZ$70&gt;0,SUMPRODUCT((Results!$A$2:$A$5001=Schedule!CZ$45)*(Results!$D$2:$D$5001)*(Results!$L$2:$L$5001))/CZ$70,0)</f>
        <v>0</v>
      </c>
      <c r="DA78" s="6">
        <f>IF(DA$70&gt;0,SUMPRODUCT((Results!$A$2:$A$5001=Schedule!DA$45)*(Results!$D$2:$D$5001)*(Results!$L$2:$L$5001))/DA$70,0)</f>
        <v>0</v>
      </c>
      <c r="DB78" s="6">
        <f>IF(DB$70&gt;0,SUMPRODUCT((Results!$A$2:$A$5001=Schedule!DB$45)*(Results!$D$2:$D$5001)*(Results!$L$2:$L$5001))/DB$70,0)</f>
        <v>0</v>
      </c>
      <c r="DC78" s="6">
        <f>IF(DC$70&gt;0,SUMPRODUCT((Results!$A$2:$A$5001=Schedule!DC$45)*(Results!$D$2:$D$5001)*(Results!$L$2:$L$5001))/DC$70,0)</f>
        <v>0</v>
      </c>
      <c r="DD78" s="6">
        <f>IF(DD$70&gt;0,SUMPRODUCT((Results!$A$2:$A$5001=Schedule!DD$45)*(Results!$D$2:$D$5001)*(Results!$L$2:$L$5001))/DD$70,0)</f>
        <v>0</v>
      </c>
      <c r="DE78" s="6">
        <f>IF(DE$70&gt;0,SUMPRODUCT((Results!$A$2:$A$5001=Schedule!DE$45)*(Results!$D$2:$D$5001)*(Results!$L$2:$L$5001))/DE$70,0)</f>
        <v>0</v>
      </c>
      <c r="DF78" s="6">
        <f>IF(DF$70&gt;0,SUMPRODUCT((Results!$A$2:$A$5001=Schedule!DF$45)*(Results!$D$2:$D$5001)*(Results!$L$2:$L$5001))/DF$70,0)</f>
        <v>0</v>
      </c>
      <c r="DG78" s="6">
        <f>IF(DG$70&gt;0,SUMPRODUCT((Results!$A$2:$A$5001=Schedule!DG$45)*(Results!$D$2:$D$5001)*(Results!$L$2:$L$5001))/DG$70,0)</f>
        <v>0</v>
      </c>
      <c r="DH78" s="6">
        <f>IF(DH$70&gt;0,SUMPRODUCT((Results!$A$2:$A$5001=Schedule!DH$45)*(Results!$D$2:$D$5001)*(Results!$L$2:$L$5001))/DH$70,0)</f>
        <v>0</v>
      </c>
      <c r="DI78" s="6">
        <f>IF(DI$70&gt;0,SUMPRODUCT((Results!$A$2:$A$5001=Schedule!DI$45)*(Results!$D$2:$D$5001)*(Results!$L$2:$L$5001))/DI$70,0)</f>
        <v>0</v>
      </c>
      <c r="DJ78" s="6">
        <f>IF(DJ$70&gt;0,SUMPRODUCT((Results!$A$2:$A$5001=Schedule!DJ$45)*(Results!$D$2:$D$5001)*(Results!$L$2:$L$5001))/DJ$70,0)</f>
        <v>0</v>
      </c>
      <c r="DK78" s="6">
        <f>IF(DK$70&gt;0,SUMPRODUCT((Results!$A$2:$A$5001=Schedule!DK$45)*(Results!$D$2:$D$5001)*(Results!$L$2:$L$5001))/DK$70,0)</f>
        <v>0</v>
      </c>
      <c r="DL78" s="6">
        <f>IF(DL$70&gt;0,SUMPRODUCT((Results!$A$2:$A$5001=Schedule!DL$45)*(Results!$D$2:$D$5001)*(Results!$L$2:$L$5001))/DL$70,0)</f>
        <v>0</v>
      </c>
      <c r="DM78" s="6">
        <f>IF(DM$70&gt;0,SUMPRODUCT((Results!$A$2:$A$5001=Schedule!DM$45)*(Results!$D$2:$D$5001)*(Results!$L$2:$L$5001))/DM$70,0)</f>
        <v>0</v>
      </c>
      <c r="DN78" s="6">
        <f>IF(DN$70&gt;0,SUMPRODUCT((Results!$A$2:$A$5001=Schedule!DN$45)*(Results!$D$2:$D$5001)*(Results!$L$2:$L$5001))/DN$70,0)</f>
        <v>0</v>
      </c>
      <c r="DO78" s="6">
        <f>IF(DO$70&gt;0,SUMPRODUCT((Results!$A$2:$A$5001=Schedule!DO$45)*(Results!$D$2:$D$5001)*(Results!$L$2:$L$5001))/DO$70,0)</f>
        <v>0</v>
      </c>
      <c r="DP78" s="6">
        <f>IF(DP$70&gt;0,SUMPRODUCT((Results!$A$2:$A$5001=Schedule!DP$45)*(Results!$D$2:$D$5001)*(Results!$L$2:$L$5001))/DP$70,0)</f>
        <v>0</v>
      </c>
      <c r="DQ78" s="6">
        <f>IF(DQ$70&gt;0,SUMPRODUCT((Results!$A$2:$A$5001=Schedule!DQ$45)*(Results!$D$2:$D$5001)*(Results!$L$2:$L$5001))/DQ$70,0)</f>
        <v>0</v>
      </c>
      <c r="DR78" s="6">
        <f>IF(DR$70&gt;0,SUMPRODUCT((Results!$A$2:$A$5001=Schedule!DR$45)*(Results!$D$2:$D$5001)*(Results!$L$2:$L$5001))/DR$70,0)</f>
        <v>0</v>
      </c>
      <c r="DS78" s="6">
        <f>IF(DS$70&gt;0,SUMPRODUCT((Results!$A$2:$A$5001=Schedule!DS$45)*(Results!$D$2:$D$5001)*(Results!$L$2:$L$5001))/DS$70,0)</f>
        <v>0</v>
      </c>
      <c r="DT78" s="6">
        <f>IF(DT$70&gt;0,SUMPRODUCT((Results!$A$2:$A$5001=Schedule!DT$45)*(Results!$D$2:$D$5001)*(Results!$L$2:$L$5001))/DT$70,0)</f>
        <v>0</v>
      </c>
      <c r="DU78" s="6">
        <f>IF(DU$70&gt;0,SUMPRODUCT((Results!$A$2:$A$5001=Schedule!DU$45)*(Results!$D$2:$D$5001)*(Results!$L$2:$L$5001))/DU$70,0)</f>
        <v>0</v>
      </c>
      <c r="DV78" s="6">
        <f>IF(DV$70&gt;0,SUMPRODUCT((Results!$A$2:$A$5001=Schedule!DV$45)*(Results!$D$2:$D$5001)*(Results!$L$2:$L$5001))/DV$70,0)</f>
        <v>0</v>
      </c>
      <c r="DW78" s="6">
        <f>IF(DW$70&gt;0,SUMPRODUCT((Results!$A$2:$A$5001=Schedule!DW$45)*(Results!$D$2:$D$5001)*(Results!$L$2:$L$5001))/DW$70,0)</f>
        <v>0</v>
      </c>
      <c r="DX78" s="6">
        <f>IF(DX$70&gt;0,SUMPRODUCT((Results!$A$2:$A$5001=Schedule!DX$45)*(Results!$D$2:$D$5001)*(Results!$L$2:$L$5001))/DX$70,0)</f>
        <v>0</v>
      </c>
      <c r="DY78" s="6">
        <f>IF(DY$70&gt;0,SUMPRODUCT((Results!$A$2:$A$5001=Schedule!DY$45)*(Results!$D$2:$D$5001)*(Results!$L$2:$L$5001))/DY$70,0)</f>
        <v>0</v>
      </c>
      <c r="DZ78" s="6">
        <f>IF(DZ$70&gt;0,SUMPRODUCT((Results!$A$2:$A$5001=Schedule!DZ$45)*(Results!$D$2:$D$5001)*(Results!$L$2:$L$5001))/DZ$70,0)</f>
        <v>0</v>
      </c>
      <c r="EA78" s="6">
        <f>IF(EA$70&gt;0,SUMPRODUCT((Results!$A$2:$A$5001=Schedule!EA$45)*(Results!$D$2:$D$5001)*(Results!$L$2:$L$5001))/EA$70,0)</f>
        <v>0</v>
      </c>
      <c r="EB78" s="6">
        <f>IF(EB$70&gt;0,SUMPRODUCT((Results!$A$2:$A$5001=Schedule!EB$45)*(Results!$D$2:$D$5001)*(Results!$L$2:$L$5001))/EB$70,0)</f>
        <v>0</v>
      </c>
      <c r="EC78" s="6">
        <f>IF(EC$70&gt;0,SUMPRODUCT((Results!$A$2:$A$5001=Schedule!EC$45)*(Results!$D$2:$D$5001)*(Results!$L$2:$L$5001))/EC$70,0)</f>
        <v>0</v>
      </c>
      <c r="ED78" s="6">
        <f>IF(ED$70&gt;0,SUMPRODUCT((Results!$A$2:$A$5001=Schedule!ED$45)*(Results!$D$2:$D$5001)*(Results!$L$2:$L$5001))/ED$70,0)</f>
        <v>0</v>
      </c>
      <c r="EE78" s="6">
        <f>IF(EE$70&gt;0,SUMPRODUCT((Results!$A$2:$A$5001=Schedule!EE$45)*(Results!$D$2:$D$5001)*(Results!$L$2:$L$5001))/EE$70,0)</f>
        <v>0</v>
      </c>
      <c r="EF78" s="6">
        <f>IF(EF$70&gt;0,SUMPRODUCT((Results!$A$2:$A$5001=Schedule!EF$45)*(Results!$D$2:$D$5001)*(Results!$L$2:$L$5001))/EF$70,0)</f>
        <v>0</v>
      </c>
      <c r="EG78" s="6">
        <f>IF(EG$70&gt;0,SUMPRODUCT((Results!$A$2:$A$5001=Schedule!EG$45)*(Results!$D$2:$D$5001)*(Results!$L$2:$L$5001))/EG$70,0)</f>
        <v>0</v>
      </c>
      <c r="EH78" s="6">
        <f>IF(EH$70&gt;0,SUMPRODUCT((Results!$A$2:$A$5001=Schedule!EH$45)*(Results!$D$2:$D$5001)*(Results!$L$2:$L$5001))/EH$70,0)</f>
        <v>0</v>
      </c>
      <c r="EI78" s="6">
        <f>IF(EI$70&gt;0,SUMPRODUCT((Results!$A$2:$A$5001=Schedule!EI$45)*(Results!$D$2:$D$5001)*(Results!$L$2:$L$5001))/EI$70,0)</f>
        <v>0</v>
      </c>
      <c r="EJ78" s="6">
        <f>IF(EJ$70&gt;0,SUMPRODUCT((Results!$A$2:$A$5001=Schedule!EJ$45)*(Results!$D$2:$D$5001)*(Results!$L$2:$L$5001))/EJ$70,0)</f>
        <v>0</v>
      </c>
      <c r="EK78" s="6">
        <f>IF(EK$70&gt;0,SUMPRODUCT((Results!$A$2:$A$5001=Schedule!EK$45)*(Results!$D$2:$D$5001)*(Results!$L$2:$L$5001))/EK$70,0)</f>
        <v>0</v>
      </c>
      <c r="EL78" s="6">
        <f>IF(EL$70&gt;0,SUMPRODUCT((Results!$A$2:$A$5001=Schedule!EL$45)*(Results!$D$2:$D$5001)*(Results!$L$2:$L$5001))/EL$70,0)</f>
        <v>0</v>
      </c>
      <c r="EM78" s="6">
        <f>IF(EM$70&gt;0,SUMPRODUCT((Results!$A$2:$A$5001=Schedule!EM$45)*(Results!$D$2:$D$5001)*(Results!$L$2:$L$5001))/EM$70,0)</f>
        <v>0</v>
      </c>
      <c r="EN78" s="6">
        <f>IF(EN$70&gt;0,SUMPRODUCT((Results!$A$2:$A$5001=Schedule!EN$45)*(Results!$D$2:$D$5001)*(Results!$L$2:$L$5001))/EN$70,0)</f>
        <v>0</v>
      </c>
      <c r="EO78" s="6">
        <f>IF(EO$70&gt;0,SUMPRODUCT((Results!$A$2:$A$5001=Schedule!EO$45)*(Results!$D$2:$D$5001)*(Results!$L$2:$L$5001))/EO$70,0)</f>
        <v>0</v>
      </c>
      <c r="EP78" s="6">
        <f>IF(EP$70&gt;0,SUMPRODUCT((Results!$A$2:$A$5001=Schedule!EP$45)*(Results!$D$2:$D$5001)*(Results!$L$2:$L$5001))/EP$70,0)</f>
        <v>0</v>
      </c>
      <c r="EQ78" s="6">
        <f>IF(EQ$70&gt;0,SUMPRODUCT((Results!$A$2:$A$5001=Schedule!EQ$45)*(Results!$D$2:$D$5001)*(Results!$L$2:$L$5001))/EQ$70,0)</f>
        <v>0</v>
      </c>
      <c r="ER78" s="6">
        <f>IF(ER$70&gt;0,SUMPRODUCT((Results!$A$2:$A$5001=Schedule!ER$45)*(Results!$D$2:$D$5001)*(Results!$L$2:$L$5001))/ER$70,0)</f>
        <v>0</v>
      </c>
      <c r="ES78" s="6">
        <f>IF(ES$70&gt;0,SUMPRODUCT((Results!$A$2:$A$5001=Schedule!ES$45)*(Results!$D$2:$D$5001)*(Results!$L$2:$L$5001))/ES$70,0)</f>
        <v>0</v>
      </c>
      <c r="ET78" s="6">
        <f>IF(ET$70&gt;0,SUMPRODUCT((Results!$A$2:$A$5001=Schedule!ET$45)*(Results!$D$2:$D$5001)*(Results!$L$2:$L$5001))/ET$70,0)</f>
        <v>0</v>
      </c>
      <c r="EU78" s="6">
        <f>IF(EU$70&gt;0,SUMPRODUCT((Results!$A$2:$A$5001=Schedule!EU$45)*(Results!$D$2:$D$5001)*(Results!$L$2:$L$5001))/EU$70,0)</f>
        <v>0</v>
      </c>
      <c r="EV78" s="6">
        <f>IF(EV$70&gt;0,SUMPRODUCT((Results!$A$2:$A$5001=Schedule!EV$45)*(Results!$D$2:$D$5001)*(Results!$L$2:$L$5001))/EV$70,0)</f>
        <v>0</v>
      </c>
      <c r="EW78" s="6">
        <f>IF(EW$70&gt;0,SUMPRODUCT((Results!$A$2:$A$5001=Schedule!EW$45)*(Results!$D$2:$D$5001)*(Results!$L$2:$L$5001))/EW$70,0)</f>
        <v>0</v>
      </c>
      <c r="EX78" s="6">
        <f>IF(EX$70&gt;0,SUMPRODUCT((Results!$A$2:$A$5001=Schedule!EX$45)*(Results!$D$2:$D$5001)*(Results!$L$2:$L$5001))/EX$70,0)</f>
        <v>0</v>
      </c>
      <c r="EY78" s="6">
        <f>IF(EY$70&gt;0,SUMPRODUCT((Results!$A$2:$A$5001=Schedule!EY$45)*(Results!$D$2:$D$5001)*(Results!$L$2:$L$5001))/EY$70,0)</f>
        <v>0</v>
      </c>
      <c r="EZ78" s="6">
        <f>IF(EZ$70&gt;0,SUMPRODUCT((Results!$A$2:$A$5001=Schedule!EZ$45)*(Results!$D$2:$D$5001)*(Results!$L$2:$L$5001))/EZ$70,0)</f>
        <v>0</v>
      </c>
      <c r="FA78" s="6">
        <f>IF(FA$70&gt;0,SUMPRODUCT((Results!$A$2:$A$5001=Schedule!FA$45)*(Results!$D$2:$D$5001)*(Results!$L$2:$L$5001))/FA$70,0)</f>
        <v>0</v>
      </c>
      <c r="FB78" s="6">
        <f>IF(FB$70&gt;0,SUMPRODUCT((Results!$A$2:$A$5001=Schedule!FB$45)*(Results!$D$2:$D$5001)*(Results!$L$2:$L$5001))/FB$70,0)</f>
        <v>0</v>
      </c>
      <c r="FC78" s="6">
        <f>IF(FC$70&gt;0,SUMPRODUCT((Results!$A$2:$A$5001=Schedule!FC$45)*(Results!$D$2:$D$5001)*(Results!$L$2:$L$5001))/FC$70,0)</f>
        <v>0</v>
      </c>
      <c r="FD78" s="6">
        <f>IF(FD$70&gt;0,SUMPRODUCT((Results!$A$2:$A$5001=Schedule!FD$45)*(Results!$D$2:$D$5001)*(Results!$L$2:$L$5001))/FD$70,0)</f>
        <v>0</v>
      </c>
      <c r="FE78" s="6">
        <f>IF(FE$70&gt;0,SUMPRODUCT((Results!$A$2:$A$5001=Schedule!FE$45)*(Results!$D$2:$D$5001)*(Results!$L$2:$L$5001))/FE$70,0)</f>
        <v>0</v>
      </c>
      <c r="FF78" s="6">
        <f>IF(FF$70&gt;0,SUMPRODUCT((Results!$A$2:$A$5001=Schedule!FF$45)*(Results!$D$2:$D$5001)*(Results!$L$2:$L$5001))/FF$70,0)</f>
        <v>0</v>
      </c>
      <c r="FG78" s="6">
        <f>IF(FG$70&gt;0,SUMPRODUCT((Results!$A$2:$A$5001=Schedule!FG$45)*(Results!$D$2:$D$5001)*(Results!$L$2:$L$5001))/FG$70,0)</f>
        <v>0</v>
      </c>
      <c r="FH78" s="6">
        <f>IF(FH$70&gt;0,SUMPRODUCT((Results!$A$2:$A$5001=Schedule!FH$45)*(Results!$D$2:$D$5001)*(Results!$L$2:$L$5001))/FH$70,0)</f>
        <v>0</v>
      </c>
      <c r="FI78" s="6">
        <f>IF(FI$70&gt;0,SUMPRODUCT((Results!$A$2:$A$5001=Schedule!FI$45)*(Results!$D$2:$D$5001)*(Results!$L$2:$L$5001))/FI$70,0)</f>
        <v>0</v>
      </c>
      <c r="FJ78" s="6">
        <f>IF(FJ$70&gt;0,SUMPRODUCT((Results!$A$2:$A$5001=Schedule!FJ$45)*(Results!$D$2:$D$5001)*(Results!$L$2:$L$5001))/FJ$70,0)</f>
        <v>0</v>
      </c>
      <c r="FK78" s="6">
        <f>IF(FK$70&gt;0,SUMPRODUCT((Results!$A$2:$A$5001=Schedule!FK$45)*(Results!$D$2:$D$5001)*(Results!$L$2:$L$5001))/FK$70,0)</f>
        <v>0</v>
      </c>
      <c r="FL78" s="6">
        <f>IF(FL$70&gt;0,SUMPRODUCT((Results!$A$2:$A$5001=Schedule!FL$45)*(Results!$D$2:$D$5001)*(Results!$L$2:$L$5001))/FL$70,0)</f>
        <v>0</v>
      </c>
      <c r="FM78" s="6">
        <f>IF(FM$70&gt;0,SUMPRODUCT((Results!$A$2:$A$5001=Schedule!FM$45)*(Results!$D$2:$D$5001)*(Results!$L$2:$L$5001))/FM$70,0)</f>
        <v>0</v>
      </c>
      <c r="FN78" s="6">
        <f>IF(FN$70&gt;0,SUMPRODUCT((Results!$A$2:$A$5001=Schedule!FN$45)*(Results!$D$2:$D$5001)*(Results!$L$2:$L$5001))/FN$70,0)</f>
        <v>0</v>
      </c>
      <c r="FO78" s="6">
        <f>IF(FO$70&gt;0,SUMPRODUCT((Results!$A$2:$A$5001=Schedule!FO$45)*(Results!$D$2:$D$5001)*(Results!$L$2:$L$5001))/FO$70,0)</f>
        <v>0</v>
      </c>
      <c r="FP78" s="6">
        <f>IF(FP$70&gt;0,SUMPRODUCT((Results!$A$2:$A$5001=Schedule!FP$45)*(Results!$D$2:$D$5001)*(Results!$L$2:$L$5001))/FP$70,0)</f>
        <v>0</v>
      </c>
      <c r="FQ78" s="6">
        <f>IF(FQ$70&gt;0,SUMPRODUCT((Results!$A$2:$A$5001=Schedule!FQ$45)*(Results!$D$2:$D$5001)*(Results!$L$2:$L$5001))/FQ$70,0)</f>
        <v>0</v>
      </c>
      <c r="FR78" s="6">
        <f>IF(FR$70&gt;0,SUMPRODUCT((Results!$A$2:$A$5001=Schedule!FR$45)*(Results!$D$2:$D$5001)*(Results!$L$2:$L$5001))/FR$70,0)</f>
        <v>0</v>
      </c>
      <c r="FS78" s="6">
        <f>IF(FS$70&gt;0,SUMPRODUCT((Results!$A$2:$A$5001=Schedule!FS$45)*(Results!$D$2:$D$5001)*(Results!$L$2:$L$5001))/FS$70,0)</f>
        <v>0</v>
      </c>
      <c r="FT78" s="6">
        <f>IF(FT$70&gt;0,SUMPRODUCT((Results!$A$2:$A$5001=Schedule!FT$45)*(Results!$D$2:$D$5001)*(Results!$L$2:$L$5001))/FT$70,0)</f>
        <v>0</v>
      </c>
      <c r="FU78" s="6">
        <f>IF(FU$70&gt;0,SUMPRODUCT((Results!$A$2:$A$5001=Schedule!FU$45)*(Results!$D$2:$D$5001)*(Results!$L$2:$L$5001))/FU$70,0)</f>
        <v>0</v>
      </c>
      <c r="FV78" s="6">
        <f>IF(FV$70&gt;0,SUMPRODUCT((Results!$A$2:$A$5001=Schedule!FV$45)*(Results!$D$2:$D$5001)*(Results!$L$2:$L$5001))/FV$70,0)</f>
        <v>0</v>
      </c>
      <c r="FW78" s="6">
        <f>IF(FW$70&gt;0,SUMPRODUCT((Results!$A$2:$A$5001=Schedule!FW$45)*(Results!$D$2:$D$5001)*(Results!$L$2:$L$5001))/FW$70,0)</f>
        <v>0</v>
      </c>
      <c r="FX78" s="6">
        <f>IF(FX$70&gt;0,SUMPRODUCT((Results!$A$2:$A$5001=Schedule!FX$45)*(Results!$D$2:$D$5001)*(Results!$L$2:$L$5001))/FX$70,0)</f>
        <v>0</v>
      </c>
      <c r="FY78" s="6">
        <f>IF(FY$70&gt;0,SUMPRODUCT((Results!$A$2:$A$5001=Schedule!FY$45)*(Results!$D$2:$D$5001)*(Results!$L$2:$L$5001))/FY$70,0)</f>
        <v>0</v>
      </c>
      <c r="FZ78" s="6">
        <f>IF(FZ$70&gt;0,SUMPRODUCT((Results!$A$2:$A$5001=Schedule!FZ$45)*(Results!$D$2:$D$5001)*(Results!$L$2:$L$5001))/FZ$70,0)</f>
        <v>0</v>
      </c>
      <c r="GA78" s="6">
        <f>IF(GA$70&gt;0,SUMPRODUCT((Results!$A$2:$A$5001=Schedule!GA$45)*(Results!$D$2:$D$5001)*(Results!$L$2:$L$5001))/GA$70,0)</f>
        <v>0</v>
      </c>
      <c r="GB78" s="6">
        <f>IF(GB$70&gt;0,SUMPRODUCT((Results!$A$2:$A$5001=Schedule!GB$45)*(Results!$D$2:$D$5001)*(Results!$L$2:$L$5001))/GB$70,0)</f>
        <v>0</v>
      </c>
      <c r="GC78" s="6">
        <f>IF(GC$70&gt;0,SUMPRODUCT((Results!$A$2:$A$5001=Schedule!GC$45)*(Results!$D$2:$D$5001)*(Results!$L$2:$L$5001))/GC$70,0)</f>
        <v>0</v>
      </c>
      <c r="GD78" s="6">
        <f>IF(GD$70&gt;0,SUMPRODUCT((Results!$A$2:$A$5001=Schedule!GD$45)*(Results!$D$2:$D$5001)*(Results!$L$2:$L$5001))/GD$70,0)</f>
        <v>0</v>
      </c>
      <c r="GE78" s="6">
        <f>IF(GE$70&gt;0,SUMPRODUCT((Results!$A$2:$A$5001=Schedule!GE$45)*(Results!$D$2:$D$5001)*(Results!$L$2:$L$5001))/GE$70,0)</f>
        <v>0</v>
      </c>
      <c r="GF78" s="6">
        <f>IF(GF$70&gt;0,SUMPRODUCT((Results!$A$2:$A$5001=Schedule!GF$45)*(Results!$D$2:$D$5001)*(Results!$L$2:$L$5001))/GF$70,0)</f>
        <v>0</v>
      </c>
      <c r="GG78" s="6">
        <f>IF(GG$70&gt;0,SUMPRODUCT((Results!$A$2:$A$5001=Schedule!GG$45)*(Results!$D$2:$D$5001)*(Results!$L$2:$L$5001))/GG$70,0)</f>
        <v>0</v>
      </c>
      <c r="GH78" s="6">
        <f>IF(GH$70&gt;0,SUMPRODUCT((Results!$A$2:$A$5001=Schedule!GH$45)*(Results!$D$2:$D$5001)*(Results!$L$2:$L$5001))/GH$70,0)</f>
        <v>0</v>
      </c>
      <c r="GI78" s="6">
        <f>IF(GI$70&gt;0,SUMPRODUCT((Results!$A$2:$A$5001=Schedule!GI$45)*(Results!$D$2:$D$5001)*(Results!$L$2:$L$5001))/GI$70,0)</f>
        <v>0</v>
      </c>
      <c r="GJ78" s="6">
        <f>IF(GJ$70&gt;0,SUMPRODUCT((Results!$A$2:$A$5001=Schedule!GJ$45)*(Results!$D$2:$D$5001)*(Results!$L$2:$L$5001))/GJ$70,0)</f>
        <v>0</v>
      </c>
      <c r="GK78" s="6">
        <f>IF(GK$70&gt;0,SUMPRODUCT((Results!$A$2:$A$5001=Schedule!GK$45)*(Results!$D$2:$D$5001)*(Results!$L$2:$L$5001))/GK$70,0)</f>
        <v>0</v>
      </c>
      <c r="GL78" s="6">
        <f>IF(GL$70&gt;0,SUMPRODUCT((Results!$A$2:$A$5001=Schedule!GL$45)*(Results!$D$2:$D$5001)*(Results!$L$2:$L$5001))/GL$70,0)</f>
        <v>0</v>
      </c>
      <c r="GM78" s="6">
        <f>IF(GM$70&gt;0,SUMPRODUCT((Results!$A$2:$A$5001=Schedule!GM$45)*(Results!$D$2:$D$5001)*(Results!$L$2:$L$5001))/GM$70,0)</f>
        <v>0</v>
      </c>
      <c r="GN78" s="6">
        <f>IF(GN$70&gt;0,SUMPRODUCT((Results!$A$2:$A$5001=Schedule!GN$45)*(Results!$D$2:$D$5001)*(Results!$L$2:$L$5001))/GN$70,0)</f>
        <v>0</v>
      </c>
      <c r="GO78" s="6">
        <f>IF(GO$70&gt;0,SUMPRODUCT((Results!$A$2:$A$5001=Schedule!GO$45)*(Results!$D$2:$D$5001)*(Results!$L$2:$L$5001))/GO$70,0)</f>
        <v>0</v>
      </c>
      <c r="GP78" s="6">
        <f>IF(GP$70&gt;0,SUMPRODUCT((Results!$A$2:$A$5001=Schedule!GP$45)*(Results!$D$2:$D$5001)*(Results!$L$2:$L$5001))/GP$70,0)</f>
        <v>0</v>
      </c>
      <c r="GQ78" s="6">
        <f>IF(GQ$70&gt;0,SUMPRODUCT((Results!$A$2:$A$5001=Schedule!GQ$45)*(Results!$D$2:$D$5001)*(Results!$L$2:$L$5001))/GQ$70,0)</f>
        <v>0</v>
      </c>
      <c r="GR78" s="6">
        <f>IF(GR$70&gt;0,SUMPRODUCT((Results!$A$2:$A$5001=Schedule!GR$45)*(Results!$D$2:$D$5001)*(Results!$L$2:$L$5001))/GR$70,0)</f>
        <v>0</v>
      </c>
      <c r="GS78" s="6">
        <f>IF(GS$70&gt;0,SUMPRODUCT((Results!$A$2:$A$5001=Schedule!GS$45)*(Results!$D$2:$D$5001)*(Results!$L$2:$L$5001))/GS$70,0)</f>
        <v>0</v>
      </c>
      <c r="GT78" s="6">
        <f>IF(GT$70&gt;0,SUMPRODUCT((Results!$A$2:$A$5001=Schedule!GT$45)*(Results!$D$2:$D$5001)*(Results!$L$2:$L$5001))/GT$70,0)</f>
        <v>0</v>
      </c>
      <c r="GU78" s="6">
        <f>IF(GU$70&gt;0,SUMPRODUCT((Results!$A$2:$A$5001=Schedule!GU$45)*(Results!$D$2:$D$5001)*(Results!$L$2:$L$5001))/GU$70,0)</f>
        <v>0</v>
      </c>
      <c r="GV78" s="6"/>
    </row>
    <row r="79" spans="1:204" ht="13.5" customHeight="1" x14ac:dyDescent="0.2">
      <c r="A79" s="40" t="str">
        <f t="shared" ref="A79:B79" si="37">A35</f>
        <v>FLAG2</v>
      </c>
      <c r="B79" s="40" t="str">
        <f t="shared" si="37"/>
        <v>Production</v>
      </c>
      <c r="C79" s="6">
        <f>IF(C$70&gt;0,SUMPRODUCT((Results!$A$2:$A$5001=Schedule!C$45)*(Results!$D$2:$D$5001)*(Results!$M$2:$M$5001))/C$70,0)</f>
        <v>0.97418660996835438</v>
      </c>
      <c r="D79" s="6">
        <f>IF(D$70&gt;0,SUMPRODUCT((Results!$A$2:$A$5001=Schedule!D$45)*(Results!$D$2:$D$5001)*(Results!$M$2:$M$5001))/D$70,0)</f>
        <v>0.9999479861018864</v>
      </c>
      <c r="E79" s="6">
        <f>IF(E$70&gt;0,SUMPRODUCT((Results!$A$2:$A$5001=Schedule!E$45)*(Results!$D$2:$D$5001)*(Results!$M$2:$M$5001))/E$70,0)</f>
        <v>0.99284084396725714</v>
      </c>
      <c r="F79" s="6">
        <f>IF(F$70&gt;0,SUMPRODUCT((Results!$A$2:$A$5001=Schedule!F$45)*(Results!$D$2:$D$5001)*(Results!$M$2:$M$5001))/F$70,0)</f>
        <v>1</v>
      </c>
      <c r="G79" s="6">
        <f>IF(G$70&gt;0,SUMPRODUCT((Results!$A$2:$A$5001=Schedule!G$45)*(Results!$D$2:$D$5001)*(Results!$M$2:$M$5001))/G$70,0)</f>
        <v>0.94545472357195648</v>
      </c>
      <c r="H79" s="6">
        <f>IF(H$70&gt;0,SUMPRODUCT((Results!$A$2:$A$5001=Schedule!H$45)*(Results!$D$2:$D$5001)*(Results!$M$2:$M$5001))/H$70,0)</f>
        <v>1</v>
      </c>
      <c r="I79" s="6">
        <f>IF(I$70&gt;0,SUMPRODUCT((Results!$A$2:$A$5001=Schedule!I$45)*(Results!$D$2:$D$5001)*(Results!$M$2:$M$5001))/I$70,0)</f>
        <v>0</v>
      </c>
      <c r="J79" s="6">
        <f>IF(J$70&gt;0,SUMPRODUCT((Results!$A$2:$A$5001=Schedule!J$45)*(Results!$D$2:$D$5001)*(Results!$M$2:$M$5001))/J$70,0)</f>
        <v>0</v>
      </c>
      <c r="K79" s="6">
        <f>IF(K$70&gt;0,SUMPRODUCT((Results!$A$2:$A$5001=Schedule!K$45)*(Results!$D$2:$D$5001)*(Results!$M$2:$M$5001))/K$70,0)</f>
        <v>0</v>
      </c>
      <c r="L79" s="6">
        <f>IF(L$70&gt;0,SUMPRODUCT((Results!$A$2:$A$5001=Schedule!L$45)*(Results!$D$2:$D$5001)*(Results!$M$2:$M$5001))/L$70,0)</f>
        <v>0</v>
      </c>
      <c r="M79" s="6">
        <f>IF(M$70&gt;0,SUMPRODUCT((Results!$A$2:$A$5001=Schedule!M$45)*(Results!$D$2:$D$5001)*(Results!$M$2:$M$5001))/M$70,0)</f>
        <v>0</v>
      </c>
      <c r="N79" s="6">
        <f>IF(N$70&gt;0,SUMPRODUCT((Results!$A$2:$A$5001=Schedule!N$45)*(Results!$D$2:$D$5001)*(Results!$M$2:$M$5001))/N$70,0)</f>
        <v>0</v>
      </c>
      <c r="O79" s="6">
        <f>IF(O$70&gt;0,SUMPRODUCT((Results!$A$2:$A$5001=Schedule!O$45)*(Results!$D$2:$D$5001)*(Results!$M$2:$M$5001))/O$70,0)</f>
        <v>0</v>
      </c>
      <c r="P79" s="6">
        <f>IF(P$70&gt;0,SUMPRODUCT((Results!$A$2:$A$5001=Schedule!P$45)*(Results!$D$2:$D$5001)*(Results!$M$2:$M$5001))/P$70,0)</f>
        <v>0</v>
      </c>
      <c r="Q79" s="6">
        <f>IF(Q$70&gt;0,SUMPRODUCT((Results!$A$2:$A$5001=Schedule!Q$45)*(Results!$D$2:$D$5001)*(Results!$M$2:$M$5001))/Q$70,0)</f>
        <v>0</v>
      </c>
      <c r="R79" s="6">
        <f>IF(R$70&gt;0,SUMPRODUCT((Results!$A$2:$A$5001=Schedule!R$45)*(Results!$D$2:$D$5001)*(Results!$M$2:$M$5001))/R$70,0)</f>
        <v>0</v>
      </c>
      <c r="S79" s="6">
        <f>IF(S$70&gt;0,SUMPRODUCT((Results!$A$2:$A$5001=Schedule!S$45)*(Results!$D$2:$D$5001)*(Results!$M$2:$M$5001))/S$70,0)</f>
        <v>0</v>
      </c>
      <c r="T79" s="6">
        <f>IF(T$70&gt;0,SUMPRODUCT((Results!$A$2:$A$5001=Schedule!T$45)*(Results!$D$2:$D$5001)*(Results!$M$2:$M$5001))/T$70,0)</f>
        <v>0</v>
      </c>
      <c r="U79" s="6">
        <f>IF(U$70&gt;0,SUMPRODUCT((Results!$A$2:$A$5001=Schedule!U$45)*(Results!$D$2:$D$5001)*(Results!$M$2:$M$5001))/U$70,0)</f>
        <v>0</v>
      </c>
      <c r="V79" s="6">
        <f>IF(V$70&gt;0,SUMPRODUCT((Results!$A$2:$A$5001=Schedule!V$45)*(Results!$D$2:$D$5001)*(Results!$M$2:$M$5001))/V$70,0)</f>
        <v>0</v>
      </c>
      <c r="W79" s="6">
        <f>IF(W$70&gt;0,SUMPRODUCT((Results!$A$2:$A$5001=Schedule!W$45)*(Results!$D$2:$D$5001)*(Results!$M$2:$M$5001))/W$70,0)</f>
        <v>0</v>
      </c>
      <c r="X79" s="6">
        <f>IF(X$70&gt;0,SUMPRODUCT((Results!$A$2:$A$5001=Schedule!X$45)*(Results!$D$2:$D$5001)*(Results!$M$2:$M$5001))/X$70,0)</f>
        <v>0</v>
      </c>
      <c r="Y79" s="6">
        <f>IF(Y$70&gt;0,SUMPRODUCT((Results!$A$2:$A$5001=Schedule!Y$45)*(Results!$D$2:$D$5001)*(Results!$M$2:$M$5001))/Y$70,0)</f>
        <v>0</v>
      </c>
      <c r="Z79" s="6">
        <f>IF(Z$70&gt;0,SUMPRODUCT((Results!$A$2:$A$5001=Schedule!Z$45)*(Results!$D$2:$D$5001)*(Results!$M$2:$M$5001))/Z$70,0)</f>
        <v>0</v>
      </c>
      <c r="AA79" s="6">
        <f>IF(AA$70&gt;0,SUMPRODUCT((Results!$A$2:$A$5001=Schedule!AA$45)*(Results!$D$2:$D$5001)*(Results!$M$2:$M$5001))/AA$70,0)</f>
        <v>0</v>
      </c>
      <c r="AB79" s="6">
        <f>IF(AB$70&gt;0,SUMPRODUCT((Results!$A$2:$A$5001=Schedule!AB$45)*(Results!$D$2:$D$5001)*(Results!$M$2:$M$5001))/AB$70,0)</f>
        <v>0</v>
      </c>
      <c r="AC79" s="6">
        <f>IF(AC$70&gt;0,SUMPRODUCT((Results!$A$2:$A$5001=Schedule!AC$45)*(Results!$D$2:$D$5001)*(Results!$M$2:$M$5001))/AC$70,0)</f>
        <v>0</v>
      </c>
      <c r="AD79" s="6">
        <f>IF(AD$70&gt;0,SUMPRODUCT((Results!$A$2:$A$5001=Schedule!AD$45)*(Results!$D$2:$D$5001)*(Results!$M$2:$M$5001))/AD$70,0)</f>
        <v>0</v>
      </c>
      <c r="AE79" s="6">
        <f>IF(AE$70&gt;0,SUMPRODUCT((Results!$A$2:$A$5001=Schedule!AE$45)*(Results!$D$2:$D$5001)*(Results!$M$2:$M$5001))/AE$70,0)</f>
        <v>0</v>
      </c>
      <c r="AF79" s="6">
        <f>IF(AF$70&gt;0,SUMPRODUCT((Results!$A$2:$A$5001=Schedule!AF$45)*(Results!$D$2:$D$5001)*(Results!$M$2:$M$5001))/AF$70,0)</f>
        <v>0</v>
      </c>
      <c r="AG79" s="6">
        <f>IF(AG$70&gt;0,SUMPRODUCT((Results!$A$2:$A$5001=Schedule!AG$45)*(Results!$D$2:$D$5001)*(Results!$M$2:$M$5001))/AG$70,0)</f>
        <v>0</v>
      </c>
      <c r="AH79" s="6">
        <f>IF(AH$70&gt;0,SUMPRODUCT((Results!$A$2:$A$5001=Schedule!AH$45)*(Results!$D$2:$D$5001)*(Results!$M$2:$M$5001))/AH$70,0)</f>
        <v>0</v>
      </c>
      <c r="AI79" s="6">
        <f>IF(AI$70&gt;0,SUMPRODUCT((Results!$A$2:$A$5001=Schedule!AI$45)*(Results!$D$2:$D$5001)*(Results!$M$2:$M$5001))/AI$70,0)</f>
        <v>0</v>
      </c>
      <c r="AJ79" s="6">
        <f>IF(AJ$70&gt;0,SUMPRODUCT((Results!$A$2:$A$5001=Schedule!AJ$45)*(Results!$D$2:$D$5001)*(Results!$M$2:$M$5001))/AJ$70,0)</f>
        <v>0</v>
      </c>
      <c r="AK79" s="6">
        <f>IF(AK$70&gt;0,SUMPRODUCT((Results!$A$2:$A$5001=Schedule!AK$45)*(Results!$D$2:$D$5001)*(Results!$M$2:$M$5001))/AK$70,0)</f>
        <v>0</v>
      </c>
      <c r="AL79" s="6">
        <f>IF(AL$70&gt;0,SUMPRODUCT((Results!$A$2:$A$5001=Schedule!AL$45)*(Results!$D$2:$D$5001)*(Results!$M$2:$M$5001))/AL$70,0)</f>
        <v>0</v>
      </c>
      <c r="AM79" s="6">
        <f>IF(AM$70&gt;0,SUMPRODUCT((Results!$A$2:$A$5001=Schedule!AM$45)*(Results!$D$2:$D$5001)*(Results!$M$2:$M$5001))/AM$70,0)</f>
        <v>0</v>
      </c>
      <c r="AN79" s="6">
        <f>IF(AN$70&gt;0,SUMPRODUCT((Results!$A$2:$A$5001=Schedule!AN$45)*(Results!$D$2:$D$5001)*(Results!$M$2:$M$5001))/AN$70,0)</f>
        <v>0</v>
      </c>
      <c r="AO79" s="6">
        <f>IF(AO$70&gt;0,SUMPRODUCT((Results!$A$2:$A$5001=Schedule!AO$45)*(Results!$D$2:$D$5001)*(Results!$M$2:$M$5001))/AO$70,0)</f>
        <v>0</v>
      </c>
      <c r="AP79" s="6">
        <f>IF(AP$70&gt;0,SUMPRODUCT((Results!$A$2:$A$5001=Schedule!AP$45)*(Results!$D$2:$D$5001)*(Results!$M$2:$M$5001))/AP$70,0)</f>
        <v>0</v>
      </c>
      <c r="AQ79" s="6">
        <f>IF(AQ$70&gt;0,SUMPRODUCT((Results!$A$2:$A$5001=Schedule!AQ$45)*(Results!$D$2:$D$5001)*(Results!$M$2:$M$5001))/AQ$70,0)</f>
        <v>0</v>
      </c>
      <c r="AR79" s="6">
        <f>IF(AR$70&gt;0,SUMPRODUCT((Results!$A$2:$A$5001=Schedule!AR$45)*(Results!$D$2:$D$5001)*(Results!$M$2:$M$5001))/AR$70,0)</f>
        <v>0</v>
      </c>
      <c r="AS79" s="6">
        <f>IF(AS$70&gt;0,SUMPRODUCT((Results!$A$2:$A$5001=Schedule!AS$45)*(Results!$D$2:$D$5001)*(Results!$M$2:$M$5001))/AS$70,0)</f>
        <v>0</v>
      </c>
      <c r="AT79" s="6">
        <f>IF(AT$70&gt;0,SUMPRODUCT((Results!$A$2:$A$5001=Schedule!AT$45)*(Results!$D$2:$D$5001)*(Results!$M$2:$M$5001))/AT$70,0)</f>
        <v>0</v>
      </c>
      <c r="AU79" s="6">
        <f>IF(AU$70&gt;0,SUMPRODUCT((Results!$A$2:$A$5001=Schedule!AU$45)*(Results!$D$2:$D$5001)*(Results!$M$2:$M$5001))/AU$70,0)</f>
        <v>0</v>
      </c>
      <c r="AV79" s="6">
        <f>IF(AV$70&gt;0,SUMPRODUCT((Results!$A$2:$A$5001=Schedule!AV$45)*(Results!$D$2:$D$5001)*(Results!$M$2:$M$5001))/AV$70,0)</f>
        <v>0</v>
      </c>
      <c r="AW79" s="6">
        <f>IF(AW$70&gt;0,SUMPRODUCT((Results!$A$2:$A$5001=Schedule!AW$45)*(Results!$D$2:$D$5001)*(Results!$M$2:$M$5001))/AW$70,0)</f>
        <v>0</v>
      </c>
      <c r="AX79" s="6">
        <f>IF(AX$70&gt;0,SUMPRODUCT((Results!$A$2:$A$5001=Schedule!AX$45)*(Results!$D$2:$D$5001)*(Results!$M$2:$M$5001))/AX$70,0)</f>
        <v>0</v>
      </c>
      <c r="AY79" s="6">
        <f>IF(AY$70&gt;0,SUMPRODUCT((Results!$A$2:$A$5001=Schedule!AY$45)*(Results!$D$2:$D$5001)*(Results!$M$2:$M$5001))/AY$70,0)</f>
        <v>0</v>
      </c>
      <c r="AZ79" s="6">
        <f>IF(AZ$70&gt;0,SUMPRODUCT((Results!$A$2:$A$5001=Schedule!AZ$45)*(Results!$D$2:$D$5001)*(Results!$M$2:$M$5001))/AZ$70,0)</f>
        <v>0</v>
      </c>
      <c r="BA79" s="6">
        <f>IF(BA$70&gt;0,SUMPRODUCT((Results!$A$2:$A$5001=Schedule!BA$45)*(Results!$D$2:$D$5001)*(Results!$M$2:$M$5001))/BA$70,0)</f>
        <v>0</v>
      </c>
      <c r="BB79" s="6">
        <f>IF(BB$70&gt;0,SUMPRODUCT((Results!$A$2:$A$5001=Schedule!BB$45)*(Results!$D$2:$D$5001)*(Results!$M$2:$M$5001))/BB$70,0)</f>
        <v>0</v>
      </c>
      <c r="BC79" s="6">
        <f>IF(BC$70&gt;0,SUMPRODUCT((Results!$A$2:$A$5001=Schedule!BC$45)*(Results!$D$2:$D$5001)*(Results!$M$2:$M$5001))/BC$70,0)</f>
        <v>0</v>
      </c>
      <c r="BD79" s="6">
        <f>IF(BD$70&gt;0,SUMPRODUCT((Results!$A$2:$A$5001=Schedule!BD$45)*(Results!$D$2:$D$5001)*(Results!$M$2:$M$5001))/BD$70,0)</f>
        <v>0</v>
      </c>
      <c r="BE79" s="6">
        <f>IF(BE$70&gt;0,SUMPRODUCT((Results!$A$2:$A$5001=Schedule!BE$45)*(Results!$D$2:$D$5001)*(Results!$M$2:$M$5001))/BE$70,0)</f>
        <v>0</v>
      </c>
      <c r="BF79" s="6">
        <f>IF(BF$70&gt;0,SUMPRODUCT((Results!$A$2:$A$5001=Schedule!BF$45)*(Results!$D$2:$D$5001)*(Results!$M$2:$M$5001))/BF$70,0)</f>
        <v>0</v>
      </c>
      <c r="BG79" s="6">
        <f>IF(BG$70&gt;0,SUMPRODUCT((Results!$A$2:$A$5001=Schedule!BG$45)*(Results!$D$2:$D$5001)*(Results!$M$2:$M$5001))/BG$70,0)</f>
        <v>0</v>
      </c>
      <c r="BH79" s="6">
        <f>IF(BH$70&gt;0,SUMPRODUCT((Results!$A$2:$A$5001=Schedule!BH$45)*(Results!$D$2:$D$5001)*(Results!$M$2:$M$5001))/BH$70,0)</f>
        <v>0</v>
      </c>
      <c r="BI79" s="6">
        <f>IF(BI$70&gt;0,SUMPRODUCT((Results!$A$2:$A$5001=Schedule!BI$45)*(Results!$D$2:$D$5001)*(Results!$M$2:$M$5001))/BI$70,0)</f>
        <v>0</v>
      </c>
      <c r="BJ79" s="6">
        <f>IF(BJ$70&gt;0,SUMPRODUCT((Results!$A$2:$A$5001=Schedule!BJ$45)*(Results!$D$2:$D$5001)*(Results!$M$2:$M$5001))/BJ$70,0)</f>
        <v>0</v>
      </c>
      <c r="BK79" s="6">
        <f>IF(BK$70&gt;0,SUMPRODUCT((Results!$A$2:$A$5001=Schedule!BK$45)*(Results!$D$2:$D$5001)*(Results!$M$2:$M$5001))/BK$70,0)</f>
        <v>0</v>
      </c>
      <c r="BL79" s="6">
        <f>IF(BL$70&gt;0,SUMPRODUCT((Results!$A$2:$A$5001=Schedule!BL$45)*(Results!$D$2:$D$5001)*(Results!$M$2:$M$5001))/BL$70,0)</f>
        <v>0</v>
      </c>
      <c r="BM79" s="6">
        <f>IF(BM$70&gt;0,SUMPRODUCT((Results!$A$2:$A$5001=Schedule!BM$45)*(Results!$D$2:$D$5001)*(Results!$M$2:$M$5001))/BM$70,0)</f>
        <v>0</v>
      </c>
      <c r="BN79" s="6">
        <f>IF(BN$70&gt;0,SUMPRODUCT((Results!$A$2:$A$5001=Schedule!BN$45)*(Results!$D$2:$D$5001)*(Results!$M$2:$M$5001))/BN$70,0)</f>
        <v>0</v>
      </c>
      <c r="BO79" s="6">
        <f>IF(BO$70&gt;0,SUMPRODUCT((Results!$A$2:$A$5001=Schedule!BO$45)*(Results!$D$2:$D$5001)*(Results!$M$2:$M$5001))/BO$70,0)</f>
        <v>0</v>
      </c>
      <c r="BP79" s="6">
        <f>IF(BP$70&gt;0,SUMPRODUCT((Results!$A$2:$A$5001=Schedule!BP$45)*(Results!$D$2:$D$5001)*(Results!$M$2:$M$5001))/BP$70,0)</f>
        <v>0</v>
      </c>
      <c r="BQ79" s="6">
        <f>IF(BQ$70&gt;0,SUMPRODUCT((Results!$A$2:$A$5001=Schedule!BQ$45)*(Results!$D$2:$D$5001)*(Results!$M$2:$M$5001))/BQ$70,0)</f>
        <v>0</v>
      </c>
      <c r="BR79" s="6">
        <f>IF(BR$70&gt;0,SUMPRODUCT((Results!$A$2:$A$5001=Schedule!BR$45)*(Results!$D$2:$D$5001)*(Results!$M$2:$M$5001))/BR$70,0)</f>
        <v>0</v>
      </c>
      <c r="BS79" s="6">
        <f>IF(BS$70&gt;0,SUMPRODUCT((Results!$A$2:$A$5001=Schedule!BS$45)*(Results!$D$2:$D$5001)*(Results!$M$2:$M$5001))/BS$70,0)</f>
        <v>0</v>
      </c>
      <c r="BT79" s="6">
        <f>IF(BT$70&gt;0,SUMPRODUCT((Results!$A$2:$A$5001=Schedule!BT$45)*(Results!$D$2:$D$5001)*(Results!$M$2:$M$5001))/BT$70,0)</f>
        <v>0</v>
      </c>
      <c r="BU79" s="6">
        <f>IF(BU$70&gt;0,SUMPRODUCT((Results!$A$2:$A$5001=Schedule!BU$45)*(Results!$D$2:$D$5001)*(Results!$M$2:$M$5001))/BU$70,0)</f>
        <v>0</v>
      </c>
      <c r="BV79" s="6">
        <f>IF(BV$70&gt;0,SUMPRODUCT((Results!$A$2:$A$5001=Schedule!BV$45)*(Results!$D$2:$D$5001)*(Results!$M$2:$M$5001))/BV$70,0)</f>
        <v>0</v>
      </c>
      <c r="BW79" s="6">
        <f>IF(BW$70&gt;0,SUMPRODUCT((Results!$A$2:$A$5001=Schedule!BW$45)*(Results!$D$2:$D$5001)*(Results!$M$2:$M$5001))/BW$70,0)</f>
        <v>0</v>
      </c>
      <c r="BX79" s="6">
        <f>IF(BX$70&gt;0,SUMPRODUCT((Results!$A$2:$A$5001=Schedule!BX$45)*(Results!$D$2:$D$5001)*(Results!$M$2:$M$5001))/BX$70,0)</f>
        <v>0</v>
      </c>
      <c r="BY79" s="6">
        <f>IF(BY$70&gt;0,SUMPRODUCT((Results!$A$2:$A$5001=Schedule!BY$45)*(Results!$D$2:$D$5001)*(Results!$M$2:$M$5001))/BY$70,0)</f>
        <v>0</v>
      </c>
      <c r="BZ79" s="6">
        <f>IF(BZ$70&gt;0,SUMPRODUCT((Results!$A$2:$A$5001=Schedule!BZ$45)*(Results!$D$2:$D$5001)*(Results!$M$2:$M$5001))/BZ$70,0)</f>
        <v>0</v>
      </c>
      <c r="CA79" s="6">
        <f>IF(CA$70&gt;0,SUMPRODUCT((Results!$A$2:$A$5001=Schedule!CA$45)*(Results!$D$2:$D$5001)*(Results!$M$2:$M$5001))/CA$70,0)</f>
        <v>0</v>
      </c>
      <c r="CB79" s="6">
        <f>IF(CB$70&gt;0,SUMPRODUCT((Results!$A$2:$A$5001=Schedule!CB$45)*(Results!$D$2:$D$5001)*(Results!$M$2:$M$5001))/CB$70,0)</f>
        <v>0</v>
      </c>
      <c r="CC79" s="6">
        <f>IF(CC$70&gt;0,SUMPRODUCT((Results!$A$2:$A$5001=Schedule!CC$45)*(Results!$D$2:$D$5001)*(Results!$M$2:$M$5001))/CC$70,0)</f>
        <v>0</v>
      </c>
      <c r="CD79" s="6">
        <f>IF(CD$70&gt;0,SUMPRODUCT((Results!$A$2:$A$5001=Schedule!CD$45)*(Results!$D$2:$D$5001)*(Results!$M$2:$M$5001))/CD$70,0)</f>
        <v>0</v>
      </c>
      <c r="CE79" s="6">
        <f>IF(CE$70&gt;0,SUMPRODUCT((Results!$A$2:$A$5001=Schedule!CE$45)*(Results!$D$2:$D$5001)*(Results!$M$2:$M$5001))/CE$70,0)</f>
        <v>0</v>
      </c>
      <c r="CF79" s="6">
        <f>IF(CF$70&gt;0,SUMPRODUCT((Results!$A$2:$A$5001=Schedule!CF$45)*(Results!$D$2:$D$5001)*(Results!$M$2:$M$5001))/CF$70,0)</f>
        <v>0</v>
      </c>
      <c r="CG79" s="6">
        <f>IF(CG$70&gt;0,SUMPRODUCT((Results!$A$2:$A$5001=Schedule!CG$45)*(Results!$D$2:$D$5001)*(Results!$M$2:$M$5001))/CG$70,0)</f>
        <v>0</v>
      </c>
      <c r="CH79" s="6">
        <f>IF(CH$70&gt;0,SUMPRODUCT((Results!$A$2:$A$5001=Schedule!CH$45)*(Results!$D$2:$D$5001)*(Results!$M$2:$M$5001))/CH$70,0)</f>
        <v>0</v>
      </c>
      <c r="CI79" s="6">
        <f>IF(CI$70&gt;0,SUMPRODUCT((Results!$A$2:$A$5001=Schedule!CI$45)*(Results!$D$2:$D$5001)*(Results!$M$2:$M$5001))/CI$70,0)</f>
        <v>0</v>
      </c>
      <c r="CJ79" s="6">
        <f>IF(CJ$70&gt;0,SUMPRODUCT((Results!$A$2:$A$5001=Schedule!CJ$45)*(Results!$D$2:$D$5001)*(Results!$M$2:$M$5001))/CJ$70,0)</f>
        <v>0</v>
      </c>
      <c r="CK79" s="6">
        <f>IF(CK$70&gt;0,SUMPRODUCT((Results!$A$2:$A$5001=Schedule!CK$45)*(Results!$D$2:$D$5001)*(Results!$M$2:$M$5001))/CK$70,0)</f>
        <v>0</v>
      </c>
      <c r="CL79" s="6">
        <f>IF(CL$70&gt;0,SUMPRODUCT((Results!$A$2:$A$5001=Schedule!CL$45)*(Results!$D$2:$D$5001)*(Results!$M$2:$M$5001))/CL$70,0)</f>
        <v>0</v>
      </c>
      <c r="CM79" s="6">
        <f>IF(CM$70&gt;0,SUMPRODUCT((Results!$A$2:$A$5001=Schedule!CM$45)*(Results!$D$2:$D$5001)*(Results!$M$2:$M$5001))/CM$70,0)</f>
        <v>0</v>
      </c>
      <c r="CN79" s="6">
        <f>IF(CN$70&gt;0,SUMPRODUCT((Results!$A$2:$A$5001=Schedule!CN$45)*(Results!$D$2:$D$5001)*(Results!$M$2:$M$5001))/CN$70,0)</f>
        <v>0</v>
      </c>
      <c r="CO79" s="6">
        <f>IF(CO$70&gt;0,SUMPRODUCT((Results!$A$2:$A$5001=Schedule!CO$45)*(Results!$D$2:$D$5001)*(Results!$M$2:$M$5001))/CO$70,0)</f>
        <v>0</v>
      </c>
      <c r="CP79" s="6">
        <f>IF(CP$70&gt;0,SUMPRODUCT((Results!$A$2:$A$5001=Schedule!CP$45)*(Results!$D$2:$D$5001)*(Results!$M$2:$M$5001))/CP$70,0)</f>
        <v>0</v>
      </c>
      <c r="CQ79" s="6">
        <f>IF(CQ$70&gt;0,SUMPRODUCT((Results!$A$2:$A$5001=Schedule!CQ$45)*(Results!$D$2:$D$5001)*(Results!$M$2:$M$5001))/CQ$70,0)</f>
        <v>0</v>
      </c>
      <c r="CR79" s="6">
        <f>IF(CR$70&gt;0,SUMPRODUCT((Results!$A$2:$A$5001=Schedule!CR$45)*(Results!$D$2:$D$5001)*(Results!$M$2:$M$5001))/CR$70,0)</f>
        <v>0</v>
      </c>
      <c r="CS79" s="6">
        <f>IF(CS$70&gt;0,SUMPRODUCT((Results!$A$2:$A$5001=Schedule!CS$45)*(Results!$D$2:$D$5001)*(Results!$M$2:$M$5001))/CS$70,0)</f>
        <v>0</v>
      </c>
      <c r="CT79" s="6">
        <f>IF(CT$70&gt;0,SUMPRODUCT((Results!$A$2:$A$5001=Schedule!CT$45)*(Results!$D$2:$D$5001)*(Results!$M$2:$M$5001))/CT$70,0)</f>
        <v>0</v>
      </c>
      <c r="CU79" s="6">
        <f>IF(CU$70&gt;0,SUMPRODUCT((Results!$A$2:$A$5001=Schedule!CU$45)*(Results!$D$2:$D$5001)*(Results!$M$2:$M$5001))/CU$70,0)</f>
        <v>0</v>
      </c>
      <c r="CV79" s="6">
        <f>IF(CV$70&gt;0,SUMPRODUCT((Results!$A$2:$A$5001=Schedule!CV$45)*(Results!$D$2:$D$5001)*(Results!$M$2:$M$5001))/CV$70,0)</f>
        <v>0</v>
      </c>
      <c r="CW79" s="6">
        <f>IF(CW$70&gt;0,SUMPRODUCT((Results!$A$2:$A$5001=Schedule!CW$45)*(Results!$D$2:$D$5001)*(Results!$M$2:$M$5001))/CW$70,0)</f>
        <v>0</v>
      </c>
      <c r="CX79" s="6">
        <f>IF(CX$70&gt;0,SUMPRODUCT((Results!$A$2:$A$5001=Schedule!CX$45)*(Results!$D$2:$D$5001)*(Results!$M$2:$M$5001))/CX$70,0)</f>
        <v>0</v>
      </c>
      <c r="CY79" s="6">
        <f>IF(CY$70&gt;0,SUMPRODUCT((Results!$A$2:$A$5001=Schedule!CY$45)*(Results!$D$2:$D$5001)*(Results!$M$2:$M$5001))/CY$70,0)</f>
        <v>0</v>
      </c>
      <c r="CZ79" s="6">
        <f>IF(CZ$70&gt;0,SUMPRODUCT((Results!$A$2:$A$5001=Schedule!CZ$45)*(Results!$D$2:$D$5001)*(Results!$M$2:$M$5001))/CZ$70,0)</f>
        <v>0</v>
      </c>
      <c r="DA79" s="6">
        <f>IF(DA$70&gt;0,SUMPRODUCT((Results!$A$2:$A$5001=Schedule!DA$45)*(Results!$D$2:$D$5001)*(Results!$M$2:$M$5001))/DA$70,0)</f>
        <v>0</v>
      </c>
      <c r="DB79" s="6">
        <f>IF(DB$70&gt;0,SUMPRODUCT((Results!$A$2:$A$5001=Schedule!DB$45)*(Results!$D$2:$D$5001)*(Results!$M$2:$M$5001))/DB$70,0)</f>
        <v>0</v>
      </c>
      <c r="DC79" s="6">
        <f>IF(DC$70&gt;0,SUMPRODUCT((Results!$A$2:$A$5001=Schedule!DC$45)*(Results!$D$2:$D$5001)*(Results!$M$2:$M$5001))/DC$70,0)</f>
        <v>0</v>
      </c>
      <c r="DD79" s="6">
        <f>IF(DD$70&gt;0,SUMPRODUCT((Results!$A$2:$A$5001=Schedule!DD$45)*(Results!$D$2:$D$5001)*(Results!$M$2:$M$5001))/DD$70,0)</f>
        <v>0</v>
      </c>
      <c r="DE79" s="6">
        <f>IF(DE$70&gt;0,SUMPRODUCT((Results!$A$2:$A$5001=Schedule!DE$45)*(Results!$D$2:$D$5001)*(Results!$M$2:$M$5001))/DE$70,0)</f>
        <v>0</v>
      </c>
      <c r="DF79" s="6">
        <f>IF(DF$70&gt;0,SUMPRODUCT((Results!$A$2:$A$5001=Schedule!DF$45)*(Results!$D$2:$D$5001)*(Results!$M$2:$M$5001))/DF$70,0)</f>
        <v>0</v>
      </c>
      <c r="DG79" s="6">
        <f>IF(DG$70&gt;0,SUMPRODUCT((Results!$A$2:$A$5001=Schedule!DG$45)*(Results!$D$2:$D$5001)*(Results!$M$2:$M$5001))/DG$70,0)</f>
        <v>0</v>
      </c>
      <c r="DH79" s="6">
        <f>IF(DH$70&gt;0,SUMPRODUCT((Results!$A$2:$A$5001=Schedule!DH$45)*(Results!$D$2:$D$5001)*(Results!$M$2:$M$5001))/DH$70,0)</f>
        <v>0</v>
      </c>
      <c r="DI79" s="6">
        <f>IF(DI$70&gt;0,SUMPRODUCT((Results!$A$2:$A$5001=Schedule!DI$45)*(Results!$D$2:$D$5001)*(Results!$M$2:$M$5001))/DI$70,0)</f>
        <v>0</v>
      </c>
      <c r="DJ79" s="6">
        <f>IF(DJ$70&gt;0,SUMPRODUCT((Results!$A$2:$A$5001=Schedule!DJ$45)*(Results!$D$2:$D$5001)*(Results!$M$2:$M$5001))/DJ$70,0)</f>
        <v>0</v>
      </c>
      <c r="DK79" s="6">
        <f>IF(DK$70&gt;0,SUMPRODUCT((Results!$A$2:$A$5001=Schedule!DK$45)*(Results!$D$2:$D$5001)*(Results!$M$2:$M$5001))/DK$70,0)</f>
        <v>0</v>
      </c>
      <c r="DL79" s="6">
        <f>IF(DL$70&gt;0,SUMPRODUCT((Results!$A$2:$A$5001=Schedule!DL$45)*(Results!$D$2:$D$5001)*(Results!$M$2:$M$5001))/DL$70,0)</f>
        <v>0</v>
      </c>
      <c r="DM79" s="6">
        <f>IF(DM$70&gt;0,SUMPRODUCT((Results!$A$2:$A$5001=Schedule!DM$45)*(Results!$D$2:$D$5001)*(Results!$M$2:$M$5001))/DM$70,0)</f>
        <v>0</v>
      </c>
      <c r="DN79" s="6">
        <f>IF(DN$70&gt;0,SUMPRODUCT((Results!$A$2:$A$5001=Schedule!DN$45)*(Results!$D$2:$D$5001)*(Results!$M$2:$M$5001))/DN$70,0)</f>
        <v>0</v>
      </c>
      <c r="DO79" s="6">
        <f>IF(DO$70&gt;0,SUMPRODUCT((Results!$A$2:$A$5001=Schedule!DO$45)*(Results!$D$2:$D$5001)*(Results!$M$2:$M$5001))/DO$70,0)</f>
        <v>0</v>
      </c>
      <c r="DP79" s="6">
        <f>IF(DP$70&gt;0,SUMPRODUCT((Results!$A$2:$A$5001=Schedule!DP$45)*(Results!$D$2:$D$5001)*(Results!$M$2:$M$5001))/DP$70,0)</f>
        <v>0</v>
      </c>
      <c r="DQ79" s="6">
        <f>IF(DQ$70&gt;0,SUMPRODUCT((Results!$A$2:$A$5001=Schedule!DQ$45)*(Results!$D$2:$D$5001)*(Results!$M$2:$M$5001))/DQ$70,0)</f>
        <v>0</v>
      </c>
      <c r="DR79" s="6">
        <f>IF(DR$70&gt;0,SUMPRODUCT((Results!$A$2:$A$5001=Schedule!DR$45)*(Results!$D$2:$D$5001)*(Results!$M$2:$M$5001))/DR$70,0)</f>
        <v>0</v>
      </c>
      <c r="DS79" s="6">
        <f>IF(DS$70&gt;0,SUMPRODUCT((Results!$A$2:$A$5001=Schedule!DS$45)*(Results!$D$2:$D$5001)*(Results!$M$2:$M$5001))/DS$70,0)</f>
        <v>0</v>
      </c>
      <c r="DT79" s="6">
        <f>IF(DT$70&gt;0,SUMPRODUCT((Results!$A$2:$A$5001=Schedule!DT$45)*(Results!$D$2:$D$5001)*(Results!$M$2:$M$5001))/DT$70,0)</f>
        <v>0</v>
      </c>
      <c r="DU79" s="6">
        <f>IF(DU$70&gt;0,SUMPRODUCT((Results!$A$2:$A$5001=Schedule!DU$45)*(Results!$D$2:$D$5001)*(Results!$M$2:$M$5001))/DU$70,0)</f>
        <v>0</v>
      </c>
      <c r="DV79" s="6">
        <f>IF(DV$70&gt;0,SUMPRODUCT((Results!$A$2:$A$5001=Schedule!DV$45)*(Results!$D$2:$D$5001)*(Results!$M$2:$M$5001))/DV$70,0)</f>
        <v>0</v>
      </c>
      <c r="DW79" s="6">
        <f>IF(DW$70&gt;0,SUMPRODUCT((Results!$A$2:$A$5001=Schedule!DW$45)*(Results!$D$2:$D$5001)*(Results!$M$2:$M$5001))/DW$70,0)</f>
        <v>0</v>
      </c>
      <c r="DX79" s="6">
        <f>IF(DX$70&gt;0,SUMPRODUCT((Results!$A$2:$A$5001=Schedule!DX$45)*(Results!$D$2:$D$5001)*(Results!$M$2:$M$5001))/DX$70,0)</f>
        <v>0</v>
      </c>
      <c r="DY79" s="6">
        <f>IF(DY$70&gt;0,SUMPRODUCT((Results!$A$2:$A$5001=Schedule!DY$45)*(Results!$D$2:$D$5001)*(Results!$M$2:$M$5001))/DY$70,0)</f>
        <v>0</v>
      </c>
      <c r="DZ79" s="6">
        <f>IF(DZ$70&gt;0,SUMPRODUCT((Results!$A$2:$A$5001=Schedule!DZ$45)*(Results!$D$2:$D$5001)*(Results!$M$2:$M$5001))/DZ$70,0)</f>
        <v>0</v>
      </c>
      <c r="EA79" s="6">
        <f>IF(EA$70&gt;0,SUMPRODUCT((Results!$A$2:$A$5001=Schedule!EA$45)*(Results!$D$2:$D$5001)*(Results!$M$2:$M$5001))/EA$70,0)</f>
        <v>0</v>
      </c>
      <c r="EB79" s="6">
        <f>IF(EB$70&gt;0,SUMPRODUCT((Results!$A$2:$A$5001=Schedule!EB$45)*(Results!$D$2:$D$5001)*(Results!$M$2:$M$5001))/EB$70,0)</f>
        <v>0</v>
      </c>
      <c r="EC79" s="6">
        <f>IF(EC$70&gt;0,SUMPRODUCT((Results!$A$2:$A$5001=Schedule!EC$45)*(Results!$D$2:$D$5001)*(Results!$M$2:$M$5001))/EC$70,0)</f>
        <v>0</v>
      </c>
      <c r="ED79" s="6">
        <f>IF(ED$70&gt;0,SUMPRODUCT((Results!$A$2:$A$5001=Schedule!ED$45)*(Results!$D$2:$D$5001)*(Results!$M$2:$M$5001))/ED$70,0)</f>
        <v>0</v>
      </c>
      <c r="EE79" s="6">
        <f>IF(EE$70&gt;0,SUMPRODUCT((Results!$A$2:$A$5001=Schedule!EE$45)*(Results!$D$2:$D$5001)*(Results!$M$2:$M$5001))/EE$70,0)</f>
        <v>0</v>
      </c>
      <c r="EF79" s="6">
        <f>IF(EF$70&gt;0,SUMPRODUCT((Results!$A$2:$A$5001=Schedule!EF$45)*(Results!$D$2:$D$5001)*(Results!$M$2:$M$5001))/EF$70,0)</f>
        <v>0</v>
      </c>
      <c r="EG79" s="6">
        <f>IF(EG$70&gt;0,SUMPRODUCT((Results!$A$2:$A$5001=Schedule!EG$45)*(Results!$D$2:$D$5001)*(Results!$M$2:$M$5001))/EG$70,0)</f>
        <v>0</v>
      </c>
      <c r="EH79" s="6">
        <f>IF(EH$70&gt;0,SUMPRODUCT((Results!$A$2:$A$5001=Schedule!EH$45)*(Results!$D$2:$D$5001)*(Results!$M$2:$M$5001))/EH$70,0)</f>
        <v>0</v>
      </c>
      <c r="EI79" s="6">
        <f>IF(EI$70&gt;0,SUMPRODUCT((Results!$A$2:$A$5001=Schedule!EI$45)*(Results!$D$2:$D$5001)*(Results!$M$2:$M$5001))/EI$70,0)</f>
        <v>0</v>
      </c>
      <c r="EJ79" s="6">
        <f>IF(EJ$70&gt;0,SUMPRODUCT((Results!$A$2:$A$5001=Schedule!EJ$45)*(Results!$D$2:$D$5001)*(Results!$M$2:$M$5001))/EJ$70,0)</f>
        <v>0</v>
      </c>
      <c r="EK79" s="6">
        <f>IF(EK$70&gt;0,SUMPRODUCT((Results!$A$2:$A$5001=Schedule!EK$45)*(Results!$D$2:$D$5001)*(Results!$M$2:$M$5001))/EK$70,0)</f>
        <v>0</v>
      </c>
      <c r="EL79" s="6">
        <f>IF(EL$70&gt;0,SUMPRODUCT((Results!$A$2:$A$5001=Schedule!EL$45)*(Results!$D$2:$D$5001)*(Results!$M$2:$M$5001))/EL$70,0)</f>
        <v>0</v>
      </c>
      <c r="EM79" s="6">
        <f>IF(EM$70&gt;0,SUMPRODUCT((Results!$A$2:$A$5001=Schedule!EM$45)*(Results!$D$2:$D$5001)*(Results!$M$2:$M$5001))/EM$70,0)</f>
        <v>0</v>
      </c>
      <c r="EN79" s="6">
        <f>IF(EN$70&gt;0,SUMPRODUCT((Results!$A$2:$A$5001=Schedule!EN$45)*(Results!$D$2:$D$5001)*(Results!$M$2:$M$5001))/EN$70,0)</f>
        <v>0</v>
      </c>
      <c r="EO79" s="6">
        <f>IF(EO$70&gt;0,SUMPRODUCT((Results!$A$2:$A$5001=Schedule!EO$45)*(Results!$D$2:$D$5001)*(Results!$M$2:$M$5001))/EO$70,0)</f>
        <v>0</v>
      </c>
      <c r="EP79" s="6">
        <f>IF(EP$70&gt;0,SUMPRODUCT((Results!$A$2:$A$5001=Schedule!EP$45)*(Results!$D$2:$D$5001)*(Results!$M$2:$M$5001))/EP$70,0)</f>
        <v>0</v>
      </c>
      <c r="EQ79" s="6">
        <f>IF(EQ$70&gt;0,SUMPRODUCT((Results!$A$2:$A$5001=Schedule!EQ$45)*(Results!$D$2:$D$5001)*(Results!$M$2:$M$5001))/EQ$70,0)</f>
        <v>0</v>
      </c>
      <c r="ER79" s="6">
        <f>IF(ER$70&gt;0,SUMPRODUCT((Results!$A$2:$A$5001=Schedule!ER$45)*(Results!$D$2:$D$5001)*(Results!$M$2:$M$5001))/ER$70,0)</f>
        <v>0</v>
      </c>
      <c r="ES79" s="6">
        <f>IF(ES$70&gt;0,SUMPRODUCT((Results!$A$2:$A$5001=Schedule!ES$45)*(Results!$D$2:$D$5001)*(Results!$M$2:$M$5001))/ES$70,0)</f>
        <v>0</v>
      </c>
      <c r="ET79" s="6">
        <f>IF(ET$70&gt;0,SUMPRODUCT((Results!$A$2:$A$5001=Schedule!ET$45)*(Results!$D$2:$D$5001)*(Results!$M$2:$M$5001))/ET$70,0)</f>
        <v>0</v>
      </c>
      <c r="EU79" s="6">
        <f>IF(EU$70&gt;0,SUMPRODUCT((Results!$A$2:$A$5001=Schedule!EU$45)*(Results!$D$2:$D$5001)*(Results!$M$2:$M$5001))/EU$70,0)</f>
        <v>0</v>
      </c>
      <c r="EV79" s="6">
        <f>IF(EV$70&gt;0,SUMPRODUCT((Results!$A$2:$A$5001=Schedule!EV$45)*(Results!$D$2:$D$5001)*(Results!$M$2:$M$5001))/EV$70,0)</f>
        <v>0</v>
      </c>
      <c r="EW79" s="6">
        <f>IF(EW$70&gt;0,SUMPRODUCT((Results!$A$2:$A$5001=Schedule!EW$45)*(Results!$D$2:$D$5001)*(Results!$M$2:$M$5001))/EW$70,0)</f>
        <v>0</v>
      </c>
      <c r="EX79" s="6">
        <f>IF(EX$70&gt;0,SUMPRODUCT((Results!$A$2:$A$5001=Schedule!EX$45)*(Results!$D$2:$D$5001)*(Results!$M$2:$M$5001))/EX$70,0)</f>
        <v>0</v>
      </c>
      <c r="EY79" s="6">
        <f>IF(EY$70&gt;0,SUMPRODUCT((Results!$A$2:$A$5001=Schedule!EY$45)*(Results!$D$2:$D$5001)*(Results!$M$2:$M$5001))/EY$70,0)</f>
        <v>0</v>
      </c>
      <c r="EZ79" s="6">
        <f>IF(EZ$70&gt;0,SUMPRODUCT((Results!$A$2:$A$5001=Schedule!EZ$45)*(Results!$D$2:$D$5001)*(Results!$M$2:$M$5001))/EZ$70,0)</f>
        <v>0</v>
      </c>
      <c r="FA79" s="6">
        <f>IF(FA$70&gt;0,SUMPRODUCT((Results!$A$2:$A$5001=Schedule!FA$45)*(Results!$D$2:$D$5001)*(Results!$M$2:$M$5001))/FA$70,0)</f>
        <v>0</v>
      </c>
      <c r="FB79" s="6">
        <f>IF(FB$70&gt;0,SUMPRODUCT((Results!$A$2:$A$5001=Schedule!FB$45)*(Results!$D$2:$D$5001)*(Results!$M$2:$M$5001))/FB$70,0)</f>
        <v>0</v>
      </c>
      <c r="FC79" s="6">
        <f>IF(FC$70&gt;0,SUMPRODUCT((Results!$A$2:$A$5001=Schedule!FC$45)*(Results!$D$2:$D$5001)*(Results!$M$2:$M$5001))/FC$70,0)</f>
        <v>0</v>
      </c>
      <c r="FD79" s="6">
        <f>IF(FD$70&gt;0,SUMPRODUCT((Results!$A$2:$A$5001=Schedule!FD$45)*(Results!$D$2:$D$5001)*(Results!$M$2:$M$5001))/FD$70,0)</f>
        <v>0</v>
      </c>
      <c r="FE79" s="6">
        <f>IF(FE$70&gt;0,SUMPRODUCT((Results!$A$2:$A$5001=Schedule!FE$45)*(Results!$D$2:$D$5001)*(Results!$M$2:$M$5001))/FE$70,0)</f>
        <v>0</v>
      </c>
      <c r="FF79" s="6">
        <f>IF(FF$70&gt;0,SUMPRODUCT((Results!$A$2:$A$5001=Schedule!FF$45)*(Results!$D$2:$D$5001)*(Results!$M$2:$M$5001))/FF$70,0)</f>
        <v>0</v>
      </c>
      <c r="FG79" s="6">
        <f>IF(FG$70&gt;0,SUMPRODUCT((Results!$A$2:$A$5001=Schedule!FG$45)*(Results!$D$2:$D$5001)*(Results!$M$2:$M$5001))/FG$70,0)</f>
        <v>0</v>
      </c>
      <c r="FH79" s="6">
        <f>IF(FH$70&gt;0,SUMPRODUCT((Results!$A$2:$A$5001=Schedule!FH$45)*(Results!$D$2:$D$5001)*(Results!$M$2:$M$5001))/FH$70,0)</f>
        <v>0</v>
      </c>
      <c r="FI79" s="6">
        <f>IF(FI$70&gt;0,SUMPRODUCT((Results!$A$2:$A$5001=Schedule!FI$45)*(Results!$D$2:$D$5001)*(Results!$M$2:$M$5001))/FI$70,0)</f>
        <v>0</v>
      </c>
      <c r="FJ79" s="6">
        <f>IF(FJ$70&gt;0,SUMPRODUCT((Results!$A$2:$A$5001=Schedule!FJ$45)*(Results!$D$2:$D$5001)*(Results!$M$2:$M$5001))/FJ$70,0)</f>
        <v>0</v>
      </c>
      <c r="FK79" s="6">
        <f>IF(FK$70&gt;0,SUMPRODUCT((Results!$A$2:$A$5001=Schedule!FK$45)*(Results!$D$2:$D$5001)*(Results!$M$2:$M$5001))/FK$70,0)</f>
        <v>0</v>
      </c>
      <c r="FL79" s="6">
        <f>IF(FL$70&gt;0,SUMPRODUCT((Results!$A$2:$A$5001=Schedule!FL$45)*(Results!$D$2:$D$5001)*(Results!$M$2:$M$5001))/FL$70,0)</f>
        <v>0</v>
      </c>
      <c r="FM79" s="6">
        <f>IF(FM$70&gt;0,SUMPRODUCT((Results!$A$2:$A$5001=Schedule!FM$45)*(Results!$D$2:$D$5001)*(Results!$M$2:$M$5001))/FM$70,0)</f>
        <v>0</v>
      </c>
      <c r="FN79" s="6">
        <f>IF(FN$70&gt;0,SUMPRODUCT((Results!$A$2:$A$5001=Schedule!FN$45)*(Results!$D$2:$D$5001)*(Results!$M$2:$M$5001))/FN$70,0)</f>
        <v>0</v>
      </c>
      <c r="FO79" s="6">
        <f>IF(FO$70&gt;0,SUMPRODUCT((Results!$A$2:$A$5001=Schedule!FO$45)*(Results!$D$2:$D$5001)*(Results!$M$2:$M$5001))/FO$70,0)</f>
        <v>0</v>
      </c>
      <c r="FP79" s="6">
        <f>IF(FP$70&gt;0,SUMPRODUCT((Results!$A$2:$A$5001=Schedule!FP$45)*(Results!$D$2:$D$5001)*(Results!$M$2:$M$5001))/FP$70,0)</f>
        <v>0</v>
      </c>
      <c r="FQ79" s="6">
        <f>IF(FQ$70&gt;0,SUMPRODUCT((Results!$A$2:$A$5001=Schedule!FQ$45)*(Results!$D$2:$D$5001)*(Results!$M$2:$M$5001))/FQ$70,0)</f>
        <v>0</v>
      </c>
      <c r="FR79" s="6">
        <f>IF(FR$70&gt;0,SUMPRODUCT((Results!$A$2:$A$5001=Schedule!FR$45)*(Results!$D$2:$D$5001)*(Results!$M$2:$M$5001))/FR$70,0)</f>
        <v>0</v>
      </c>
      <c r="FS79" s="6">
        <f>IF(FS$70&gt;0,SUMPRODUCT((Results!$A$2:$A$5001=Schedule!FS$45)*(Results!$D$2:$D$5001)*(Results!$M$2:$M$5001))/FS$70,0)</f>
        <v>0</v>
      </c>
      <c r="FT79" s="6">
        <f>IF(FT$70&gt;0,SUMPRODUCT((Results!$A$2:$A$5001=Schedule!FT$45)*(Results!$D$2:$D$5001)*(Results!$M$2:$M$5001))/FT$70,0)</f>
        <v>0</v>
      </c>
      <c r="FU79" s="6">
        <f>IF(FU$70&gt;0,SUMPRODUCT((Results!$A$2:$A$5001=Schedule!FU$45)*(Results!$D$2:$D$5001)*(Results!$M$2:$M$5001))/FU$70,0)</f>
        <v>0</v>
      </c>
      <c r="FV79" s="6">
        <f>IF(FV$70&gt;0,SUMPRODUCT((Results!$A$2:$A$5001=Schedule!FV$45)*(Results!$D$2:$D$5001)*(Results!$M$2:$M$5001))/FV$70,0)</f>
        <v>0</v>
      </c>
      <c r="FW79" s="6">
        <f>IF(FW$70&gt;0,SUMPRODUCT((Results!$A$2:$A$5001=Schedule!FW$45)*(Results!$D$2:$D$5001)*(Results!$M$2:$M$5001))/FW$70,0)</f>
        <v>0</v>
      </c>
      <c r="FX79" s="6">
        <f>IF(FX$70&gt;0,SUMPRODUCT((Results!$A$2:$A$5001=Schedule!FX$45)*(Results!$D$2:$D$5001)*(Results!$M$2:$M$5001))/FX$70,0)</f>
        <v>0</v>
      </c>
      <c r="FY79" s="6">
        <f>IF(FY$70&gt;0,SUMPRODUCT((Results!$A$2:$A$5001=Schedule!FY$45)*(Results!$D$2:$D$5001)*(Results!$M$2:$M$5001))/FY$70,0)</f>
        <v>0</v>
      </c>
      <c r="FZ79" s="6">
        <f>IF(FZ$70&gt;0,SUMPRODUCT((Results!$A$2:$A$5001=Schedule!FZ$45)*(Results!$D$2:$D$5001)*(Results!$M$2:$M$5001))/FZ$70,0)</f>
        <v>0</v>
      </c>
      <c r="GA79" s="6">
        <f>IF(GA$70&gt;0,SUMPRODUCT((Results!$A$2:$A$5001=Schedule!GA$45)*(Results!$D$2:$D$5001)*(Results!$M$2:$M$5001))/GA$70,0)</f>
        <v>0</v>
      </c>
      <c r="GB79" s="6">
        <f>IF(GB$70&gt;0,SUMPRODUCT((Results!$A$2:$A$5001=Schedule!GB$45)*(Results!$D$2:$D$5001)*(Results!$M$2:$M$5001))/GB$70,0)</f>
        <v>0</v>
      </c>
      <c r="GC79" s="6">
        <f>IF(GC$70&gt;0,SUMPRODUCT((Results!$A$2:$A$5001=Schedule!GC$45)*(Results!$D$2:$D$5001)*(Results!$M$2:$M$5001))/GC$70,0)</f>
        <v>0</v>
      </c>
      <c r="GD79" s="6">
        <f>IF(GD$70&gt;0,SUMPRODUCT((Results!$A$2:$A$5001=Schedule!GD$45)*(Results!$D$2:$D$5001)*(Results!$M$2:$M$5001))/GD$70,0)</f>
        <v>0</v>
      </c>
      <c r="GE79" s="6">
        <f>IF(GE$70&gt;0,SUMPRODUCT((Results!$A$2:$A$5001=Schedule!GE$45)*(Results!$D$2:$D$5001)*(Results!$M$2:$M$5001))/GE$70,0)</f>
        <v>0</v>
      </c>
      <c r="GF79" s="6">
        <f>IF(GF$70&gt;0,SUMPRODUCT((Results!$A$2:$A$5001=Schedule!GF$45)*(Results!$D$2:$D$5001)*(Results!$M$2:$M$5001))/GF$70,0)</f>
        <v>0</v>
      </c>
      <c r="GG79" s="6">
        <f>IF(GG$70&gt;0,SUMPRODUCT((Results!$A$2:$A$5001=Schedule!GG$45)*(Results!$D$2:$D$5001)*(Results!$M$2:$M$5001))/GG$70,0)</f>
        <v>0</v>
      </c>
      <c r="GH79" s="6">
        <f>IF(GH$70&gt;0,SUMPRODUCT((Results!$A$2:$A$5001=Schedule!GH$45)*(Results!$D$2:$D$5001)*(Results!$M$2:$M$5001))/GH$70,0)</f>
        <v>0</v>
      </c>
      <c r="GI79" s="6">
        <f>IF(GI$70&gt;0,SUMPRODUCT((Results!$A$2:$A$5001=Schedule!GI$45)*(Results!$D$2:$D$5001)*(Results!$M$2:$M$5001))/GI$70,0)</f>
        <v>0</v>
      </c>
      <c r="GJ79" s="6">
        <f>IF(GJ$70&gt;0,SUMPRODUCT((Results!$A$2:$A$5001=Schedule!GJ$45)*(Results!$D$2:$D$5001)*(Results!$M$2:$M$5001))/GJ$70,0)</f>
        <v>0</v>
      </c>
      <c r="GK79" s="6">
        <f>IF(GK$70&gt;0,SUMPRODUCT((Results!$A$2:$A$5001=Schedule!GK$45)*(Results!$D$2:$D$5001)*(Results!$M$2:$M$5001))/GK$70,0)</f>
        <v>0</v>
      </c>
      <c r="GL79" s="6">
        <f>IF(GL$70&gt;0,SUMPRODUCT((Results!$A$2:$A$5001=Schedule!GL$45)*(Results!$D$2:$D$5001)*(Results!$M$2:$M$5001))/GL$70,0)</f>
        <v>0</v>
      </c>
      <c r="GM79" s="6">
        <f>IF(GM$70&gt;0,SUMPRODUCT((Results!$A$2:$A$5001=Schedule!GM$45)*(Results!$D$2:$D$5001)*(Results!$M$2:$M$5001))/GM$70,0)</f>
        <v>0</v>
      </c>
      <c r="GN79" s="6">
        <f>IF(GN$70&gt;0,SUMPRODUCT((Results!$A$2:$A$5001=Schedule!GN$45)*(Results!$D$2:$D$5001)*(Results!$M$2:$M$5001))/GN$70,0)</f>
        <v>0</v>
      </c>
      <c r="GO79" s="6">
        <f>IF(GO$70&gt;0,SUMPRODUCT((Results!$A$2:$A$5001=Schedule!GO$45)*(Results!$D$2:$D$5001)*(Results!$M$2:$M$5001))/GO$70,0)</f>
        <v>0</v>
      </c>
      <c r="GP79" s="6">
        <f>IF(GP$70&gt;0,SUMPRODUCT((Results!$A$2:$A$5001=Schedule!GP$45)*(Results!$D$2:$D$5001)*(Results!$M$2:$M$5001))/GP$70,0)</f>
        <v>0</v>
      </c>
      <c r="GQ79" s="6">
        <f>IF(GQ$70&gt;0,SUMPRODUCT((Results!$A$2:$A$5001=Schedule!GQ$45)*(Results!$D$2:$D$5001)*(Results!$M$2:$M$5001))/GQ$70,0)</f>
        <v>0</v>
      </c>
      <c r="GR79" s="6">
        <f>IF(GR$70&gt;0,SUMPRODUCT((Results!$A$2:$A$5001=Schedule!GR$45)*(Results!$D$2:$D$5001)*(Results!$M$2:$M$5001))/GR$70,0)</f>
        <v>0</v>
      </c>
      <c r="GS79" s="6">
        <f>IF(GS$70&gt;0,SUMPRODUCT((Results!$A$2:$A$5001=Schedule!GS$45)*(Results!$D$2:$D$5001)*(Results!$M$2:$M$5001))/GS$70,0)</f>
        <v>0</v>
      </c>
      <c r="GT79" s="6">
        <f>IF(GT$70&gt;0,SUMPRODUCT((Results!$A$2:$A$5001=Schedule!GT$45)*(Results!$D$2:$D$5001)*(Results!$M$2:$M$5001))/GT$70,0)</f>
        <v>0</v>
      </c>
      <c r="GU79" s="6">
        <f>IF(GU$70&gt;0,SUMPRODUCT((Results!$A$2:$A$5001=Schedule!GU$45)*(Results!$D$2:$D$5001)*(Results!$M$2:$M$5001))/GU$70,0)</f>
        <v>0</v>
      </c>
      <c r="GV79" s="6"/>
    </row>
    <row r="80" spans="1:204" ht="13.5" customHeight="1" x14ac:dyDescent="0.2">
      <c r="A80" s="40" t="str">
        <f t="shared" ref="A80:B80" si="38">A36</f>
        <v>FLAG3</v>
      </c>
      <c r="B80" s="40" t="str">
        <f t="shared" si="38"/>
        <v>Madoonga</v>
      </c>
      <c r="C80" s="6">
        <f>IF(C$70&gt;0,SUMPRODUCT((Results!$A$2:$A$5001=Schedule!C$45)*(Results!$D$2:$D$5001)*(Results!$N$2:$N$5001))/C$70,0)</f>
        <v>0.96810225474683531</v>
      </c>
      <c r="D80" s="6">
        <f>IF(D$70&gt;0,SUMPRODUCT((Results!$A$2:$A$5001=Schedule!D$45)*(Results!$D$2:$D$5001)*(Results!$N$2:$N$5001))/D$70,0)</f>
        <v>0.29717540526828767</v>
      </c>
      <c r="E80" s="6">
        <f>IF(E$70&gt;0,SUMPRODUCT((Results!$A$2:$A$5001=Schedule!E$45)*(Results!$D$2:$D$5001)*(Results!$N$2:$N$5001))/E$70,0)</f>
        <v>0.28701046027302923</v>
      </c>
      <c r="F80" s="6">
        <f>IF(F$70&gt;0,SUMPRODUCT((Results!$A$2:$A$5001=Schedule!F$45)*(Results!$D$2:$D$5001)*(Results!$N$2:$N$5001))/F$70,0)</f>
        <v>0.30721152922916689</v>
      </c>
      <c r="G80" s="6">
        <f>IF(G$70&gt;0,SUMPRODUCT((Results!$A$2:$A$5001=Schedule!G$45)*(Results!$D$2:$D$5001)*(Results!$N$2:$N$5001))/G$70,0)</f>
        <v>0.52331137060838795</v>
      </c>
      <c r="H80" s="6">
        <f>IF(H$70&gt;0,SUMPRODUCT((Results!$A$2:$A$5001=Schedule!H$45)*(Results!$D$2:$D$5001)*(Results!$N$2:$N$5001))/H$70,0)</f>
        <v>0.79124496009215828</v>
      </c>
      <c r="I80" s="6">
        <f>IF(I$70&gt;0,SUMPRODUCT((Results!$A$2:$A$5001=Schedule!I$45)*(Results!$D$2:$D$5001)*(Results!$N$2:$N$5001))/I$70,0)</f>
        <v>0</v>
      </c>
      <c r="J80" s="6">
        <f>IF(J$70&gt;0,SUMPRODUCT((Results!$A$2:$A$5001=Schedule!J$45)*(Results!$D$2:$D$5001)*(Results!$N$2:$N$5001))/J$70,0)</f>
        <v>0</v>
      </c>
      <c r="K80" s="6">
        <f>IF(K$70&gt;0,SUMPRODUCT((Results!$A$2:$A$5001=Schedule!K$45)*(Results!$D$2:$D$5001)*(Results!$N$2:$N$5001))/K$70,0)</f>
        <v>0</v>
      </c>
      <c r="L80" s="6">
        <f>IF(L$70&gt;0,SUMPRODUCT((Results!$A$2:$A$5001=Schedule!L$45)*(Results!$D$2:$D$5001)*(Results!$N$2:$N$5001))/L$70,0)</f>
        <v>0</v>
      </c>
      <c r="M80" s="6">
        <f>IF(M$70&gt;0,SUMPRODUCT((Results!$A$2:$A$5001=Schedule!M$45)*(Results!$D$2:$D$5001)*(Results!$N$2:$N$5001))/M$70,0)</f>
        <v>0</v>
      </c>
      <c r="N80" s="6">
        <f>IF(N$70&gt;0,SUMPRODUCT((Results!$A$2:$A$5001=Schedule!N$45)*(Results!$D$2:$D$5001)*(Results!$N$2:$N$5001))/N$70,0)</f>
        <v>0</v>
      </c>
      <c r="O80" s="6">
        <f>IF(O$70&gt;0,SUMPRODUCT((Results!$A$2:$A$5001=Schedule!O$45)*(Results!$D$2:$D$5001)*(Results!$N$2:$N$5001))/O$70,0)</f>
        <v>0</v>
      </c>
      <c r="P80" s="6">
        <f>IF(P$70&gt;0,SUMPRODUCT((Results!$A$2:$A$5001=Schedule!P$45)*(Results!$D$2:$D$5001)*(Results!$N$2:$N$5001))/P$70,0)</f>
        <v>0</v>
      </c>
      <c r="Q80" s="6">
        <f>IF(Q$70&gt;0,SUMPRODUCT((Results!$A$2:$A$5001=Schedule!Q$45)*(Results!$D$2:$D$5001)*(Results!$N$2:$N$5001))/Q$70,0)</f>
        <v>0</v>
      </c>
      <c r="R80" s="6">
        <f>IF(R$70&gt;0,SUMPRODUCT((Results!$A$2:$A$5001=Schedule!R$45)*(Results!$D$2:$D$5001)*(Results!$N$2:$N$5001))/R$70,0)</f>
        <v>0</v>
      </c>
      <c r="S80" s="6">
        <f>IF(S$70&gt;0,SUMPRODUCT((Results!$A$2:$A$5001=Schedule!S$45)*(Results!$D$2:$D$5001)*(Results!$N$2:$N$5001))/S$70,0)</f>
        <v>0</v>
      </c>
      <c r="T80" s="6">
        <f>IF(T$70&gt;0,SUMPRODUCT((Results!$A$2:$A$5001=Schedule!T$45)*(Results!$D$2:$D$5001)*(Results!$N$2:$N$5001))/T$70,0)</f>
        <v>0</v>
      </c>
      <c r="U80" s="6">
        <f>IF(U$70&gt;0,SUMPRODUCT((Results!$A$2:$A$5001=Schedule!U$45)*(Results!$D$2:$D$5001)*(Results!$N$2:$N$5001))/U$70,0)</f>
        <v>0</v>
      </c>
      <c r="V80" s="6">
        <f>IF(V$70&gt;0,SUMPRODUCT((Results!$A$2:$A$5001=Schedule!V$45)*(Results!$D$2:$D$5001)*(Results!$N$2:$N$5001))/V$70,0)</f>
        <v>0</v>
      </c>
      <c r="W80" s="6">
        <f>IF(W$70&gt;0,SUMPRODUCT((Results!$A$2:$A$5001=Schedule!W$45)*(Results!$D$2:$D$5001)*(Results!$N$2:$N$5001))/W$70,0)</f>
        <v>0</v>
      </c>
      <c r="X80" s="6">
        <f>IF(X$70&gt;0,SUMPRODUCT((Results!$A$2:$A$5001=Schedule!X$45)*(Results!$D$2:$D$5001)*(Results!$N$2:$N$5001))/X$70,0)</f>
        <v>0</v>
      </c>
      <c r="Y80" s="6">
        <f>IF(Y$70&gt;0,SUMPRODUCT((Results!$A$2:$A$5001=Schedule!Y$45)*(Results!$D$2:$D$5001)*(Results!$N$2:$N$5001))/Y$70,0)</f>
        <v>0</v>
      </c>
      <c r="Z80" s="6">
        <f>IF(Z$70&gt;0,SUMPRODUCT((Results!$A$2:$A$5001=Schedule!Z$45)*(Results!$D$2:$D$5001)*(Results!$N$2:$N$5001))/Z$70,0)</f>
        <v>0</v>
      </c>
      <c r="AA80" s="6">
        <f>IF(AA$70&gt;0,SUMPRODUCT((Results!$A$2:$A$5001=Schedule!AA$45)*(Results!$D$2:$D$5001)*(Results!$N$2:$N$5001))/AA$70,0)</f>
        <v>0</v>
      </c>
      <c r="AB80" s="6">
        <f>IF(AB$70&gt;0,SUMPRODUCT((Results!$A$2:$A$5001=Schedule!AB$45)*(Results!$D$2:$D$5001)*(Results!$N$2:$N$5001))/AB$70,0)</f>
        <v>0</v>
      </c>
      <c r="AC80" s="6">
        <f>IF(AC$70&gt;0,SUMPRODUCT((Results!$A$2:$A$5001=Schedule!AC$45)*(Results!$D$2:$D$5001)*(Results!$N$2:$N$5001))/AC$70,0)</f>
        <v>0</v>
      </c>
      <c r="AD80" s="6">
        <f>IF(AD$70&gt;0,SUMPRODUCT((Results!$A$2:$A$5001=Schedule!AD$45)*(Results!$D$2:$D$5001)*(Results!$N$2:$N$5001))/AD$70,0)</f>
        <v>0</v>
      </c>
      <c r="AE80" s="6">
        <f>IF(AE$70&gt;0,SUMPRODUCT((Results!$A$2:$A$5001=Schedule!AE$45)*(Results!$D$2:$D$5001)*(Results!$N$2:$N$5001))/AE$70,0)</f>
        <v>0</v>
      </c>
      <c r="AF80" s="6">
        <f>IF(AF$70&gt;0,SUMPRODUCT((Results!$A$2:$A$5001=Schedule!AF$45)*(Results!$D$2:$D$5001)*(Results!$N$2:$N$5001))/AF$70,0)</f>
        <v>0</v>
      </c>
      <c r="AG80" s="6">
        <f>IF(AG$70&gt;0,SUMPRODUCT((Results!$A$2:$A$5001=Schedule!AG$45)*(Results!$D$2:$D$5001)*(Results!$N$2:$N$5001))/AG$70,0)</f>
        <v>0</v>
      </c>
      <c r="AH80" s="6">
        <f>IF(AH$70&gt;0,SUMPRODUCT((Results!$A$2:$A$5001=Schedule!AH$45)*(Results!$D$2:$D$5001)*(Results!$N$2:$N$5001))/AH$70,0)</f>
        <v>0</v>
      </c>
      <c r="AI80" s="6">
        <f>IF(AI$70&gt;0,SUMPRODUCT((Results!$A$2:$A$5001=Schedule!AI$45)*(Results!$D$2:$D$5001)*(Results!$N$2:$N$5001))/AI$70,0)</f>
        <v>0</v>
      </c>
      <c r="AJ80" s="6">
        <f>IF(AJ$70&gt;0,SUMPRODUCT((Results!$A$2:$A$5001=Schedule!AJ$45)*(Results!$D$2:$D$5001)*(Results!$N$2:$N$5001))/AJ$70,0)</f>
        <v>0</v>
      </c>
      <c r="AK80" s="6">
        <f>IF(AK$70&gt;0,SUMPRODUCT((Results!$A$2:$A$5001=Schedule!AK$45)*(Results!$D$2:$D$5001)*(Results!$N$2:$N$5001))/AK$70,0)</f>
        <v>0</v>
      </c>
      <c r="AL80" s="6">
        <f>IF(AL$70&gt;0,SUMPRODUCT((Results!$A$2:$A$5001=Schedule!AL$45)*(Results!$D$2:$D$5001)*(Results!$N$2:$N$5001))/AL$70,0)</f>
        <v>0</v>
      </c>
      <c r="AM80" s="6">
        <f>IF(AM$70&gt;0,SUMPRODUCT((Results!$A$2:$A$5001=Schedule!AM$45)*(Results!$D$2:$D$5001)*(Results!$N$2:$N$5001))/AM$70,0)</f>
        <v>0</v>
      </c>
      <c r="AN80" s="6">
        <f>IF(AN$70&gt;0,SUMPRODUCT((Results!$A$2:$A$5001=Schedule!AN$45)*(Results!$D$2:$D$5001)*(Results!$N$2:$N$5001))/AN$70,0)</f>
        <v>0</v>
      </c>
      <c r="AO80" s="6">
        <f>IF(AO$70&gt;0,SUMPRODUCT((Results!$A$2:$A$5001=Schedule!AO$45)*(Results!$D$2:$D$5001)*(Results!$N$2:$N$5001))/AO$70,0)</f>
        <v>0</v>
      </c>
      <c r="AP80" s="6">
        <f>IF(AP$70&gt;0,SUMPRODUCT((Results!$A$2:$A$5001=Schedule!AP$45)*(Results!$D$2:$D$5001)*(Results!$N$2:$N$5001))/AP$70,0)</f>
        <v>0</v>
      </c>
      <c r="AQ80" s="6">
        <f>IF(AQ$70&gt;0,SUMPRODUCT((Results!$A$2:$A$5001=Schedule!AQ$45)*(Results!$D$2:$D$5001)*(Results!$N$2:$N$5001))/AQ$70,0)</f>
        <v>0</v>
      </c>
      <c r="AR80" s="6">
        <f>IF(AR$70&gt;0,SUMPRODUCT((Results!$A$2:$A$5001=Schedule!AR$45)*(Results!$D$2:$D$5001)*(Results!$N$2:$N$5001))/AR$70,0)</f>
        <v>0</v>
      </c>
      <c r="AS80" s="6">
        <f>IF(AS$70&gt;0,SUMPRODUCT((Results!$A$2:$A$5001=Schedule!AS$45)*(Results!$D$2:$D$5001)*(Results!$N$2:$N$5001))/AS$70,0)</f>
        <v>0</v>
      </c>
      <c r="AT80" s="6">
        <f>IF(AT$70&gt;0,SUMPRODUCT((Results!$A$2:$A$5001=Schedule!AT$45)*(Results!$D$2:$D$5001)*(Results!$N$2:$N$5001))/AT$70,0)</f>
        <v>0</v>
      </c>
      <c r="AU80" s="6">
        <f>IF(AU$70&gt;0,SUMPRODUCT((Results!$A$2:$A$5001=Schedule!AU$45)*(Results!$D$2:$D$5001)*(Results!$N$2:$N$5001))/AU$70,0)</f>
        <v>0</v>
      </c>
      <c r="AV80" s="6">
        <f>IF(AV$70&gt;0,SUMPRODUCT((Results!$A$2:$A$5001=Schedule!AV$45)*(Results!$D$2:$D$5001)*(Results!$N$2:$N$5001))/AV$70,0)</f>
        <v>0</v>
      </c>
      <c r="AW80" s="6">
        <f>IF(AW$70&gt;0,SUMPRODUCT((Results!$A$2:$A$5001=Schedule!AW$45)*(Results!$D$2:$D$5001)*(Results!$N$2:$N$5001))/AW$70,0)</f>
        <v>0</v>
      </c>
      <c r="AX80" s="6">
        <f>IF(AX$70&gt;0,SUMPRODUCT((Results!$A$2:$A$5001=Schedule!AX$45)*(Results!$D$2:$D$5001)*(Results!$N$2:$N$5001))/AX$70,0)</f>
        <v>0</v>
      </c>
      <c r="AY80" s="6">
        <f>IF(AY$70&gt;0,SUMPRODUCT((Results!$A$2:$A$5001=Schedule!AY$45)*(Results!$D$2:$D$5001)*(Results!$N$2:$N$5001))/AY$70,0)</f>
        <v>0</v>
      </c>
      <c r="AZ80" s="6">
        <f>IF(AZ$70&gt;0,SUMPRODUCT((Results!$A$2:$A$5001=Schedule!AZ$45)*(Results!$D$2:$D$5001)*(Results!$N$2:$N$5001))/AZ$70,0)</f>
        <v>0</v>
      </c>
      <c r="BA80" s="6">
        <f>IF(BA$70&gt;0,SUMPRODUCT((Results!$A$2:$A$5001=Schedule!BA$45)*(Results!$D$2:$D$5001)*(Results!$N$2:$N$5001))/BA$70,0)</f>
        <v>0</v>
      </c>
      <c r="BB80" s="6">
        <f>IF(BB$70&gt;0,SUMPRODUCT((Results!$A$2:$A$5001=Schedule!BB$45)*(Results!$D$2:$D$5001)*(Results!$N$2:$N$5001))/BB$70,0)</f>
        <v>0</v>
      </c>
      <c r="BC80" s="6">
        <f>IF(BC$70&gt;0,SUMPRODUCT((Results!$A$2:$A$5001=Schedule!BC$45)*(Results!$D$2:$D$5001)*(Results!$N$2:$N$5001))/BC$70,0)</f>
        <v>0</v>
      </c>
      <c r="BD80" s="6">
        <f>IF(BD$70&gt;0,SUMPRODUCT((Results!$A$2:$A$5001=Schedule!BD$45)*(Results!$D$2:$D$5001)*(Results!$N$2:$N$5001))/BD$70,0)</f>
        <v>0</v>
      </c>
      <c r="BE80" s="6">
        <f>IF(BE$70&gt;0,SUMPRODUCT((Results!$A$2:$A$5001=Schedule!BE$45)*(Results!$D$2:$D$5001)*(Results!$N$2:$N$5001))/BE$70,0)</f>
        <v>0</v>
      </c>
      <c r="BF80" s="6">
        <f>IF(BF$70&gt;0,SUMPRODUCT((Results!$A$2:$A$5001=Schedule!BF$45)*(Results!$D$2:$D$5001)*(Results!$N$2:$N$5001))/BF$70,0)</f>
        <v>0</v>
      </c>
      <c r="BG80" s="6">
        <f>IF(BG$70&gt;0,SUMPRODUCT((Results!$A$2:$A$5001=Schedule!BG$45)*(Results!$D$2:$D$5001)*(Results!$N$2:$N$5001))/BG$70,0)</f>
        <v>0</v>
      </c>
      <c r="BH80" s="6">
        <f>IF(BH$70&gt;0,SUMPRODUCT((Results!$A$2:$A$5001=Schedule!BH$45)*(Results!$D$2:$D$5001)*(Results!$N$2:$N$5001))/BH$70,0)</f>
        <v>0</v>
      </c>
      <c r="BI80" s="6">
        <f>IF(BI$70&gt;0,SUMPRODUCT((Results!$A$2:$A$5001=Schedule!BI$45)*(Results!$D$2:$D$5001)*(Results!$N$2:$N$5001))/BI$70,0)</f>
        <v>0</v>
      </c>
      <c r="BJ80" s="6">
        <f>IF(BJ$70&gt;0,SUMPRODUCT((Results!$A$2:$A$5001=Schedule!BJ$45)*(Results!$D$2:$D$5001)*(Results!$N$2:$N$5001))/BJ$70,0)</f>
        <v>0</v>
      </c>
      <c r="BK80" s="6">
        <f>IF(BK$70&gt;0,SUMPRODUCT((Results!$A$2:$A$5001=Schedule!BK$45)*(Results!$D$2:$D$5001)*(Results!$N$2:$N$5001))/BK$70,0)</f>
        <v>0</v>
      </c>
      <c r="BL80" s="6">
        <f>IF(BL$70&gt;0,SUMPRODUCT((Results!$A$2:$A$5001=Schedule!BL$45)*(Results!$D$2:$D$5001)*(Results!$N$2:$N$5001))/BL$70,0)</f>
        <v>0</v>
      </c>
      <c r="BM80" s="6">
        <f>IF(BM$70&gt;0,SUMPRODUCT((Results!$A$2:$A$5001=Schedule!BM$45)*(Results!$D$2:$D$5001)*(Results!$N$2:$N$5001))/BM$70,0)</f>
        <v>0</v>
      </c>
      <c r="BN80" s="6">
        <f>IF(BN$70&gt;0,SUMPRODUCT((Results!$A$2:$A$5001=Schedule!BN$45)*(Results!$D$2:$D$5001)*(Results!$N$2:$N$5001))/BN$70,0)</f>
        <v>0</v>
      </c>
      <c r="BO80" s="6">
        <f>IF(BO$70&gt;0,SUMPRODUCT((Results!$A$2:$A$5001=Schedule!BO$45)*(Results!$D$2:$D$5001)*(Results!$N$2:$N$5001))/BO$70,0)</f>
        <v>0</v>
      </c>
      <c r="BP80" s="6">
        <f>IF(BP$70&gt;0,SUMPRODUCT((Results!$A$2:$A$5001=Schedule!BP$45)*(Results!$D$2:$D$5001)*(Results!$N$2:$N$5001))/BP$70,0)</f>
        <v>0</v>
      </c>
      <c r="BQ80" s="6">
        <f>IF(BQ$70&gt;0,SUMPRODUCT((Results!$A$2:$A$5001=Schedule!BQ$45)*(Results!$D$2:$D$5001)*(Results!$N$2:$N$5001))/BQ$70,0)</f>
        <v>0</v>
      </c>
      <c r="BR80" s="6">
        <f>IF(BR$70&gt;0,SUMPRODUCT((Results!$A$2:$A$5001=Schedule!BR$45)*(Results!$D$2:$D$5001)*(Results!$N$2:$N$5001))/BR$70,0)</f>
        <v>0</v>
      </c>
      <c r="BS80" s="6">
        <f>IF(BS$70&gt;0,SUMPRODUCT((Results!$A$2:$A$5001=Schedule!BS$45)*(Results!$D$2:$D$5001)*(Results!$N$2:$N$5001))/BS$70,0)</f>
        <v>0</v>
      </c>
      <c r="BT80" s="6">
        <f>IF(BT$70&gt;0,SUMPRODUCT((Results!$A$2:$A$5001=Schedule!BT$45)*(Results!$D$2:$D$5001)*(Results!$N$2:$N$5001))/BT$70,0)</f>
        <v>0</v>
      </c>
      <c r="BU80" s="6">
        <f>IF(BU$70&gt;0,SUMPRODUCT((Results!$A$2:$A$5001=Schedule!BU$45)*(Results!$D$2:$D$5001)*(Results!$N$2:$N$5001))/BU$70,0)</f>
        <v>0</v>
      </c>
      <c r="BV80" s="6">
        <f>IF(BV$70&gt;0,SUMPRODUCT((Results!$A$2:$A$5001=Schedule!BV$45)*(Results!$D$2:$D$5001)*(Results!$N$2:$N$5001))/BV$70,0)</f>
        <v>0</v>
      </c>
      <c r="BW80" s="6">
        <f>IF(BW$70&gt;0,SUMPRODUCT((Results!$A$2:$A$5001=Schedule!BW$45)*(Results!$D$2:$D$5001)*(Results!$N$2:$N$5001))/BW$70,0)</f>
        <v>0</v>
      </c>
      <c r="BX80" s="6">
        <f>IF(BX$70&gt;0,SUMPRODUCT((Results!$A$2:$A$5001=Schedule!BX$45)*(Results!$D$2:$D$5001)*(Results!$N$2:$N$5001))/BX$70,0)</f>
        <v>0</v>
      </c>
      <c r="BY80" s="6">
        <f>IF(BY$70&gt;0,SUMPRODUCT((Results!$A$2:$A$5001=Schedule!BY$45)*(Results!$D$2:$D$5001)*(Results!$N$2:$N$5001))/BY$70,0)</f>
        <v>0</v>
      </c>
      <c r="BZ80" s="6">
        <f>IF(BZ$70&gt;0,SUMPRODUCT((Results!$A$2:$A$5001=Schedule!BZ$45)*(Results!$D$2:$D$5001)*(Results!$N$2:$N$5001))/BZ$70,0)</f>
        <v>0</v>
      </c>
      <c r="CA80" s="6">
        <f>IF(CA$70&gt;0,SUMPRODUCT((Results!$A$2:$A$5001=Schedule!CA$45)*(Results!$D$2:$D$5001)*(Results!$N$2:$N$5001))/CA$70,0)</f>
        <v>0</v>
      </c>
      <c r="CB80" s="6">
        <f>IF(CB$70&gt;0,SUMPRODUCT((Results!$A$2:$A$5001=Schedule!CB$45)*(Results!$D$2:$D$5001)*(Results!$N$2:$N$5001))/CB$70,0)</f>
        <v>0</v>
      </c>
      <c r="CC80" s="6">
        <f>IF(CC$70&gt;0,SUMPRODUCT((Results!$A$2:$A$5001=Schedule!CC$45)*(Results!$D$2:$D$5001)*(Results!$N$2:$N$5001))/CC$70,0)</f>
        <v>0</v>
      </c>
      <c r="CD80" s="6">
        <f>IF(CD$70&gt;0,SUMPRODUCT((Results!$A$2:$A$5001=Schedule!CD$45)*(Results!$D$2:$D$5001)*(Results!$N$2:$N$5001))/CD$70,0)</f>
        <v>0</v>
      </c>
      <c r="CE80" s="6">
        <f>IF(CE$70&gt;0,SUMPRODUCT((Results!$A$2:$A$5001=Schedule!CE$45)*(Results!$D$2:$D$5001)*(Results!$N$2:$N$5001))/CE$70,0)</f>
        <v>0</v>
      </c>
      <c r="CF80" s="6">
        <f>IF(CF$70&gt;0,SUMPRODUCT((Results!$A$2:$A$5001=Schedule!CF$45)*(Results!$D$2:$D$5001)*(Results!$N$2:$N$5001))/CF$70,0)</f>
        <v>0</v>
      </c>
      <c r="CG80" s="6">
        <f>IF(CG$70&gt;0,SUMPRODUCT((Results!$A$2:$A$5001=Schedule!CG$45)*(Results!$D$2:$D$5001)*(Results!$N$2:$N$5001))/CG$70,0)</f>
        <v>0</v>
      </c>
      <c r="CH80" s="6">
        <f>IF(CH$70&gt;0,SUMPRODUCT((Results!$A$2:$A$5001=Schedule!CH$45)*(Results!$D$2:$D$5001)*(Results!$N$2:$N$5001))/CH$70,0)</f>
        <v>0</v>
      </c>
      <c r="CI80" s="6">
        <f>IF(CI$70&gt;0,SUMPRODUCT((Results!$A$2:$A$5001=Schedule!CI$45)*(Results!$D$2:$D$5001)*(Results!$N$2:$N$5001))/CI$70,0)</f>
        <v>0</v>
      </c>
      <c r="CJ80" s="6">
        <f>IF(CJ$70&gt;0,SUMPRODUCT((Results!$A$2:$A$5001=Schedule!CJ$45)*(Results!$D$2:$D$5001)*(Results!$N$2:$N$5001))/CJ$70,0)</f>
        <v>0</v>
      </c>
      <c r="CK80" s="6">
        <f>IF(CK$70&gt;0,SUMPRODUCT((Results!$A$2:$A$5001=Schedule!CK$45)*(Results!$D$2:$D$5001)*(Results!$N$2:$N$5001))/CK$70,0)</f>
        <v>0</v>
      </c>
      <c r="CL80" s="6">
        <f>IF(CL$70&gt;0,SUMPRODUCT((Results!$A$2:$A$5001=Schedule!CL$45)*(Results!$D$2:$D$5001)*(Results!$N$2:$N$5001))/CL$70,0)</f>
        <v>0</v>
      </c>
      <c r="CM80" s="6">
        <f>IF(CM$70&gt;0,SUMPRODUCT((Results!$A$2:$A$5001=Schedule!CM$45)*(Results!$D$2:$D$5001)*(Results!$N$2:$N$5001))/CM$70,0)</f>
        <v>0</v>
      </c>
      <c r="CN80" s="6">
        <f>IF(CN$70&gt;0,SUMPRODUCT((Results!$A$2:$A$5001=Schedule!CN$45)*(Results!$D$2:$D$5001)*(Results!$N$2:$N$5001))/CN$70,0)</f>
        <v>0</v>
      </c>
      <c r="CO80" s="6">
        <f>IF(CO$70&gt;0,SUMPRODUCT((Results!$A$2:$A$5001=Schedule!CO$45)*(Results!$D$2:$D$5001)*(Results!$N$2:$N$5001))/CO$70,0)</f>
        <v>0</v>
      </c>
      <c r="CP80" s="6">
        <f>IF(CP$70&gt;0,SUMPRODUCT((Results!$A$2:$A$5001=Schedule!CP$45)*(Results!$D$2:$D$5001)*(Results!$N$2:$N$5001))/CP$70,0)</f>
        <v>0</v>
      </c>
      <c r="CQ80" s="6">
        <f>IF(CQ$70&gt;0,SUMPRODUCT((Results!$A$2:$A$5001=Schedule!CQ$45)*(Results!$D$2:$D$5001)*(Results!$N$2:$N$5001))/CQ$70,0)</f>
        <v>0</v>
      </c>
      <c r="CR80" s="6">
        <f>IF(CR$70&gt;0,SUMPRODUCT((Results!$A$2:$A$5001=Schedule!CR$45)*(Results!$D$2:$D$5001)*(Results!$N$2:$N$5001))/CR$70,0)</f>
        <v>0</v>
      </c>
      <c r="CS80" s="6">
        <f>IF(CS$70&gt;0,SUMPRODUCT((Results!$A$2:$A$5001=Schedule!CS$45)*(Results!$D$2:$D$5001)*(Results!$N$2:$N$5001))/CS$70,0)</f>
        <v>0</v>
      </c>
      <c r="CT80" s="6">
        <f>IF(CT$70&gt;0,SUMPRODUCT((Results!$A$2:$A$5001=Schedule!CT$45)*(Results!$D$2:$D$5001)*(Results!$N$2:$N$5001))/CT$70,0)</f>
        <v>0</v>
      </c>
      <c r="CU80" s="6">
        <f>IF(CU$70&gt;0,SUMPRODUCT((Results!$A$2:$A$5001=Schedule!CU$45)*(Results!$D$2:$D$5001)*(Results!$N$2:$N$5001))/CU$70,0)</f>
        <v>0</v>
      </c>
      <c r="CV80" s="6">
        <f>IF(CV$70&gt;0,SUMPRODUCT((Results!$A$2:$A$5001=Schedule!CV$45)*(Results!$D$2:$D$5001)*(Results!$N$2:$N$5001))/CV$70,0)</f>
        <v>0</v>
      </c>
      <c r="CW80" s="6">
        <f>IF(CW$70&gt;0,SUMPRODUCT((Results!$A$2:$A$5001=Schedule!CW$45)*(Results!$D$2:$D$5001)*(Results!$N$2:$N$5001))/CW$70,0)</f>
        <v>0</v>
      </c>
      <c r="CX80" s="6">
        <f>IF(CX$70&gt;0,SUMPRODUCT((Results!$A$2:$A$5001=Schedule!CX$45)*(Results!$D$2:$D$5001)*(Results!$N$2:$N$5001))/CX$70,0)</f>
        <v>0</v>
      </c>
      <c r="CY80" s="6">
        <f>IF(CY$70&gt;0,SUMPRODUCT((Results!$A$2:$A$5001=Schedule!CY$45)*(Results!$D$2:$D$5001)*(Results!$N$2:$N$5001))/CY$70,0)</f>
        <v>0</v>
      </c>
      <c r="CZ80" s="6">
        <f>IF(CZ$70&gt;0,SUMPRODUCT((Results!$A$2:$A$5001=Schedule!CZ$45)*(Results!$D$2:$D$5001)*(Results!$N$2:$N$5001))/CZ$70,0)</f>
        <v>0</v>
      </c>
      <c r="DA80" s="6">
        <f>IF(DA$70&gt;0,SUMPRODUCT((Results!$A$2:$A$5001=Schedule!DA$45)*(Results!$D$2:$D$5001)*(Results!$N$2:$N$5001))/DA$70,0)</f>
        <v>0</v>
      </c>
      <c r="DB80" s="6">
        <f>IF(DB$70&gt;0,SUMPRODUCT((Results!$A$2:$A$5001=Schedule!DB$45)*(Results!$D$2:$D$5001)*(Results!$N$2:$N$5001))/DB$70,0)</f>
        <v>0</v>
      </c>
      <c r="DC80" s="6">
        <f>IF(DC$70&gt;0,SUMPRODUCT((Results!$A$2:$A$5001=Schedule!DC$45)*(Results!$D$2:$D$5001)*(Results!$N$2:$N$5001))/DC$70,0)</f>
        <v>0</v>
      </c>
      <c r="DD80" s="6">
        <f>IF(DD$70&gt;0,SUMPRODUCT((Results!$A$2:$A$5001=Schedule!DD$45)*(Results!$D$2:$D$5001)*(Results!$N$2:$N$5001))/DD$70,0)</f>
        <v>0</v>
      </c>
      <c r="DE80" s="6">
        <f>IF(DE$70&gt;0,SUMPRODUCT((Results!$A$2:$A$5001=Schedule!DE$45)*(Results!$D$2:$D$5001)*(Results!$N$2:$N$5001))/DE$70,0)</f>
        <v>0</v>
      </c>
      <c r="DF80" s="6">
        <f>IF(DF$70&gt;0,SUMPRODUCT((Results!$A$2:$A$5001=Schedule!DF$45)*(Results!$D$2:$D$5001)*(Results!$N$2:$N$5001))/DF$70,0)</f>
        <v>0</v>
      </c>
      <c r="DG80" s="6">
        <f>IF(DG$70&gt;0,SUMPRODUCT((Results!$A$2:$A$5001=Schedule!DG$45)*(Results!$D$2:$D$5001)*(Results!$N$2:$N$5001))/DG$70,0)</f>
        <v>0</v>
      </c>
      <c r="DH80" s="6">
        <f>IF(DH$70&gt;0,SUMPRODUCT((Results!$A$2:$A$5001=Schedule!DH$45)*(Results!$D$2:$D$5001)*(Results!$N$2:$N$5001))/DH$70,0)</f>
        <v>0</v>
      </c>
      <c r="DI80" s="6">
        <f>IF(DI$70&gt;0,SUMPRODUCT((Results!$A$2:$A$5001=Schedule!DI$45)*(Results!$D$2:$D$5001)*(Results!$N$2:$N$5001))/DI$70,0)</f>
        <v>0</v>
      </c>
      <c r="DJ80" s="6">
        <f>IF(DJ$70&gt;0,SUMPRODUCT((Results!$A$2:$A$5001=Schedule!DJ$45)*(Results!$D$2:$D$5001)*(Results!$N$2:$N$5001))/DJ$70,0)</f>
        <v>0</v>
      </c>
      <c r="DK80" s="6">
        <f>IF(DK$70&gt;0,SUMPRODUCT((Results!$A$2:$A$5001=Schedule!DK$45)*(Results!$D$2:$D$5001)*(Results!$N$2:$N$5001))/DK$70,0)</f>
        <v>0</v>
      </c>
      <c r="DL80" s="6">
        <f>IF(DL$70&gt;0,SUMPRODUCT((Results!$A$2:$A$5001=Schedule!DL$45)*(Results!$D$2:$D$5001)*(Results!$N$2:$N$5001))/DL$70,0)</f>
        <v>0</v>
      </c>
      <c r="DM80" s="6">
        <f>IF(DM$70&gt;0,SUMPRODUCT((Results!$A$2:$A$5001=Schedule!DM$45)*(Results!$D$2:$D$5001)*(Results!$N$2:$N$5001))/DM$70,0)</f>
        <v>0</v>
      </c>
      <c r="DN80" s="6">
        <f>IF(DN$70&gt;0,SUMPRODUCT((Results!$A$2:$A$5001=Schedule!DN$45)*(Results!$D$2:$D$5001)*(Results!$N$2:$N$5001))/DN$70,0)</f>
        <v>0</v>
      </c>
      <c r="DO80" s="6">
        <f>IF(DO$70&gt;0,SUMPRODUCT((Results!$A$2:$A$5001=Schedule!DO$45)*(Results!$D$2:$D$5001)*(Results!$N$2:$N$5001))/DO$70,0)</f>
        <v>0</v>
      </c>
      <c r="DP80" s="6">
        <f>IF(DP$70&gt;0,SUMPRODUCT((Results!$A$2:$A$5001=Schedule!DP$45)*(Results!$D$2:$D$5001)*(Results!$N$2:$N$5001))/DP$70,0)</f>
        <v>0</v>
      </c>
      <c r="DQ80" s="6">
        <f>IF(DQ$70&gt;0,SUMPRODUCT((Results!$A$2:$A$5001=Schedule!DQ$45)*(Results!$D$2:$D$5001)*(Results!$N$2:$N$5001))/DQ$70,0)</f>
        <v>0</v>
      </c>
      <c r="DR80" s="6">
        <f>IF(DR$70&gt;0,SUMPRODUCT((Results!$A$2:$A$5001=Schedule!DR$45)*(Results!$D$2:$D$5001)*(Results!$N$2:$N$5001))/DR$70,0)</f>
        <v>0</v>
      </c>
      <c r="DS80" s="6">
        <f>IF(DS$70&gt;0,SUMPRODUCT((Results!$A$2:$A$5001=Schedule!DS$45)*(Results!$D$2:$D$5001)*(Results!$N$2:$N$5001))/DS$70,0)</f>
        <v>0</v>
      </c>
      <c r="DT80" s="6">
        <f>IF(DT$70&gt;0,SUMPRODUCT((Results!$A$2:$A$5001=Schedule!DT$45)*(Results!$D$2:$D$5001)*(Results!$N$2:$N$5001))/DT$70,0)</f>
        <v>0</v>
      </c>
      <c r="DU80" s="6">
        <f>IF(DU$70&gt;0,SUMPRODUCT((Results!$A$2:$A$5001=Schedule!DU$45)*(Results!$D$2:$D$5001)*(Results!$N$2:$N$5001))/DU$70,0)</f>
        <v>0</v>
      </c>
      <c r="DV80" s="6">
        <f>IF(DV$70&gt;0,SUMPRODUCT((Results!$A$2:$A$5001=Schedule!DV$45)*(Results!$D$2:$D$5001)*(Results!$N$2:$N$5001))/DV$70,0)</f>
        <v>0</v>
      </c>
      <c r="DW80" s="6">
        <f>IF(DW$70&gt;0,SUMPRODUCT((Results!$A$2:$A$5001=Schedule!DW$45)*(Results!$D$2:$D$5001)*(Results!$N$2:$N$5001))/DW$70,0)</f>
        <v>0</v>
      </c>
      <c r="DX80" s="6">
        <f>IF(DX$70&gt;0,SUMPRODUCT((Results!$A$2:$A$5001=Schedule!DX$45)*(Results!$D$2:$D$5001)*(Results!$N$2:$N$5001))/DX$70,0)</f>
        <v>0</v>
      </c>
      <c r="DY80" s="6">
        <f>IF(DY$70&gt;0,SUMPRODUCT((Results!$A$2:$A$5001=Schedule!DY$45)*(Results!$D$2:$D$5001)*(Results!$N$2:$N$5001))/DY$70,0)</f>
        <v>0</v>
      </c>
      <c r="DZ80" s="6">
        <f>IF(DZ$70&gt;0,SUMPRODUCT((Results!$A$2:$A$5001=Schedule!DZ$45)*(Results!$D$2:$D$5001)*(Results!$N$2:$N$5001))/DZ$70,0)</f>
        <v>0</v>
      </c>
      <c r="EA80" s="6">
        <f>IF(EA$70&gt;0,SUMPRODUCT((Results!$A$2:$A$5001=Schedule!EA$45)*(Results!$D$2:$D$5001)*(Results!$N$2:$N$5001))/EA$70,0)</f>
        <v>0</v>
      </c>
      <c r="EB80" s="6">
        <f>IF(EB$70&gt;0,SUMPRODUCT((Results!$A$2:$A$5001=Schedule!EB$45)*(Results!$D$2:$D$5001)*(Results!$N$2:$N$5001))/EB$70,0)</f>
        <v>0</v>
      </c>
      <c r="EC80" s="6">
        <f>IF(EC$70&gt;0,SUMPRODUCT((Results!$A$2:$A$5001=Schedule!EC$45)*(Results!$D$2:$D$5001)*(Results!$N$2:$N$5001))/EC$70,0)</f>
        <v>0</v>
      </c>
      <c r="ED80" s="6">
        <f>IF(ED$70&gt;0,SUMPRODUCT((Results!$A$2:$A$5001=Schedule!ED$45)*(Results!$D$2:$D$5001)*(Results!$N$2:$N$5001))/ED$70,0)</f>
        <v>0</v>
      </c>
      <c r="EE80" s="6">
        <f>IF(EE$70&gt;0,SUMPRODUCT((Results!$A$2:$A$5001=Schedule!EE$45)*(Results!$D$2:$D$5001)*(Results!$N$2:$N$5001))/EE$70,0)</f>
        <v>0</v>
      </c>
      <c r="EF80" s="6">
        <f>IF(EF$70&gt;0,SUMPRODUCT((Results!$A$2:$A$5001=Schedule!EF$45)*(Results!$D$2:$D$5001)*(Results!$N$2:$N$5001))/EF$70,0)</f>
        <v>0</v>
      </c>
      <c r="EG80" s="6">
        <f>IF(EG$70&gt;0,SUMPRODUCT((Results!$A$2:$A$5001=Schedule!EG$45)*(Results!$D$2:$D$5001)*(Results!$N$2:$N$5001))/EG$70,0)</f>
        <v>0</v>
      </c>
      <c r="EH80" s="6">
        <f>IF(EH$70&gt;0,SUMPRODUCT((Results!$A$2:$A$5001=Schedule!EH$45)*(Results!$D$2:$D$5001)*(Results!$N$2:$N$5001))/EH$70,0)</f>
        <v>0</v>
      </c>
      <c r="EI80" s="6">
        <f>IF(EI$70&gt;0,SUMPRODUCT((Results!$A$2:$A$5001=Schedule!EI$45)*(Results!$D$2:$D$5001)*(Results!$N$2:$N$5001))/EI$70,0)</f>
        <v>0</v>
      </c>
      <c r="EJ80" s="6">
        <f>IF(EJ$70&gt;0,SUMPRODUCT((Results!$A$2:$A$5001=Schedule!EJ$45)*(Results!$D$2:$D$5001)*(Results!$N$2:$N$5001))/EJ$70,0)</f>
        <v>0</v>
      </c>
      <c r="EK80" s="6">
        <f>IF(EK$70&gt;0,SUMPRODUCT((Results!$A$2:$A$5001=Schedule!EK$45)*(Results!$D$2:$D$5001)*(Results!$N$2:$N$5001))/EK$70,0)</f>
        <v>0</v>
      </c>
      <c r="EL80" s="6">
        <f>IF(EL$70&gt;0,SUMPRODUCT((Results!$A$2:$A$5001=Schedule!EL$45)*(Results!$D$2:$D$5001)*(Results!$N$2:$N$5001))/EL$70,0)</f>
        <v>0</v>
      </c>
      <c r="EM80" s="6">
        <f>IF(EM$70&gt;0,SUMPRODUCT((Results!$A$2:$A$5001=Schedule!EM$45)*(Results!$D$2:$D$5001)*(Results!$N$2:$N$5001))/EM$70,0)</f>
        <v>0</v>
      </c>
      <c r="EN80" s="6">
        <f>IF(EN$70&gt;0,SUMPRODUCT((Results!$A$2:$A$5001=Schedule!EN$45)*(Results!$D$2:$D$5001)*(Results!$N$2:$N$5001))/EN$70,0)</f>
        <v>0</v>
      </c>
      <c r="EO80" s="6">
        <f>IF(EO$70&gt;0,SUMPRODUCT((Results!$A$2:$A$5001=Schedule!EO$45)*(Results!$D$2:$D$5001)*(Results!$N$2:$N$5001))/EO$70,0)</f>
        <v>0</v>
      </c>
      <c r="EP80" s="6">
        <f>IF(EP$70&gt;0,SUMPRODUCT((Results!$A$2:$A$5001=Schedule!EP$45)*(Results!$D$2:$D$5001)*(Results!$N$2:$N$5001))/EP$70,0)</f>
        <v>0</v>
      </c>
      <c r="EQ80" s="6">
        <f>IF(EQ$70&gt;0,SUMPRODUCT((Results!$A$2:$A$5001=Schedule!EQ$45)*(Results!$D$2:$D$5001)*(Results!$N$2:$N$5001))/EQ$70,0)</f>
        <v>0</v>
      </c>
      <c r="ER80" s="6">
        <f>IF(ER$70&gt;0,SUMPRODUCT((Results!$A$2:$A$5001=Schedule!ER$45)*(Results!$D$2:$D$5001)*(Results!$N$2:$N$5001))/ER$70,0)</f>
        <v>0</v>
      </c>
      <c r="ES80" s="6">
        <f>IF(ES$70&gt;0,SUMPRODUCT((Results!$A$2:$A$5001=Schedule!ES$45)*(Results!$D$2:$D$5001)*(Results!$N$2:$N$5001))/ES$70,0)</f>
        <v>0</v>
      </c>
      <c r="ET80" s="6">
        <f>IF(ET$70&gt;0,SUMPRODUCT((Results!$A$2:$A$5001=Schedule!ET$45)*(Results!$D$2:$D$5001)*(Results!$N$2:$N$5001))/ET$70,0)</f>
        <v>0</v>
      </c>
      <c r="EU80" s="6">
        <f>IF(EU$70&gt;0,SUMPRODUCT((Results!$A$2:$A$5001=Schedule!EU$45)*(Results!$D$2:$D$5001)*(Results!$N$2:$N$5001))/EU$70,0)</f>
        <v>0</v>
      </c>
      <c r="EV80" s="6">
        <f>IF(EV$70&gt;0,SUMPRODUCT((Results!$A$2:$A$5001=Schedule!EV$45)*(Results!$D$2:$D$5001)*(Results!$N$2:$N$5001))/EV$70,0)</f>
        <v>0</v>
      </c>
      <c r="EW80" s="6">
        <f>IF(EW$70&gt;0,SUMPRODUCT((Results!$A$2:$A$5001=Schedule!EW$45)*(Results!$D$2:$D$5001)*(Results!$N$2:$N$5001))/EW$70,0)</f>
        <v>0</v>
      </c>
      <c r="EX80" s="6">
        <f>IF(EX$70&gt;0,SUMPRODUCT((Results!$A$2:$A$5001=Schedule!EX$45)*(Results!$D$2:$D$5001)*(Results!$N$2:$N$5001))/EX$70,0)</f>
        <v>0</v>
      </c>
      <c r="EY80" s="6">
        <f>IF(EY$70&gt;0,SUMPRODUCT((Results!$A$2:$A$5001=Schedule!EY$45)*(Results!$D$2:$D$5001)*(Results!$N$2:$N$5001))/EY$70,0)</f>
        <v>0</v>
      </c>
      <c r="EZ80" s="6">
        <f>IF(EZ$70&gt;0,SUMPRODUCT((Results!$A$2:$A$5001=Schedule!EZ$45)*(Results!$D$2:$D$5001)*(Results!$N$2:$N$5001))/EZ$70,0)</f>
        <v>0</v>
      </c>
      <c r="FA80" s="6">
        <f>IF(FA$70&gt;0,SUMPRODUCT((Results!$A$2:$A$5001=Schedule!FA$45)*(Results!$D$2:$D$5001)*(Results!$N$2:$N$5001))/FA$70,0)</f>
        <v>0</v>
      </c>
      <c r="FB80" s="6">
        <f>IF(FB$70&gt;0,SUMPRODUCT((Results!$A$2:$A$5001=Schedule!FB$45)*(Results!$D$2:$D$5001)*(Results!$N$2:$N$5001))/FB$70,0)</f>
        <v>0</v>
      </c>
      <c r="FC80" s="6">
        <f>IF(FC$70&gt;0,SUMPRODUCT((Results!$A$2:$A$5001=Schedule!FC$45)*(Results!$D$2:$D$5001)*(Results!$N$2:$N$5001))/FC$70,0)</f>
        <v>0</v>
      </c>
      <c r="FD80" s="6">
        <f>IF(FD$70&gt;0,SUMPRODUCT((Results!$A$2:$A$5001=Schedule!FD$45)*(Results!$D$2:$D$5001)*(Results!$N$2:$N$5001))/FD$70,0)</f>
        <v>0</v>
      </c>
      <c r="FE80" s="6">
        <f>IF(FE$70&gt;0,SUMPRODUCT((Results!$A$2:$A$5001=Schedule!FE$45)*(Results!$D$2:$D$5001)*(Results!$N$2:$N$5001))/FE$70,0)</f>
        <v>0</v>
      </c>
      <c r="FF80" s="6">
        <f>IF(FF$70&gt;0,SUMPRODUCT((Results!$A$2:$A$5001=Schedule!FF$45)*(Results!$D$2:$D$5001)*(Results!$N$2:$N$5001))/FF$70,0)</f>
        <v>0</v>
      </c>
      <c r="FG80" s="6">
        <f>IF(FG$70&gt;0,SUMPRODUCT((Results!$A$2:$A$5001=Schedule!FG$45)*(Results!$D$2:$D$5001)*(Results!$N$2:$N$5001))/FG$70,0)</f>
        <v>0</v>
      </c>
      <c r="FH80" s="6">
        <f>IF(FH$70&gt;0,SUMPRODUCT((Results!$A$2:$A$5001=Schedule!FH$45)*(Results!$D$2:$D$5001)*(Results!$N$2:$N$5001))/FH$70,0)</f>
        <v>0</v>
      </c>
      <c r="FI80" s="6">
        <f>IF(FI$70&gt;0,SUMPRODUCT((Results!$A$2:$A$5001=Schedule!FI$45)*(Results!$D$2:$D$5001)*(Results!$N$2:$N$5001))/FI$70,0)</f>
        <v>0</v>
      </c>
      <c r="FJ80" s="6">
        <f>IF(FJ$70&gt;0,SUMPRODUCT((Results!$A$2:$A$5001=Schedule!FJ$45)*(Results!$D$2:$D$5001)*(Results!$N$2:$N$5001))/FJ$70,0)</f>
        <v>0</v>
      </c>
      <c r="FK80" s="6">
        <f>IF(FK$70&gt;0,SUMPRODUCT((Results!$A$2:$A$5001=Schedule!FK$45)*(Results!$D$2:$D$5001)*(Results!$N$2:$N$5001))/FK$70,0)</f>
        <v>0</v>
      </c>
      <c r="FL80" s="6">
        <f>IF(FL$70&gt;0,SUMPRODUCT((Results!$A$2:$A$5001=Schedule!FL$45)*(Results!$D$2:$D$5001)*(Results!$N$2:$N$5001))/FL$70,0)</f>
        <v>0</v>
      </c>
      <c r="FM80" s="6">
        <f>IF(FM$70&gt;0,SUMPRODUCT((Results!$A$2:$A$5001=Schedule!FM$45)*(Results!$D$2:$D$5001)*(Results!$N$2:$N$5001))/FM$70,0)</f>
        <v>0</v>
      </c>
      <c r="FN80" s="6">
        <f>IF(FN$70&gt;0,SUMPRODUCT((Results!$A$2:$A$5001=Schedule!FN$45)*(Results!$D$2:$D$5001)*(Results!$N$2:$N$5001))/FN$70,0)</f>
        <v>0</v>
      </c>
      <c r="FO80" s="6">
        <f>IF(FO$70&gt;0,SUMPRODUCT((Results!$A$2:$A$5001=Schedule!FO$45)*(Results!$D$2:$D$5001)*(Results!$N$2:$N$5001))/FO$70,0)</f>
        <v>0</v>
      </c>
      <c r="FP80" s="6">
        <f>IF(FP$70&gt;0,SUMPRODUCT((Results!$A$2:$A$5001=Schedule!FP$45)*(Results!$D$2:$D$5001)*(Results!$N$2:$N$5001))/FP$70,0)</f>
        <v>0</v>
      </c>
      <c r="FQ80" s="6">
        <f>IF(FQ$70&gt;0,SUMPRODUCT((Results!$A$2:$A$5001=Schedule!FQ$45)*(Results!$D$2:$D$5001)*(Results!$N$2:$N$5001))/FQ$70,0)</f>
        <v>0</v>
      </c>
      <c r="FR80" s="6">
        <f>IF(FR$70&gt;0,SUMPRODUCT((Results!$A$2:$A$5001=Schedule!FR$45)*(Results!$D$2:$D$5001)*(Results!$N$2:$N$5001))/FR$70,0)</f>
        <v>0</v>
      </c>
      <c r="FS80" s="6">
        <f>IF(FS$70&gt;0,SUMPRODUCT((Results!$A$2:$A$5001=Schedule!FS$45)*(Results!$D$2:$D$5001)*(Results!$N$2:$N$5001))/FS$70,0)</f>
        <v>0</v>
      </c>
      <c r="FT80" s="6">
        <f>IF(FT$70&gt;0,SUMPRODUCT((Results!$A$2:$A$5001=Schedule!FT$45)*(Results!$D$2:$D$5001)*(Results!$N$2:$N$5001))/FT$70,0)</f>
        <v>0</v>
      </c>
      <c r="FU80" s="6">
        <f>IF(FU$70&gt;0,SUMPRODUCT((Results!$A$2:$A$5001=Schedule!FU$45)*(Results!$D$2:$D$5001)*(Results!$N$2:$N$5001))/FU$70,0)</f>
        <v>0</v>
      </c>
      <c r="FV80" s="6">
        <f>IF(FV$70&gt;0,SUMPRODUCT((Results!$A$2:$A$5001=Schedule!FV$45)*(Results!$D$2:$D$5001)*(Results!$N$2:$N$5001))/FV$70,0)</f>
        <v>0</v>
      </c>
      <c r="FW80" s="6">
        <f>IF(FW$70&gt;0,SUMPRODUCT((Results!$A$2:$A$5001=Schedule!FW$45)*(Results!$D$2:$D$5001)*(Results!$N$2:$N$5001))/FW$70,0)</f>
        <v>0</v>
      </c>
      <c r="FX80" s="6">
        <f>IF(FX$70&gt;0,SUMPRODUCT((Results!$A$2:$A$5001=Schedule!FX$45)*(Results!$D$2:$D$5001)*(Results!$N$2:$N$5001))/FX$70,0)</f>
        <v>0</v>
      </c>
      <c r="FY80" s="6">
        <f>IF(FY$70&gt;0,SUMPRODUCT((Results!$A$2:$A$5001=Schedule!FY$45)*(Results!$D$2:$D$5001)*(Results!$N$2:$N$5001))/FY$70,0)</f>
        <v>0</v>
      </c>
      <c r="FZ80" s="6">
        <f>IF(FZ$70&gt;0,SUMPRODUCT((Results!$A$2:$A$5001=Schedule!FZ$45)*(Results!$D$2:$D$5001)*(Results!$N$2:$N$5001))/FZ$70,0)</f>
        <v>0</v>
      </c>
      <c r="GA80" s="6">
        <f>IF(GA$70&gt;0,SUMPRODUCT((Results!$A$2:$A$5001=Schedule!GA$45)*(Results!$D$2:$D$5001)*(Results!$N$2:$N$5001))/GA$70,0)</f>
        <v>0</v>
      </c>
      <c r="GB80" s="6">
        <f>IF(GB$70&gt;0,SUMPRODUCT((Results!$A$2:$A$5001=Schedule!GB$45)*(Results!$D$2:$D$5001)*(Results!$N$2:$N$5001))/GB$70,0)</f>
        <v>0</v>
      </c>
      <c r="GC80" s="6">
        <f>IF(GC$70&gt;0,SUMPRODUCT((Results!$A$2:$A$5001=Schedule!GC$45)*(Results!$D$2:$D$5001)*(Results!$N$2:$N$5001))/GC$70,0)</f>
        <v>0</v>
      </c>
      <c r="GD80" s="6">
        <f>IF(GD$70&gt;0,SUMPRODUCT((Results!$A$2:$A$5001=Schedule!GD$45)*(Results!$D$2:$D$5001)*(Results!$N$2:$N$5001))/GD$70,0)</f>
        <v>0</v>
      </c>
      <c r="GE80" s="6">
        <f>IF(GE$70&gt;0,SUMPRODUCT((Results!$A$2:$A$5001=Schedule!GE$45)*(Results!$D$2:$D$5001)*(Results!$N$2:$N$5001))/GE$70,0)</f>
        <v>0</v>
      </c>
      <c r="GF80" s="6">
        <f>IF(GF$70&gt;0,SUMPRODUCT((Results!$A$2:$A$5001=Schedule!GF$45)*(Results!$D$2:$D$5001)*(Results!$N$2:$N$5001))/GF$70,0)</f>
        <v>0</v>
      </c>
      <c r="GG80" s="6">
        <f>IF(GG$70&gt;0,SUMPRODUCT((Results!$A$2:$A$5001=Schedule!GG$45)*(Results!$D$2:$D$5001)*(Results!$N$2:$N$5001))/GG$70,0)</f>
        <v>0</v>
      </c>
      <c r="GH80" s="6">
        <f>IF(GH$70&gt;0,SUMPRODUCT((Results!$A$2:$A$5001=Schedule!GH$45)*(Results!$D$2:$D$5001)*(Results!$N$2:$N$5001))/GH$70,0)</f>
        <v>0</v>
      </c>
      <c r="GI80" s="6">
        <f>IF(GI$70&gt;0,SUMPRODUCT((Results!$A$2:$A$5001=Schedule!GI$45)*(Results!$D$2:$D$5001)*(Results!$N$2:$N$5001))/GI$70,0)</f>
        <v>0</v>
      </c>
      <c r="GJ80" s="6">
        <f>IF(GJ$70&gt;0,SUMPRODUCT((Results!$A$2:$A$5001=Schedule!GJ$45)*(Results!$D$2:$D$5001)*(Results!$N$2:$N$5001))/GJ$70,0)</f>
        <v>0</v>
      </c>
      <c r="GK80" s="6">
        <f>IF(GK$70&gt;0,SUMPRODUCT((Results!$A$2:$A$5001=Schedule!GK$45)*(Results!$D$2:$D$5001)*(Results!$N$2:$N$5001))/GK$70,0)</f>
        <v>0</v>
      </c>
      <c r="GL80" s="6">
        <f>IF(GL$70&gt;0,SUMPRODUCT((Results!$A$2:$A$5001=Schedule!GL$45)*(Results!$D$2:$D$5001)*(Results!$N$2:$N$5001))/GL$70,0)</f>
        <v>0</v>
      </c>
      <c r="GM80" s="6">
        <f>IF(GM$70&gt;0,SUMPRODUCT((Results!$A$2:$A$5001=Schedule!GM$45)*(Results!$D$2:$D$5001)*(Results!$N$2:$N$5001))/GM$70,0)</f>
        <v>0</v>
      </c>
      <c r="GN80" s="6">
        <f>IF(GN$70&gt;0,SUMPRODUCT((Results!$A$2:$A$5001=Schedule!GN$45)*(Results!$D$2:$D$5001)*(Results!$N$2:$N$5001))/GN$70,0)</f>
        <v>0</v>
      </c>
      <c r="GO80" s="6">
        <f>IF(GO$70&gt;0,SUMPRODUCT((Results!$A$2:$A$5001=Schedule!GO$45)*(Results!$D$2:$D$5001)*(Results!$N$2:$N$5001))/GO$70,0)</f>
        <v>0</v>
      </c>
      <c r="GP80" s="6">
        <f>IF(GP$70&gt;0,SUMPRODUCT((Results!$A$2:$A$5001=Schedule!GP$45)*(Results!$D$2:$D$5001)*(Results!$N$2:$N$5001))/GP$70,0)</f>
        <v>0</v>
      </c>
      <c r="GQ80" s="6">
        <f>IF(GQ$70&gt;0,SUMPRODUCT((Results!$A$2:$A$5001=Schedule!GQ$45)*(Results!$D$2:$D$5001)*(Results!$N$2:$N$5001))/GQ$70,0)</f>
        <v>0</v>
      </c>
      <c r="GR80" s="6">
        <f>IF(GR$70&gt;0,SUMPRODUCT((Results!$A$2:$A$5001=Schedule!GR$45)*(Results!$D$2:$D$5001)*(Results!$N$2:$N$5001))/GR$70,0)</f>
        <v>0</v>
      </c>
      <c r="GS80" s="6">
        <f>IF(GS$70&gt;0,SUMPRODUCT((Results!$A$2:$A$5001=Schedule!GS$45)*(Results!$D$2:$D$5001)*(Results!$N$2:$N$5001))/GS$70,0)</f>
        <v>0</v>
      </c>
      <c r="GT80" s="6">
        <f>IF(GT$70&gt;0,SUMPRODUCT((Results!$A$2:$A$5001=Schedule!GT$45)*(Results!$D$2:$D$5001)*(Results!$N$2:$N$5001))/GT$70,0)</f>
        <v>0</v>
      </c>
      <c r="GU80" s="6">
        <f>IF(GU$70&gt;0,SUMPRODUCT((Results!$A$2:$A$5001=Schedule!GU$45)*(Results!$D$2:$D$5001)*(Results!$N$2:$N$5001))/GU$70,0)</f>
        <v>0</v>
      </c>
      <c r="GV80" s="6"/>
    </row>
    <row r="81" spans="1:207" ht="13.5" customHeight="1" x14ac:dyDescent="0.2">
      <c r="A81" s="40" t="str">
        <f t="shared" ref="A81:B81" si="39">A37</f>
        <v>FLAG4</v>
      </c>
      <c r="B81" s="40" t="str">
        <f t="shared" si="39"/>
        <v>Beebyn</v>
      </c>
      <c r="C81" s="6">
        <f>IF(C$70&gt;0,SUMPRODUCT((Results!$A$2:$A$5001=Schedule!C$45)*(Results!$D$2:$D$5001)*(Results!$O$2:$O$5001))/C$70,0)</f>
        <v>3.1897745253164543E-2</v>
      </c>
      <c r="D81" s="6">
        <f>IF(D$70&gt;0,SUMPRODUCT((Results!$A$2:$A$5001=Schedule!D$45)*(Results!$D$2:$D$5001)*(Results!$O$2:$O$5001))/D$70,0)</f>
        <v>0.70282459473171244</v>
      </c>
      <c r="E81" s="6">
        <f>IF(E$70&gt;0,SUMPRODUCT((Results!$A$2:$A$5001=Schedule!E$45)*(Results!$D$2:$D$5001)*(Results!$O$2:$O$5001))/E$70,0)</f>
        <v>0.71298953972697066</v>
      </c>
      <c r="F81" s="6">
        <f>IF(F$70&gt;0,SUMPRODUCT((Results!$A$2:$A$5001=Schedule!F$45)*(Results!$D$2:$D$5001)*(Results!$O$2:$O$5001))/F$70,0)</f>
        <v>0.69278847077083305</v>
      </c>
      <c r="G81" s="6">
        <f>IF(G$70&gt;0,SUMPRODUCT((Results!$A$2:$A$5001=Schedule!G$45)*(Results!$D$2:$D$5001)*(Results!$O$2:$O$5001))/G$70,0)</f>
        <v>0.476688629391612</v>
      </c>
      <c r="H81" s="6">
        <f>IF(H$70&gt;0,SUMPRODUCT((Results!$A$2:$A$5001=Schedule!H$45)*(Results!$D$2:$D$5001)*(Results!$O$2:$O$5001))/H$70,0)</f>
        <v>0.20875503990784172</v>
      </c>
      <c r="I81" s="6">
        <f>IF(I$70&gt;0,SUMPRODUCT((Results!$A$2:$A$5001=Schedule!I$45)*(Results!$D$2:$D$5001)*(Results!$O$2:$O$5001))/I$70,0)</f>
        <v>0</v>
      </c>
      <c r="J81" s="6">
        <f>IF(J$70&gt;0,SUMPRODUCT((Results!$A$2:$A$5001=Schedule!J$45)*(Results!$D$2:$D$5001)*(Results!$O$2:$O$5001))/J$70,0)</f>
        <v>0</v>
      </c>
      <c r="K81" s="6">
        <f>IF(K$70&gt;0,SUMPRODUCT((Results!$A$2:$A$5001=Schedule!K$45)*(Results!$D$2:$D$5001)*(Results!$O$2:$O$5001))/K$70,0)</f>
        <v>0</v>
      </c>
      <c r="L81" s="6">
        <f>IF(L$70&gt;0,SUMPRODUCT((Results!$A$2:$A$5001=Schedule!L$45)*(Results!$D$2:$D$5001)*(Results!$O$2:$O$5001))/L$70,0)</f>
        <v>0</v>
      </c>
      <c r="M81" s="6">
        <f>IF(M$70&gt;0,SUMPRODUCT((Results!$A$2:$A$5001=Schedule!M$45)*(Results!$D$2:$D$5001)*(Results!$O$2:$O$5001))/M$70,0)</f>
        <v>0</v>
      </c>
      <c r="N81" s="6">
        <f>IF(N$70&gt;0,SUMPRODUCT((Results!$A$2:$A$5001=Schedule!N$45)*(Results!$D$2:$D$5001)*(Results!$O$2:$O$5001))/N$70,0)</f>
        <v>0</v>
      </c>
      <c r="O81" s="6">
        <f>IF(O$70&gt;0,SUMPRODUCT((Results!$A$2:$A$5001=Schedule!O$45)*(Results!$D$2:$D$5001)*(Results!$O$2:$O$5001))/O$70,0)</f>
        <v>0</v>
      </c>
      <c r="P81" s="6">
        <f>IF(P$70&gt;0,SUMPRODUCT((Results!$A$2:$A$5001=Schedule!P$45)*(Results!$D$2:$D$5001)*(Results!$O$2:$O$5001))/P$70,0)</f>
        <v>0</v>
      </c>
      <c r="Q81" s="6">
        <f>IF(Q$70&gt;0,SUMPRODUCT((Results!$A$2:$A$5001=Schedule!Q$45)*(Results!$D$2:$D$5001)*(Results!$O$2:$O$5001))/Q$70,0)</f>
        <v>0</v>
      </c>
      <c r="R81" s="6">
        <f>IF(R$70&gt;0,SUMPRODUCT((Results!$A$2:$A$5001=Schedule!R$45)*(Results!$D$2:$D$5001)*(Results!$O$2:$O$5001))/R$70,0)</f>
        <v>0</v>
      </c>
      <c r="S81" s="6">
        <f>IF(S$70&gt;0,SUMPRODUCT((Results!$A$2:$A$5001=Schedule!S$45)*(Results!$D$2:$D$5001)*(Results!$O$2:$O$5001))/S$70,0)</f>
        <v>0</v>
      </c>
      <c r="T81" s="6">
        <f>IF(T$70&gt;0,SUMPRODUCT((Results!$A$2:$A$5001=Schedule!T$45)*(Results!$D$2:$D$5001)*(Results!$O$2:$O$5001))/T$70,0)</f>
        <v>0</v>
      </c>
      <c r="U81" s="6">
        <f>IF(U$70&gt;0,SUMPRODUCT((Results!$A$2:$A$5001=Schedule!U$45)*(Results!$D$2:$D$5001)*(Results!$O$2:$O$5001))/U$70,0)</f>
        <v>0</v>
      </c>
      <c r="V81" s="6">
        <f>IF(V$70&gt;0,SUMPRODUCT((Results!$A$2:$A$5001=Schedule!V$45)*(Results!$D$2:$D$5001)*(Results!$O$2:$O$5001))/V$70,0)</f>
        <v>0</v>
      </c>
      <c r="W81" s="6">
        <f>IF(W$70&gt;0,SUMPRODUCT((Results!$A$2:$A$5001=Schedule!W$45)*(Results!$D$2:$D$5001)*(Results!$O$2:$O$5001))/W$70,0)</f>
        <v>0</v>
      </c>
      <c r="X81" s="6">
        <f>IF(X$70&gt;0,SUMPRODUCT((Results!$A$2:$A$5001=Schedule!X$45)*(Results!$D$2:$D$5001)*(Results!$O$2:$O$5001))/X$70,0)</f>
        <v>0</v>
      </c>
      <c r="Y81" s="6">
        <f>IF(Y$70&gt;0,SUMPRODUCT((Results!$A$2:$A$5001=Schedule!Y$45)*(Results!$D$2:$D$5001)*(Results!$O$2:$O$5001))/Y$70,0)</f>
        <v>0</v>
      </c>
      <c r="Z81" s="6">
        <f>IF(Z$70&gt;0,SUMPRODUCT((Results!$A$2:$A$5001=Schedule!Z$45)*(Results!$D$2:$D$5001)*(Results!$O$2:$O$5001))/Z$70,0)</f>
        <v>0</v>
      </c>
      <c r="AA81" s="6">
        <f>IF(AA$70&gt;0,SUMPRODUCT((Results!$A$2:$A$5001=Schedule!AA$45)*(Results!$D$2:$D$5001)*(Results!$O$2:$O$5001))/AA$70,0)</f>
        <v>0</v>
      </c>
      <c r="AB81" s="6">
        <f>IF(AB$70&gt;0,SUMPRODUCT((Results!$A$2:$A$5001=Schedule!AB$45)*(Results!$D$2:$D$5001)*(Results!$O$2:$O$5001))/AB$70,0)</f>
        <v>0</v>
      </c>
      <c r="AC81" s="6">
        <f>IF(AC$70&gt;0,SUMPRODUCT((Results!$A$2:$A$5001=Schedule!AC$45)*(Results!$D$2:$D$5001)*(Results!$O$2:$O$5001))/AC$70,0)</f>
        <v>0</v>
      </c>
      <c r="AD81" s="6">
        <f>IF(AD$70&gt;0,SUMPRODUCT((Results!$A$2:$A$5001=Schedule!AD$45)*(Results!$D$2:$D$5001)*(Results!$O$2:$O$5001))/AD$70,0)</f>
        <v>0</v>
      </c>
      <c r="AE81" s="6">
        <f>IF(AE$70&gt;0,SUMPRODUCT((Results!$A$2:$A$5001=Schedule!AE$45)*(Results!$D$2:$D$5001)*(Results!$O$2:$O$5001))/AE$70,0)</f>
        <v>0</v>
      </c>
      <c r="AF81" s="6">
        <f>IF(AF$70&gt;0,SUMPRODUCT((Results!$A$2:$A$5001=Schedule!AF$45)*(Results!$D$2:$D$5001)*(Results!$O$2:$O$5001))/AF$70,0)</f>
        <v>0</v>
      </c>
      <c r="AG81" s="6">
        <f>IF(AG$70&gt;0,SUMPRODUCT((Results!$A$2:$A$5001=Schedule!AG$45)*(Results!$D$2:$D$5001)*(Results!$O$2:$O$5001))/AG$70,0)</f>
        <v>0</v>
      </c>
      <c r="AH81" s="6">
        <f>IF(AH$70&gt;0,SUMPRODUCT((Results!$A$2:$A$5001=Schedule!AH$45)*(Results!$D$2:$D$5001)*(Results!$O$2:$O$5001))/AH$70,0)</f>
        <v>0</v>
      </c>
      <c r="AI81" s="6">
        <f>IF(AI$70&gt;0,SUMPRODUCT((Results!$A$2:$A$5001=Schedule!AI$45)*(Results!$D$2:$D$5001)*(Results!$O$2:$O$5001))/AI$70,0)</f>
        <v>0</v>
      </c>
      <c r="AJ81" s="6">
        <f>IF(AJ$70&gt;0,SUMPRODUCT((Results!$A$2:$A$5001=Schedule!AJ$45)*(Results!$D$2:$D$5001)*(Results!$O$2:$O$5001))/AJ$70,0)</f>
        <v>0</v>
      </c>
      <c r="AK81" s="6">
        <f>IF(AK$70&gt;0,SUMPRODUCT((Results!$A$2:$A$5001=Schedule!AK$45)*(Results!$D$2:$D$5001)*(Results!$O$2:$O$5001))/AK$70,0)</f>
        <v>0</v>
      </c>
      <c r="AL81" s="6">
        <f>IF(AL$70&gt;0,SUMPRODUCT((Results!$A$2:$A$5001=Schedule!AL$45)*(Results!$D$2:$D$5001)*(Results!$O$2:$O$5001))/AL$70,0)</f>
        <v>0</v>
      </c>
      <c r="AM81" s="6">
        <f>IF(AM$70&gt;0,SUMPRODUCT((Results!$A$2:$A$5001=Schedule!AM$45)*(Results!$D$2:$D$5001)*(Results!$O$2:$O$5001))/AM$70,0)</f>
        <v>0</v>
      </c>
      <c r="AN81" s="6">
        <f>IF(AN$70&gt;0,SUMPRODUCT((Results!$A$2:$A$5001=Schedule!AN$45)*(Results!$D$2:$D$5001)*(Results!$O$2:$O$5001))/AN$70,0)</f>
        <v>0</v>
      </c>
      <c r="AO81" s="6">
        <f>IF(AO$70&gt;0,SUMPRODUCT((Results!$A$2:$A$5001=Schedule!AO$45)*(Results!$D$2:$D$5001)*(Results!$O$2:$O$5001))/AO$70,0)</f>
        <v>0</v>
      </c>
      <c r="AP81" s="6">
        <f>IF(AP$70&gt;0,SUMPRODUCT((Results!$A$2:$A$5001=Schedule!AP$45)*(Results!$D$2:$D$5001)*(Results!$O$2:$O$5001))/AP$70,0)</f>
        <v>0</v>
      </c>
      <c r="AQ81" s="6">
        <f>IF(AQ$70&gt;0,SUMPRODUCT((Results!$A$2:$A$5001=Schedule!AQ$45)*(Results!$D$2:$D$5001)*(Results!$O$2:$O$5001))/AQ$70,0)</f>
        <v>0</v>
      </c>
      <c r="AR81" s="6">
        <f>IF(AR$70&gt;0,SUMPRODUCT((Results!$A$2:$A$5001=Schedule!AR$45)*(Results!$D$2:$D$5001)*(Results!$O$2:$O$5001))/AR$70,0)</f>
        <v>0</v>
      </c>
      <c r="AS81" s="6">
        <f>IF(AS$70&gt;0,SUMPRODUCT((Results!$A$2:$A$5001=Schedule!AS$45)*(Results!$D$2:$D$5001)*(Results!$O$2:$O$5001))/AS$70,0)</f>
        <v>0</v>
      </c>
      <c r="AT81" s="6">
        <f>IF(AT$70&gt;0,SUMPRODUCT((Results!$A$2:$A$5001=Schedule!AT$45)*(Results!$D$2:$D$5001)*(Results!$O$2:$O$5001))/AT$70,0)</f>
        <v>0</v>
      </c>
      <c r="AU81" s="6">
        <f>IF(AU$70&gt;0,SUMPRODUCT((Results!$A$2:$A$5001=Schedule!AU$45)*(Results!$D$2:$D$5001)*(Results!$O$2:$O$5001))/AU$70,0)</f>
        <v>0</v>
      </c>
      <c r="AV81" s="6">
        <f>IF(AV$70&gt;0,SUMPRODUCT((Results!$A$2:$A$5001=Schedule!AV$45)*(Results!$D$2:$D$5001)*(Results!$O$2:$O$5001))/AV$70,0)</f>
        <v>0</v>
      </c>
      <c r="AW81" s="6">
        <f>IF(AW$70&gt;0,SUMPRODUCT((Results!$A$2:$A$5001=Schedule!AW$45)*(Results!$D$2:$D$5001)*(Results!$O$2:$O$5001))/AW$70,0)</f>
        <v>0</v>
      </c>
      <c r="AX81" s="6">
        <f>IF(AX$70&gt;0,SUMPRODUCT((Results!$A$2:$A$5001=Schedule!AX$45)*(Results!$D$2:$D$5001)*(Results!$O$2:$O$5001))/AX$70,0)</f>
        <v>0</v>
      </c>
      <c r="AY81" s="6">
        <f>IF(AY$70&gt;0,SUMPRODUCT((Results!$A$2:$A$5001=Schedule!AY$45)*(Results!$D$2:$D$5001)*(Results!$O$2:$O$5001))/AY$70,0)</f>
        <v>0</v>
      </c>
      <c r="AZ81" s="6">
        <f>IF(AZ$70&gt;0,SUMPRODUCT((Results!$A$2:$A$5001=Schedule!AZ$45)*(Results!$D$2:$D$5001)*(Results!$O$2:$O$5001))/AZ$70,0)</f>
        <v>0</v>
      </c>
      <c r="BA81" s="6">
        <f>IF(BA$70&gt;0,SUMPRODUCT((Results!$A$2:$A$5001=Schedule!BA$45)*(Results!$D$2:$D$5001)*(Results!$O$2:$O$5001))/BA$70,0)</f>
        <v>0</v>
      </c>
      <c r="BB81" s="6">
        <f>IF(BB$70&gt;0,SUMPRODUCT((Results!$A$2:$A$5001=Schedule!BB$45)*(Results!$D$2:$D$5001)*(Results!$O$2:$O$5001))/BB$70,0)</f>
        <v>0</v>
      </c>
      <c r="BC81" s="6">
        <f>IF(BC$70&gt;0,SUMPRODUCT((Results!$A$2:$A$5001=Schedule!BC$45)*(Results!$D$2:$D$5001)*(Results!$O$2:$O$5001))/BC$70,0)</f>
        <v>0</v>
      </c>
      <c r="BD81" s="6">
        <f>IF(BD$70&gt;0,SUMPRODUCT((Results!$A$2:$A$5001=Schedule!BD$45)*(Results!$D$2:$D$5001)*(Results!$O$2:$O$5001))/BD$70,0)</f>
        <v>0</v>
      </c>
      <c r="BE81" s="6">
        <f>IF(BE$70&gt;0,SUMPRODUCT((Results!$A$2:$A$5001=Schedule!BE$45)*(Results!$D$2:$D$5001)*(Results!$O$2:$O$5001))/BE$70,0)</f>
        <v>0</v>
      </c>
      <c r="BF81" s="6">
        <f>IF(BF$70&gt;0,SUMPRODUCT((Results!$A$2:$A$5001=Schedule!BF$45)*(Results!$D$2:$D$5001)*(Results!$O$2:$O$5001))/BF$70,0)</f>
        <v>0</v>
      </c>
      <c r="BG81" s="6">
        <f>IF(BG$70&gt;0,SUMPRODUCT((Results!$A$2:$A$5001=Schedule!BG$45)*(Results!$D$2:$D$5001)*(Results!$O$2:$O$5001))/BG$70,0)</f>
        <v>0</v>
      </c>
      <c r="BH81" s="6">
        <f>IF(BH$70&gt;0,SUMPRODUCT((Results!$A$2:$A$5001=Schedule!BH$45)*(Results!$D$2:$D$5001)*(Results!$O$2:$O$5001))/BH$70,0)</f>
        <v>0</v>
      </c>
      <c r="BI81" s="6">
        <f>IF(BI$70&gt;0,SUMPRODUCT((Results!$A$2:$A$5001=Schedule!BI$45)*(Results!$D$2:$D$5001)*(Results!$O$2:$O$5001))/BI$70,0)</f>
        <v>0</v>
      </c>
      <c r="BJ81" s="6">
        <f>IF(BJ$70&gt;0,SUMPRODUCT((Results!$A$2:$A$5001=Schedule!BJ$45)*(Results!$D$2:$D$5001)*(Results!$O$2:$O$5001))/BJ$70,0)</f>
        <v>0</v>
      </c>
      <c r="BK81" s="6">
        <f>IF(BK$70&gt;0,SUMPRODUCT((Results!$A$2:$A$5001=Schedule!BK$45)*(Results!$D$2:$D$5001)*(Results!$O$2:$O$5001))/BK$70,0)</f>
        <v>0</v>
      </c>
      <c r="BL81" s="6">
        <f>IF(BL$70&gt;0,SUMPRODUCT((Results!$A$2:$A$5001=Schedule!BL$45)*(Results!$D$2:$D$5001)*(Results!$O$2:$O$5001))/BL$70,0)</f>
        <v>0</v>
      </c>
      <c r="BM81" s="6">
        <f>IF(BM$70&gt;0,SUMPRODUCT((Results!$A$2:$A$5001=Schedule!BM$45)*(Results!$D$2:$D$5001)*(Results!$O$2:$O$5001))/BM$70,0)</f>
        <v>0</v>
      </c>
      <c r="BN81" s="6">
        <f>IF(BN$70&gt;0,SUMPRODUCT((Results!$A$2:$A$5001=Schedule!BN$45)*(Results!$D$2:$D$5001)*(Results!$O$2:$O$5001))/BN$70,0)</f>
        <v>0</v>
      </c>
      <c r="BO81" s="6">
        <f>IF(BO$70&gt;0,SUMPRODUCT((Results!$A$2:$A$5001=Schedule!BO$45)*(Results!$D$2:$D$5001)*(Results!$O$2:$O$5001))/BO$70,0)</f>
        <v>0</v>
      </c>
      <c r="BP81" s="6">
        <f>IF(BP$70&gt;0,SUMPRODUCT((Results!$A$2:$A$5001=Schedule!BP$45)*(Results!$D$2:$D$5001)*(Results!$O$2:$O$5001))/BP$70,0)</f>
        <v>0</v>
      </c>
      <c r="BQ81" s="6">
        <f>IF(BQ$70&gt;0,SUMPRODUCT((Results!$A$2:$A$5001=Schedule!BQ$45)*(Results!$D$2:$D$5001)*(Results!$O$2:$O$5001))/BQ$70,0)</f>
        <v>0</v>
      </c>
      <c r="BR81" s="6">
        <f>IF(BR$70&gt;0,SUMPRODUCT((Results!$A$2:$A$5001=Schedule!BR$45)*(Results!$D$2:$D$5001)*(Results!$O$2:$O$5001))/BR$70,0)</f>
        <v>0</v>
      </c>
      <c r="BS81" s="6">
        <f>IF(BS$70&gt;0,SUMPRODUCT((Results!$A$2:$A$5001=Schedule!BS$45)*(Results!$D$2:$D$5001)*(Results!$O$2:$O$5001))/BS$70,0)</f>
        <v>0</v>
      </c>
      <c r="BT81" s="6">
        <f>IF(BT$70&gt;0,SUMPRODUCT((Results!$A$2:$A$5001=Schedule!BT$45)*(Results!$D$2:$D$5001)*(Results!$O$2:$O$5001))/BT$70,0)</f>
        <v>0</v>
      </c>
      <c r="BU81" s="6">
        <f>IF(BU$70&gt;0,SUMPRODUCT((Results!$A$2:$A$5001=Schedule!BU$45)*(Results!$D$2:$D$5001)*(Results!$O$2:$O$5001))/BU$70,0)</f>
        <v>0</v>
      </c>
      <c r="BV81" s="6">
        <f>IF(BV$70&gt;0,SUMPRODUCT((Results!$A$2:$A$5001=Schedule!BV$45)*(Results!$D$2:$D$5001)*(Results!$O$2:$O$5001))/BV$70,0)</f>
        <v>0</v>
      </c>
      <c r="BW81" s="6">
        <f>IF(BW$70&gt;0,SUMPRODUCT((Results!$A$2:$A$5001=Schedule!BW$45)*(Results!$D$2:$D$5001)*(Results!$O$2:$O$5001))/BW$70,0)</f>
        <v>0</v>
      </c>
      <c r="BX81" s="6">
        <f>IF(BX$70&gt;0,SUMPRODUCT((Results!$A$2:$A$5001=Schedule!BX$45)*(Results!$D$2:$D$5001)*(Results!$O$2:$O$5001))/BX$70,0)</f>
        <v>0</v>
      </c>
      <c r="BY81" s="6">
        <f>IF(BY$70&gt;0,SUMPRODUCT((Results!$A$2:$A$5001=Schedule!BY$45)*(Results!$D$2:$D$5001)*(Results!$O$2:$O$5001))/BY$70,0)</f>
        <v>0</v>
      </c>
      <c r="BZ81" s="6">
        <f>IF(BZ$70&gt;0,SUMPRODUCT((Results!$A$2:$A$5001=Schedule!BZ$45)*(Results!$D$2:$D$5001)*(Results!$O$2:$O$5001))/BZ$70,0)</f>
        <v>0</v>
      </c>
      <c r="CA81" s="6">
        <f>IF(CA$70&gt;0,SUMPRODUCT((Results!$A$2:$A$5001=Schedule!CA$45)*(Results!$D$2:$D$5001)*(Results!$O$2:$O$5001))/CA$70,0)</f>
        <v>0</v>
      </c>
      <c r="CB81" s="6">
        <f>IF(CB$70&gt;0,SUMPRODUCT((Results!$A$2:$A$5001=Schedule!CB$45)*(Results!$D$2:$D$5001)*(Results!$O$2:$O$5001))/CB$70,0)</f>
        <v>0</v>
      </c>
      <c r="CC81" s="6">
        <f>IF(CC$70&gt;0,SUMPRODUCT((Results!$A$2:$A$5001=Schedule!CC$45)*(Results!$D$2:$D$5001)*(Results!$O$2:$O$5001))/CC$70,0)</f>
        <v>0</v>
      </c>
      <c r="CD81" s="6">
        <f>IF(CD$70&gt;0,SUMPRODUCT((Results!$A$2:$A$5001=Schedule!CD$45)*(Results!$D$2:$D$5001)*(Results!$O$2:$O$5001))/CD$70,0)</f>
        <v>0</v>
      </c>
      <c r="CE81" s="6">
        <f>IF(CE$70&gt;0,SUMPRODUCT((Results!$A$2:$A$5001=Schedule!CE$45)*(Results!$D$2:$D$5001)*(Results!$O$2:$O$5001))/CE$70,0)</f>
        <v>0</v>
      </c>
      <c r="CF81" s="6">
        <f>IF(CF$70&gt;0,SUMPRODUCT((Results!$A$2:$A$5001=Schedule!CF$45)*(Results!$D$2:$D$5001)*(Results!$O$2:$O$5001))/CF$70,0)</f>
        <v>0</v>
      </c>
      <c r="CG81" s="6">
        <f>IF(CG$70&gt;0,SUMPRODUCT((Results!$A$2:$A$5001=Schedule!CG$45)*(Results!$D$2:$D$5001)*(Results!$O$2:$O$5001))/CG$70,0)</f>
        <v>0</v>
      </c>
      <c r="CH81" s="6">
        <f>IF(CH$70&gt;0,SUMPRODUCT((Results!$A$2:$A$5001=Schedule!CH$45)*(Results!$D$2:$D$5001)*(Results!$O$2:$O$5001))/CH$70,0)</f>
        <v>0</v>
      </c>
      <c r="CI81" s="6">
        <f>IF(CI$70&gt;0,SUMPRODUCT((Results!$A$2:$A$5001=Schedule!CI$45)*(Results!$D$2:$D$5001)*(Results!$O$2:$O$5001))/CI$70,0)</f>
        <v>0</v>
      </c>
      <c r="CJ81" s="6">
        <f>IF(CJ$70&gt;0,SUMPRODUCT((Results!$A$2:$A$5001=Schedule!CJ$45)*(Results!$D$2:$D$5001)*(Results!$O$2:$O$5001))/CJ$70,0)</f>
        <v>0</v>
      </c>
      <c r="CK81" s="6">
        <f>IF(CK$70&gt;0,SUMPRODUCT((Results!$A$2:$A$5001=Schedule!CK$45)*(Results!$D$2:$D$5001)*(Results!$O$2:$O$5001))/CK$70,0)</f>
        <v>0</v>
      </c>
      <c r="CL81" s="6">
        <f>IF(CL$70&gt;0,SUMPRODUCT((Results!$A$2:$A$5001=Schedule!CL$45)*(Results!$D$2:$D$5001)*(Results!$O$2:$O$5001))/CL$70,0)</f>
        <v>0</v>
      </c>
      <c r="CM81" s="6">
        <f>IF(CM$70&gt;0,SUMPRODUCT((Results!$A$2:$A$5001=Schedule!CM$45)*(Results!$D$2:$D$5001)*(Results!$O$2:$O$5001))/CM$70,0)</f>
        <v>0</v>
      </c>
      <c r="CN81" s="6">
        <f>IF(CN$70&gt;0,SUMPRODUCT((Results!$A$2:$A$5001=Schedule!CN$45)*(Results!$D$2:$D$5001)*(Results!$O$2:$O$5001))/CN$70,0)</f>
        <v>0</v>
      </c>
      <c r="CO81" s="6">
        <f>IF(CO$70&gt;0,SUMPRODUCT((Results!$A$2:$A$5001=Schedule!CO$45)*(Results!$D$2:$D$5001)*(Results!$O$2:$O$5001))/CO$70,0)</f>
        <v>0</v>
      </c>
      <c r="CP81" s="6">
        <f>IF(CP$70&gt;0,SUMPRODUCT((Results!$A$2:$A$5001=Schedule!CP$45)*(Results!$D$2:$D$5001)*(Results!$O$2:$O$5001))/CP$70,0)</f>
        <v>0</v>
      </c>
      <c r="CQ81" s="6">
        <f>IF(CQ$70&gt;0,SUMPRODUCT((Results!$A$2:$A$5001=Schedule!CQ$45)*(Results!$D$2:$D$5001)*(Results!$O$2:$O$5001))/CQ$70,0)</f>
        <v>0</v>
      </c>
      <c r="CR81" s="6">
        <f>IF(CR$70&gt;0,SUMPRODUCT((Results!$A$2:$A$5001=Schedule!CR$45)*(Results!$D$2:$D$5001)*(Results!$O$2:$O$5001))/CR$70,0)</f>
        <v>0</v>
      </c>
      <c r="CS81" s="6">
        <f>IF(CS$70&gt;0,SUMPRODUCT((Results!$A$2:$A$5001=Schedule!CS$45)*(Results!$D$2:$D$5001)*(Results!$O$2:$O$5001))/CS$70,0)</f>
        <v>0</v>
      </c>
      <c r="CT81" s="6">
        <f>IF(CT$70&gt;0,SUMPRODUCT((Results!$A$2:$A$5001=Schedule!CT$45)*(Results!$D$2:$D$5001)*(Results!$O$2:$O$5001))/CT$70,0)</f>
        <v>0</v>
      </c>
      <c r="CU81" s="6">
        <f>IF(CU$70&gt;0,SUMPRODUCT((Results!$A$2:$A$5001=Schedule!CU$45)*(Results!$D$2:$D$5001)*(Results!$O$2:$O$5001))/CU$70,0)</f>
        <v>0</v>
      </c>
      <c r="CV81" s="6">
        <f>IF(CV$70&gt;0,SUMPRODUCT((Results!$A$2:$A$5001=Schedule!CV$45)*(Results!$D$2:$D$5001)*(Results!$O$2:$O$5001))/CV$70,0)</f>
        <v>0</v>
      </c>
      <c r="CW81" s="6">
        <f>IF(CW$70&gt;0,SUMPRODUCT((Results!$A$2:$A$5001=Schedule!CW$45)*(Results!$D$2:$D$5001)*(Results!$O$2:$O$5001))/CW$70,0)</f>
        <v>0</v>
      </c>
      <c r="CX81" s="6">
        <f>IF(CX$70&gt;0,SUMPRODUCT((Results!$A$2:$A$5001=Schedule!CX$45)*(Results!$D$2:$D$5001)*(Results!$O$2:$O$5001))/CX$70,0)</f>
        <v>0</v>
      </c>
      <c r="CY81" s="6">
        <f>IF(CY$70&gt;0,SUMPRODUCT((Results!$A$2:$A$5001=Schedule!CY$45)*(Results!$D$2:$D$5001)*(Results!$O$2:$O$5001))/CY$70,0)</f>
        <v>0</v>
      </c>
      <c r="CZ81" s="6">
        <f>IF(CZ$70&gt;0,SUMPRODUCT((Results!$A$2:$A$5001=Schedule!CZ$45)*(Results!$D$2:$D$5001)*(Results!$O$2:$O$5001))/CZ$70,0)</f>
        <v>0</v>
      </c>
      <c r="DA81" s="6">
        <f>IF(DA$70&gt;0,SUMPRODUCT((Results!$A$2:$A$5001=Schedule!DA$45)*(Results!$D$2:$D$5001)*(Results!$O$2:$O$5001))/DA$70,0)</f>
        <v>0</v>
      </c>
      <c r="DB81" s="6">
        <f>IF(DB$70&gt;0,SUMPRODUCT((Results!$A$2:$A$5001=Schedule!DB$45)*(Results!$D$2:$D$5001)*(Results!$O$2:$O$5001))/DB$70,0)</f>
        <v>0</v>
      </c>
      <c r="DC81" s="6">
        <f>IF(DC$70&gt;0,SUMPRODUCT((Results!$A$2:$A$5001=Schedule!DC$45)*(Results!$D$2:$D$5001)*(Results!$O$2:$O$5001))/DC$70,0)</f>
        <v>0</v>
      </c>
      <c r="DD81" s="6">
        <f>IF(DD$70&gt;0,SUMPRODUCT((Results!$A$2:$A$5001=Schedule!DD$45)*(Results!$D$2:$D$5001)*(Results!$O$2:$O$5001))/DD$70,0)</f>
        <v>0</v>
      </c>
      <c r="DE81" s="6">
        <f>IF(DE$70&gt;0,SUMPRODUCT((Results!$A$2:$A$5001=Schedule!DE$45)*(Results!$D$2:$D$5001)*(Results!$O$2:$O$5001))/DE$70,0)</f>
        <v>0</v>
      </c>
      <c r="DF81" s="6">
        <f>IF(DF$70&gt;0,SUMPRODUCT((Results!$A$2:$A$5001=Schedule!DF$45)*(Results!$D$2:$D$5001)*(Results!$O$2:$O$5001))/DF$70,0)</f>
        <v>0</v>
      </c>
      <c r="DG81" s="6">
        <f>IF(DG$70&gt;0,SUMPRODUCT((Results!$A$2:$A$5001=Schedule!DG$45)*(Results!$D$2:$D$5001)*(Results!$O$2:$O$5001))/DG$70,0)</f>
        <v>0</v>
      </c>
      <c r="DH81" s="6">
        <f>IF(DH$70&gt;0,SUMPRODUCT((Results!$A$2:$A$5001=Schedule!DH$45)*(Results!$D$2:$D$5001)*(Results!$O$2:$O$5001))/DH$70,0)</f>
        <v>0</v>
      </c>
      <c r="DI81" s="6">
        <f>IF(DI$70&gt;0,SUMPRODUCT((Results!$A$2:$A$5001=Schedule!DI$45)*(Results!$D$2:$D$5001)*(Results!$O$2:$O$5001))/DI$70,0)</f>
        <v>0</v>
      </c>
      <c r="DJ81" s="6">
        <f>IF(DJ$70&gt;0,SUMPRODUCT((Results!$A$2:$A$5001=Schedule!DJ$45)*(Results!$D$2:$D$5001)*(Results!$O$2:$O$5001))/DJ$70,0)</f>
        <v>0</v>
      </c>
      <c r="DK81" s="6">
        <f>IF(DK$70&gt;0,SUMPRODUCT((Results!$A$2:$A$5001=Schedule!DK$45)*(Results!$D$2:$D$5001)*(Results!$O$2:$O$5001))/DK$70,0)</f>
        <v>0</v>
      </c>
      <c r="DL81" s="6">
        <f>IF(DL$70&gt;0,SUMPRODUCT((Results!$A$2:$A$5001=Schedule!DL$45)*(Results!$D$2:$D$5001)*(Results!$O$2:$O$5001))/DL$70,0)</f>
        <v>0</v>
      </c>
      <c r="DM81" s="6">
        <f>IF(DM$70&gt;0,SUMPRODUCT((Results!$A$2:$A$5001=Schedule!DM$45)*(Results!$D$2:$D$5001)*(Results!$O$2:$O$5001))/DM$70,0)</f>
        <v>0</v>
      </c>
      <c r="DN81" s="6">
        <f>IF(DN$70&gt;0,SUMPRODUCT((Results!$A$2:$A$5001=Schedule!DN$45)*(Results!$D$2:$D$5001)*(Results!$O$2:$O$5001))/DN$70,0)</f>
        <v>0</v>
      </c>
      <c r="DO81" s="6">
        <f>IF(DO$70&gt;0,SUMPRODUCT((Results!$A$2:$A$5001=Schedule!DO$45)*(Results!$D$2:$D$5001)*(Results!$O$2:$O$5001))/DO$70,0)</f>
        <v>0</v>
      </c>
      <c r="DP81" s="6">
        <f>IF(DP$70&gt;0,SUMPRODUCT((Results!$A$2:$A$5001=Schedule!DP$45)*(Results!$D$2:$D$5001)*(Results!$O$2:$O$5001))/DP$70,0)</f>
        <v>0</v>
      </c>
      <c r="DQ81" s="6">
        <f>IF(DQ$70&gt;0,SUMPRODUCT((Results!$A$2:$A$5001=Schedule!DQ$45)*(Results!$D$2:$D$5001)*(Results!$O$2:$O$5001))/DQ$70,0)</f>
        <v>0</v>
      </c>
      <c r="DR81" s="6">
        <f>IF(DR$70&gt;0,SUMPRODUCT((Results!$A$2:$A$5001=Schedule!DR$45)*(Results!$D$2:$D$5001)*(Results!$O$2:$O$5001))/DR$70,0)</f>
        <v>0</v>
      </c>
      <c r="DS81" s="6">
        <f>IF(DS$70&gt;0,SUMPRODUCT((Results!$A$2:$A$5001=Schedule!DS$45)*(Results!$D$2:$D$5001)*(Results!$O$2:$O$5001))/DS$70,0)</f>
        <v>0</v>
      </c>
      <c r="DT81" s="6">
        <f>IF(DT$70&gt;0,SUMPRODUCT((Results!$A$2:$A$5001=Schedule!DT$45)*(Results!$D$2:$D$5001)*(Results!$O$2:$O$5001))/DT$70,0)</f>
        <v>0</v>
      </c>
      <c r="DU81" s="6">
        <f>IF(DU$70&gt;0,SUMPRODUCT((Results!$A$2:$A$5001=Schedule!DU$45)*(Results!$D$2:$D$5001)*(Results!$O$2:$O$5001))/DU$70,0)</f>
        <v>0</v>
      </c>
      <c r="DV81" s="6">
        <f>IF(DV$70&gt;0,SUMPRODUCT((Results!$A$2:$A$5001=Schedule!DV$45)*(Results!$D$2:$D$5001)*(Results!$O$2:$O$5001))/DV$70,0)</f>
        <v>0</v>
      </c>
      <c r="DW81" s="6">
        <f>IF(DW$70&gt;0,SUMPRODUCT((Results!$A$2:$A$5001=Schedule!DW$45)*(Results!$D$2:$D$5001)*(Results!$O$2:$O$5001))/DW$70,0)</f>
        <v>0</v>
      </c>
      <c r="DX81" s="6">
        <f>IF(DX$70&gt;0,SUMPRODUCT((Results!$A$2:$A$5001=Schedule!DX$45)*(Results!$D$2:$D$5001)*(Results!$O$2:$O$5001))/DX$70,0)</f>
        <v>0</v>
      </c>
      <c r="DY81" s="6">
        <f>IF(DY$70&gt;0,SUMPRODUCT((Results!$A$2:$A$5001=Schedule!DY$45)*(Results!$D$2:$D$5001)*(Results!$O$2:$O$5001))/DY$70,0)</f>
        <v>0</v>
      </c>
      <c r="DZ81" s="6">
        <f>IF(DZ$70&gt;0,SUMPRODUCT((Results!$A$2:$A$5001=Schedule!DZ$45)*(Results!$D$2:$D$5001)*(Results!$O$2:$O$5001))/DZ$70,0)</f>
        <v>0</v>
      </c>
      <c r="EA81" s="6">
        <f>IF(EA$70&gt;0,SUMPRODUCT((Results!$A$2:$A$5001=Schedule!EA$45)*(Results!$D$2:$D$5001)*(Results!$O$2:$O$5001))/EA$70,0)</f>
        <v>0</v>
      </c>
      <c r="EB81" s="6">
        <f>IF(EB$70&gt;0,SUMPRODUCT((Results!$A$2:$A$5001=Schedule!EB$45)*(Results!$D$2:$D$5001)*(Results!$O$2:$O$5001))/EB$70,0)</f>
        <v>0</v>
      </c>
      <c r="EC81" s="6">
        <f>IF(EC$70&gt;0,SUMPRODUCT((Results!$A$2:$A$5001=Schedule!EC$45)*(Results!$D$2:$D$5001)*(Results!$O$2:$O$5001))/EC$70,0)</f>
        <v>0</v>
      </c>
      <c r="ED81" s="6">
        <f>IF(ED$70&gt;0,SUMPRODUCT((Results!$A$2:$A$5001=Schedule!ED$45)*(Results!$D$2:$D$5001)*(Results!$O$2:$O$5001))/ED$70,0)</f>
        <v>0</v>
      </c>
      <c r="EE81" s="6">
        <f>IF(EE$70&gt;0,SUMPRODUCT((Results!$A$2:$A$5001=Schedule!EE$45)*(Results!$D$2:$D$5001)*(Results!$O$2:$O$5001))/EE$70,0)</f>
        <v>0</v>
      </c>
      <c r="EF81" s="6">
        <f>IF(EF$70&gt;0,SUMPRODUCT((Results!$A$2:$A$5001=Schedule!EF$45)*(Results!$D$2:$D$5001)*(Results!$O$2:$O$5001))/EF$70,0)</f>
        <v>0</v>
      </c>
      <c r="EG81" s="6">
        <f>IF(EG$70&gt;0,SUMPRODUCT((Results!$A$2:$A$5001=Schedule!EG$45)*(Results!$D$2:$D$5001)*(Results!$O$2:$O$5001))/EG$70,0)</f>
        <v>0</v>
      </c>
      <c r="EH81" s="6">
        <f>IF(EH$70&gt;0,SUMPRODUCT((Results!$A$2:$A$5001=Schedule!EH$45)*(Results!$D$2:$D$5001)*(Results!$O$2:$O$5001))/EH$70,0)</f>
        <v>0</v>
      </c>
      <c r="EI81" s="6">
        <f>IF(EI$70&gt;0,SUMPRODUCT((Results!$A$2:$A$5001=Schedule!EI$45)*(Results!$D$2:$D$5001)*(Results!$O$2:$O$5001))/EI$70,0)</f>
        <v>0</v>
      </c>
      <c r="EJ81" s="6">
        <f>IF(EJ$70&gt;0,SUMPRODUCT((Results!$A$2:$A$5001=Schedule!EJ$45)*(Results!$D$2:$D$5001)*(Results!$O$2:$O$5001))/EJ$70,0)</f>
        <v>0</v>
      </c>
      <c r="EK81" s="6">
        <f>IF(EK$70&gt;0,SUMPRODUCT((Results!$A$2:$A$5001=Schedule!EK$45)*(Results!$D$2:$D$5001)*(Results!$O$2:$O$5001))/EK$70,0)</f>
        <v>0</v>
      </c>
      <c r="EL81" s="6">
        <f>IF(EL$70&gt;0,SUMPRODUCT((Results!$A$2:$A$5001=Schedule!EL$45)*(Results!$D$2:$D$5001)*(Results!$O$2:$O$5001))/EL$70,0)</f>
        <v>0</v>
      </c>
      <c r="EM81" s="6">
        <f>IF(EM$70&gt;0,SUMPRODUCT((Results!$A$2:$A$5001=Schedule!EM$45)*(Results!$D$2:$D$5001)*(Results!$O$2:$O$5001))/EM$70,0)</f>
        <v>0</v>
      </c>
      <c r="EN81" s="6">
        <f>IF(EN$70&gt;0,SUMPRODUCT((Results!$A$2:$A$5001=Schedule!EN$45)*(Results!$D$2:$D$5001)*(Results!$O$2:$O$5001))/EN$70,0)</f>
        <v>0</v>
      </c>
      <c r="EO81" s="6">
        <f>IF(EO$70&gt;0,SUMPRODUCT((Results!$A$2:$A$5001=Schedule!EO$45)*(Results!$D$2:$D$5001)*(Results!$O$2:$O$5001))/EO$70,0)</f>
        <v>0</v>
      </c>
      <c r="EP81" s="6">
        <f>IF(EP$70&gt;0,SUMPRODUCT((Results!$A$2:$A$5001=Schedule!EP$45)*(Results!$D$2:$D$5001)*(Results!$O$2:$O$5001))/EP$70,0)</f>
        <v>0</v>
      </c>
      <c r="EQ81" s="6">
        <f>IF(EQ$70&gt;0,SUMPRODUCT((Results!$A$2:$A$5001=Schedule!EQ$45)*(Results!$D$2:$D$5001)*(Results!$O$2:$O$5001))/EQ$70,0)</f>
        <v>0</v>
      </c>
      <c r="ER81" s="6">
        <f>IF(ER$70&gt;0,SUMPRODUCT((Results!$A$2:$A$5001=Schedule!ER$45)*(Results!$D$2:$D$5001)*(Results!$O$2:$O$5001))/ER$70,0)</f>
        <v>0</v>
      </c>
      <c r="ES81" s="6">
        <f>IF(ES$70&gt;0,SUMPRODUCT((Results!$A$2:$A$5001=Schedule!ES$45)*(Results!$D$2:$D$5001)*(Results!$O$2:$O$5001))/ES$70,0)</f>
        <v>0</v>
      </c>
      <c r="ET81" s="6">
        <f>IF(ET$70&gt;0,SUMPRODUCT((Results!$A$2:$A$5001=Schedule!ET$45)*(Results!$D$2:$D$5001)*(Results!$O$2:$O$5001))/ET$70,0)</f>
        <v>0</v>
      </c>
      <c r="EU81" s="6">
        <f>IF(EU$70&gt;0,SUMPRODUCT((Results!$A$2:$A$5001=Schedule!EU$45)*(Results!$D$2:$D$5001)*(Results!$O$2:$O$5001))/EU$70,0)</f>
        <v>0</v>
      </c>
      <c r="EV81" s="6">
        <f>IF(EV$70&gt;0,SUMPRODUCT((Results!$A$2:$A$5001=Schedule!EV$45)*(Results!$D$2:$D$5001)*(Results!$O$2:$O$5001))/EV$70,0)</f>
        <v>0</v>
      </c>
      <c r="EW81" s="6">
        <f>IF(EW$70&gt;0,SUMPRODUCT((Results!$A$2:$A$5001=Schedule!EW$45)*(Results!$D$2:$D$5001)*(Results!$O$2:$O$5001))/EW$70,0)</f>
        <v>0</v>
      </c>
      <c r="EX81" s="6">
        <f>IF(EX$70&gt;0,SUMPRODUCT((Results!$A$2:$A$5001=Schedule!EX$45)*(Results!$D$2:$D$5001)*(Results!$O$2:$O$5001))/EX$70,0)</f>
        <v>0</v>
      </c>
      <c r="EY81" s="6">
        <f>IF(EY$70&gt;0,SUMPRODUCT((Results!$A$2:$A$5001=Schedule!EY$45)*(Results!$D$2:$D$5001)*(Results!$O$2:$O$5001))/EY$70,0)</f>
        <v>0</v>
      </c>
      <c r="EZ81" s="6">
        <f>IF(EZ$70&gt;0,SUMPRODUCT((Results!$A$2:$A$5001=Schedule!EZ$45)*(Results!$D$2:$D$5001)*(Results!$O$2:$O$5001))/EZ$70,0)</f>
        <v>0</v>
      </c>
      <c r="FA81" s="6">
        <f>IF(FA$70&gt;0,SUMPRODUCT((Results!$A$2:$A$5001=Schedule!FA$45)*(Results!$D$2:$D$5001)*(Results!$O$2:$O$5001))/FA$70,0)</f>
        <v>0</v>
      </c>
      <c r="FB81" s="6">
        <f>IF(FB$70&gt;0,SUMPRODUCT((Results!$A$2:$A$5001=Schedule!FB$45)*(Results!$D$2:$D$5001)*(Results!$O$2:$O$5001))/FB$70,0)</f>
        <v>0</v>
      </c>
      <c r="FC81" s="6">
        <f>IF(FC$70&gt;0,SUMPRODUCT((Results!$A$2:$A$5001=Schedule!FC$45)*(Results!$D$2:$D$5001)*(Results!$O$2:$O$5001))/FC$70,0)</f>
        <v>0</v>
      </c>
      <c r="FD81" s="6">
        <f>IF(FD$70&gt;0,SUMPRODUCT((Results!$A$2:$A$5001=Schedule!FD$45)*(Results!$D$2:$D$5001)*(Results!$O$2:$O$5001))/FD$70,0)</f>
        <v>0</v>
      </c>
      <c r="FE81" s="6">
        <f>IF(FE$70&gt;0,SUMPRODUCT((Results!$A$2:$A$5001=Schedule!FE$45)*(Results!$D$2:$D$5001)*(Results!$O$2:$O$5001))/FE$70,0)</f>
        <v>0</v>
      </c>
      <c r="FF81" s="6">
        <f>IF(FF$70&gt;0,SUMPRODUCT((Results!$A$2:$A$5001=Schedule!FF$45)*(Results!$D$2:$D$5001)*(Results!$O$2:$O$5001))/FF$70,0)</f>
        <v>0</v>
      </c>
      <c r="FG81" s="6">
        <f>IF(FG$70&gt;0,SUMPRODUCT((Results!$A$2:$A$5001=Schedule!FG$45)*(Results!$D$2:$D$5001)*(Results!$O$2:$O$5001))/FG$70,0)</f>
        <v>0</v>
      </c>
      <c r="FH81" s="6">
        <f>IF(FH$70&gt;0,SUMPRODUCT((Results!$A$2:$A$5001=Schedule!FH$45)*(Results!$D$2:$D$5001)*(Results!$O$2:$O$5001))/FH$70,0)</f>
        <v>0</v>
      </c>
      <c r="FI81" s="6">
        <f>IF(FI$70&gt;0,SUMPRODUCT((Results!$A$2:$A$5001=Schedule!FI$45)*(Results!$D$2:$D$5001)*(Results!$O$2:$O$5001))/FI$70,0)</f>
        <v>0</v>
      </c>
      <c r="FJ81" s="6">
        <f>IF(FJ$70&gt;0,SUMPRODUCT((Results!$A$2:$A$5001=Schedule!FJ$45)*(Results!$D$2:$D$5001)*(Results!$O$2:$O$5001))/FJ$70,0)</f>
        <v>0</v>
      </c>
      <c r="FK81" s="6">
        <f>IF(FK$70&gt;0,SUMPRODUCT((Results!$A$2:$A$5001=Schedule!FK$45)*(Results!$D$2:$D$5001)*(Results!$O$2:$O$5001))/FK$70,0)</f>
        <v>0</v>
      </c>
      <c r="FL81" s="6">
        <f>IF(FL$70&gt;0,SUMPRODUCT((Results!$A$2:$A$5001=Schedule!FL$45)*(Results!$D$2:$D$5001)*(Results!$O$2:$O$5001))/FL$70,0)</f>
        <v>0</v>
      </c>
      <c r="FM81" s="6">
        <f>IF(FM$70&gt;0,SUMPRODUCT((Results!$A$2:$A$5001=Schedule!FM$45)*(Results!$D$2:$D$5001)*(Results!$O$2:$O$5001))/FM$70,0)</f>
        <v>0</v>
      </c>
      <c r="FN81" s="6">
        <f>IF(FN$70&gt;0,SUMPRODUCT((Results!$A$2:$A$5001=Schedule!FN$45)*(Results!$D$2:$D$5001)*(Results!$O$2:$O$5001))/FN$70,0)</f>
        <v>0</v>
      </c>
      <c r="FO81" s="6">
        <f>IF(FO$70&gt;0,SUMPRODUCT((Results!$A$2:$A$5001=Schedule!FO$45)*(Results!$D$2:$D$5001)*(Results!$O$2:$O$5001))/FO$70,0)</f>
        <v>0</v>
      </c>
      <c r="FP81" s="6">
        <f>IF(FP$70&gt;0,SUMPRODUCT((Results!$A$2:$A$5001=Schedule!FP$45)*(Results!$D$2:$D$5001)*(Results!$O$2:$O$5001))/FP$70,0)</f>
        <v>0</v>
      </c>
      <c r="FQ81" s="6">
        <f>IF(FQ$70&gt;0,SUMPRODUCT((Results!$A$2:$A$5001=Schedule!FQ$45)*(Results!$D$2:$D$5001)*(Results!$O$2:$O$5001))/FQ$70,0)</f>
        <v>0</v>
      </c>
      <c r="FR81" s="6">
        <f>IF(FR$70&gt;0,SUMPRODUCT((Results!$A$2:$A$5001=Schedule!FR$45)*(Results!$D$2:$D$5001)*(Results!$O$2:$O$5001))/FR$70,0)</f>
        <v>0</v>
      </c>
      <c r="FS81" s="6">
        <f>IF(FS$70&gt;0,SUMPRODUCT((Results!$A$2:$A$5001=Schedule!FS$45)*(Results!$D$2:$D$5001)*(Results!$O$2:$O$5001))/FS$70,0)</f>
        <v>0</v>
      </c>
      <c r="FT81" s="6">
        <f>IF(FT$70&gt;0,SUMPRODUCT((Results!$A$2:$A$5001=Schedule!FT$45)*(Results!$D$2:$D$5001)*(Results!$O$2:$O$5001))/FT$70,0)</f>
        <v>0</v>
      </c>
      <c r="FU81" s="6">
        <f>IF(FU$70&gt;0,SUMPRODUCT((Results!$A$2:$A$5001=Schedule!FU$45)*(Results!$D$2:$D$5001)*(Results!$O$2:$O$5001))/FU$70,0)</f>
        <v>0</v>
      </c>
      <c r="FV81" s="6">
        <f>IF(FV$70&gt;0,SUMPRODUCT((Results!$A$2:$A$5001=Schedule!FV$45)*(Results!$D$2:$D$5001)*(Results!$O$2:$O$5001))/FV$70,0)</f>
        <v>0</v>
      </c>
      <c r="FW81" s="6">
        <f>IF(FW$70&gt;0,SUMPRODUCT((Results!$A$2:$A$5001=Schedule!FW$45)*(Results!$D$2:$D$5001)*(Results!$O$2:$O$5001))/FW$70,0)</f>
        <v>0</v>
      </c>
      <c r="FX81" s="6">
        <f>IF(FX$70&gt;0,SUMPRODUCT((Results!$A$2:$A$5001=Schedule!FX$45)*(Results!$D$2:$D$5001)*(Results!$O$2:$O$5001))/FX$70,0)</f>
        <v>0</v>
      </c>
      <c r="FY81" s="6">
        <f>IF(FY$70&gt;0,SUMPRODUCT((Results!$A$2:$A$5001=Schedule!FY$45)*(Results!$D$2:$D$5001)*(Results!$O$2:$O$5001))/FY$70,0)</f>
        <v>0</v>
      </c>
      <c r="FZ81" s="6">
        <f>IF(FZ$70&gt;0,SUMPRODUCT((Results!$A$2:$A$5001=Schedule!FZ$45)*(Results!$D$2:$D$5001)*(Results!$O$2:$O$5001))/FZ$70,0)</f>
        <v>0</v>
      </c>
      <c r="GA81" s="6">
        <f>IF(GA$70&gt;0,SUMPRODUCT((Results!$A$2:$A$5001=Schedule!GA$45)*(Results!$D$2:$D$5001)*(Results!$O$2:$O$5001))/GA$70,0)</f>
        <v>0</v>
      </c>
      <c r="GB81" s="6">
        <f>IF(GB$70&gt;0,SUMPRODUCT((Results!$A$2:$A$5001=Schedule!GB$45)*(Results!$D$2:$D$5001)*(Results!$O$2:$O$5001))/GB$70,0)</f>
        <v>0</v>
      </c>
      <c r="GC81" s="6">
        <f>IF(GC$70&gt;0,SUMPRODUCT((Results!$A$2:$A$5001=Schedule!GC$45)*(Results!$D$2:$D$5001)*(Results!$O$2:$O$5001))/GC$70,0)</f>
        <v>0</v>
      </c>
      <c r="GD81" s="6">
        <f>IF(GD$70&gt;0,SUMPRODUCT((Results!$A$2:$A$5001=Schedule!GD$45)*(Results!$D$2:$D$5001)*(Results!$O$2:$O$5001))/GD$70,0)</f>
        <v>0</v>
      </c>
      <c r="GE81" s="6">
        <f>IF(GE$70&gt;0,SUMPRODUCT((Results!$A$2:$A$5001=Schedule!GE$45)*(Results!$D$2:$D$5001)*(Results!$O$2:$O$5001))/GE$70,0)</f>
        <v>0</v>
      </c>
      <c r="GF81" s="6">
        <f>IF(GF$70&gt;0,SUMPRODUCT((Results!$A$2:$A$5001=Schedule!GF$45)*(Results!$D$2:$D$5001)*(Results!$O$2:$O$5001))/GF$70,0)</f>
        <v>0</v>
      </c>
      <c r="GG81" s="6">
        <f>IF(GG$70&gt;0,SUMPRODUCT((Results!$A$2:$A$5001=Schedule!GG$45)*(Results!$D$2:$D$5001)*(Results!$O$2:$O$5001))/GG$70,0)</f>
        <v>0</v>
      </c>
      <c r="GH81" s="6">
        <f>IF(GH$70&gt;0,SUMPRODUCT((Results!$A$2:$A$5001=Schedule!GH$45)*(Results!$D$2:$D$5001)*(Results!$O$2:$O$5001))/GH$70,0)</f>
        <v>0</v>
      </c>
      <c r="GI81" s="6">
        <f>IF(GI$70&gt;0,SUMPRODUCT((Results!$A$2:$A$5001=Schedule!GI$45)*(Results!$D$2:$D$5001)*(Results!$O$2:$O$5001))/GI$70,0)</f>
        <v>0</v>
      </c>
      <c r="GJ81" s="6">
        <f>IF(GJ$70&gt;0,SUMPRODUCT((Results!$A$2:$A$5001=Schedule!GJ$45)*(Results!$D$2:$D$5001)*(Results!$O$2:$O$5001))/GJ$70,0)</f>
        <v>0</v>
      </c>
      <c r="GK81" s="6">
        <f>IF(GK$70&gt;0,SUMPRODUCT((Results!$A$2:$A$5001=Schedule!GK$45)*(Results!$D$2:$D$5001)*(Results!$O$2:$O$5001))/GK$70,0)</f>
        <v>0</v>
      </c>
      <c r="GL81" s="6">
        <f>IF(GL$70&gt;0,SUMPRODUCT((Results!$A$2:$A$5001=Schedule!GL$45)*(Results!$D$2:$D$5001)*(Results!$O$2:$O$5001))/GL$70,0)</f>
        <v>0</v>
      </c>
      <c r="GM81" s="6">
        <f>IF(GM$70&gt;0,SUMPRODUCT((Results!$A$2:$A$5001=Schedule!GM$45)*(Results!$D$2:$D$5001)*(Results!$O$2:$O$5001))/GM$70,0)</f>
        <v>0</v>
      </c>
      <c r="GN81" s="6">
        <f>IF(GN$70&gt;0,SUMPRODUCT((Results!$A$2:$A$5001=Schedule!GN$45)*(Results!$D$2:$D$5001)*(Results!$O$2:$O$5001))/GN$70,0)</f>
        <v>0</v>
      </c>
      <c r="GO81" s="6">
        <f>IF(GO$70&gt;0,SUMPRODUCT((Results!$A$2:$A$5001=Schedule!GO$45)*(Results!$D$2:$D$5001)*(Results!$O$2:$O$5001))/GO$70,0)</f>
        <v>0</v>
      </c>
      <c r="GP81" s="6">
        <f>IF(GP$70&gt;0,SUMPRODUCT((Results!$A$2:$A$5001=Schedule!GP$45)*(Results!$D$2:$D$5001)*(Results!$O$2:$O$5001))/GP$70,0)</f>
        <v>0</v>
      </c>
      <c r="GQ81" s="6">
        <f>IF(GQ$70&gt;0,SUMPRODUCT((Results!$A$2:$A$5001=Schedule!GQ$45)*(Results!$D$2:$D$5001)*(Results!$O$2:$O$5001))/GQ$70,0)</f>
        <v>0</v>
      </c>
      <c r="GR81" s="6">
        <f>IF(GR$70&gt;0,SUMPRODUCT((Results!$A$2:$A$5001=Schedule!GR$45)*(Results!$D$2:$D$5001)*(Results!$O$2:$O$5001))/GR$70,0)</f>
        <v>0</v>
      </c>
      <c r="GS81" s="6">
        <f>IF(GS$70&gt;0,SUMPRODUCT((Results!$A$2:$A$5001=Schedule!GS$45)*(Results!$D$2:$D$5001)*(Results!$O$2:$O$5001))/GS$70,0)</f>
        <v>0</v>
      </c>
      <c r="GT81" s="6">
        <f>IF(GT$70&gt;0,SUMPRODUCT((Results!$A$2:$A$5001=Schedule!GT$45)*(Results!$D$2:$D$5001)*(Results!$O$2:$O$5001))/GT$70,0)</f>
        <v>0</v>
      </c>
      <c r="GU81" s="6">
        <f>IF(GU$70&gt;0,SUMPRODUCT((Results!$A$2:$A$5001=Schedule!GU$45)*(Results!$D$2:$D$5001)*(Results!$O$2:$O$5001))/GU$70,0)</f>
        <v>0</v>
      </c>
      <c r="GV81" s="6"/>
    </row>
    <row r="82" spans="1:207" ht="13.5" customHeight="1" x14ac:dyDescent="0.2">
      <c r="A82" s="40"/>
      <c r="B82" s="6"/>
      <c r="C82" s="6"/>
      <c r="I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2"/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  <c r="CZ82" s="22"/>
      <c r="DA82" s="22"/>
      <c r="DB82" s="22"/>
      <c r="DC82" s="22"/>
      <c r="DD82" s="22"/>
      <c r="DE82" s="22"/>
      <c r="DF82" s="22"/>
      <c r="DG82" s="22"/>
      <c r="DH82" s="22"/>
      <c r="DI82" s="22"/>
      <c r="DJ82" s="22"/>
      <c r="DK82" s="22"/>
      <c r="DL82" s="22"/>
      <c r="DM82" s="22"/>
      <c r="DN82" s="22"/>
      <c r="DO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D82" s="22"/>
      <c r="EE82" s="22"/>
      <c r="EF82" s="22"/>
      <c r="EG82" s="22"/>
      <c r="EH82" s="22"/>
      <c r="EI82" s="22"/>
      <c r="EJ82" s="22"/>
      <c r="EK82" s="22"/>
      <c r="EL82" s="22"/>
      <c r="EM82" s="22"/>
      <c r="EN82" s="22"/>
      <c r="EO82" s="22"/>
      <c r="EP82" s="22"/>
      <c r="EQ82" s="22"/>
      <c r="ER82" s="22"/>
      <c r="ES82" s="22"/>
      <c r="ET82" s="22"/>
      <c r="EU82" s="22"/>
      <c r="EV82" s="22"/>
      <c r="EW82" s="22"/>
      <c r="EX82" s="22"/>
      <c r="EY82" s="22"/>
      <c r="EZ82" s="22"/>
      <c r="FA82" s="22"/>
      <c r="FB82" s="22"/>
      <c r="FC82" s="22"/>
      <c r="FD82" s="22"/>
      <c r="FE82" s="22"/>
      <c r="FF82" s="22"/>
      <c r="FG82" s="22"/>
      <c r="FH82" s="22"/>
      <c r="FI82" s="22"/>
      <c r="FJ82" s="22"/>
      <c r="FK82" s="22"/>
      <c r="FL82" s="22"/>
      <c r="FM82" s="22"/>
      <c r="FN82" s="22"/>
      <c r="FO82" s="22"/>
      <c r="FP82" s="22"/>
      <c r="FQ82" s="22"/>
      <c r="FR82" s="22"/>
      <c r="FS82" s="22"/>
      <c r="FT82" s="22"/>
      <c r="FU82" s="22"/>
      <c r="FV82" s="22"/>
      <c r="FW82" s="22"/>
      <c r="FX82" s="22"/>
      <c r="FY82" s="22"/>
      <c r="FZ82" s="22"/>
      <c r="GA82" s="22"/>
      <c r="GB82" s="22"/>
      <c r="GC82" s="22"/>
      <c r="GD82" s="22"/>
      <c r="GE82" s="22"/>
      <c r="GF82" s="22"/>
      <c r="GG82" s="22"/>
      <c r="GH82" s="22"/>
      <c r="GI82" s="22"/>
      <c r="GJ82" s="22"/>
      <c r="GK82" s="22"/>
      <c r="GL82" s="22"/>
      <c r="GM82" s="22"/>
      <c r="GN82" s="22"/>
      <c r="GO82" s="22"/>
      <c r="GP82" s="22"/>
      <c r="GQ82" s="22"/>
      <c r="GR82" s="22"/>
      <c r="GS82" s="22"/>
      <c r="GT82" s="22"/>
    </row>
    <row r="83" spans="1:207" ht="13.5" customHeight="1" x14ac:dyDescent="0.2">
      <c r="A83" s="40"/>
      <c r="B83" s="6"/>
      <c r="C83" s="6"/>
      <c r="I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  <c r="BS83" s="22"/>
      <c r="BT83" s="22"/>
      <c r="BU83" s="22"/>
      <c r="BV83" s="22"/>
      <c r="BW83" s="22"/>
      <c r="BX83" s="22"/>
      <c r="BY83" s="22"/>
      <c r="BZ83" s="22"/>
      <c r="CA83" s="22"/>
      <c r="CB83" s="22"/>
      <c r="CC83" s="22"/>
      <c r="CD83" s="22"/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  <c r="CY83" s="22"/>
      <c r="CZ83" s="22"/>
      <c r="DA83" s="22"/>
      <c r="DB83" s="22"/>
      <c r="DC83" s="22"/>
      <c r="DD83" s="22"/>
      <c r="DE83" s="22"/>
      <c r="DF83" s="22"/>
      <c r="DG83" s="22"/>
      <c r="DH83" s="22"/>
      <c r="DI83" s="22"/>
      <c r="DJ83" s="22"/>
      <c r="DK83" s="22"/>
      <c r="DL83" s="22"/>
      <c r="DM83" s="22"/>
      <c r="DN83" s="22"/>
      <c r="DO83" s="22"/>
      <c r="DP83" s="22"/>
      <c r="DQ83" s="22"/>
      <c r="DR83" s="22"/>
      <c r="DS83" s="22"/>
      <c r="DT83" s="22"/>
      <c r="DU83" s="22"/>
      <c r="DV83" s="22"/>
      <c r="DW83" s="22"/>
      <c r="DX83" s="22"/>
      <c r="DY83" s="22"/>
      <c r="DZ83" s="22"/>
      <c r="EA83" s="22"/>
      <c r="EB83" s="22"/>
      <c r="EC83" s="22"/>
      <c r="ED83" s="22"/>
      <c r="EE83" s="22"/>
      <c r="EF83" s="22"/>
      <c r="EG83" s="22"/>
      <c r="EH83" s="22"/>
      <c r="EI83" s="22"/>
      <c r="EJ83" s="22"/>
      <c r="EK83" s="22"/>
      <c r="EL83" s="22"/>
      <c r="EM83" s="22"/>
      <c r="EN83" s="22"/>
      <c r="EO83" s="22"/>
      <c r="EP83" s="22"/>
      <c r="EQ83" s="22"/>
      <c r="ER83" s="22"/>
      <c r="ES83" s="22"/>
      <c r="ET83" s="22"/>
      <c r="EU83" s="22"/>
      <c r="EV83" s="22"/>
      <c r="EW83" s="22"/>
      <c r="EX83" s="22"/>
      <c r="EY83" s="22"/>
      <c r="EZ83" s="22"/>
      <c r="FA83" s="22"/>
      <c r="FB83" s="22"/>
      <c r="FC83" s="22"/>
      <c r="FD83" s="22"/>
      <c r="FE83" s="22"/>
      <c r="FF83" s="22"/>
      <c r="FG83" s="22"/>
      <c r="FH83" s="22"/>
      <c r="FI83" s="22"/>
      <c r="FJ83" s="22"/>
      <c r="FK83" s="22"/>
      <c r="FL83" s="22"/>
      <c r="FM83" s="22"/>
      <c r="FN83" s="22"/>
      <c r="FO83" s="22"/>
      <c r="FP83" s="22"/>
      <c r="FQ83" s="22"/>
      <c r="FR83" s="22"/>
      <c r="FS83" s="22"/>
      <c r="FT83" s="22"/>
      <c r="FU83" s="22"/>
      <c r="FV83" s="22"/>
      <c r="FW83" s="22"/>
      <c r="FX83" s="22"/>
      <c r="FY83" s="22"/>
      <c r="FZ83" s="22"/>
      <c r="GA83" s="22"/>
      <c r="GB83" s="22"/>
      <c r="GC83" s="22"/>
      <c r="GD83" s="22"/>
      <c r="GE83" s="22"/>
      <c r="GF83" s="22"/>
      <c r="GG83" s="22"/>
      <c r="GH83" s="22"/>
      <c r="GI83" s="22"/>
      <c r="GJ83" s="22"/>
      <c r="GK83" s="22"/>
      <c r="GL83" s="22"/>
      <c r="GM83" s="22"/>
      <c r="GN83" s="22"/>
      <c r="GO83" s="22"/>
      <c r="GP83" s="22"/>
      <c r="GQ83" s="22"/>
      <c r="GR83" s="22"/>
      <c r="GS83" s="22"/>
      <c r="GT83" s="22"/>
    </row>
    <row r="84" spans="1:207" s="20" customFormat="1" ht="13.5" customHeight="1" x14ac:dyDescent="0.25">
      <c r="GX84" s="37"/>
      <c r="GY84" s="37"/>
    </row>
    <row r="85" spans="1:207" s="60" customFormat="1" ht="13.5" customHeight="1" x14ac:dyDescent="0.3">
      <c r="A85" s="57" t="s">
        <v>34</v>
      </c>
      <c r="B85" s="58"/>
      <c r="C85" s="59">
        <f>C$25</f>
        <v>1</v>
      </c>
      <c r="D85" s="59">
        <f t="shared" ref="D85:GT85" si="40">D$25</f>
        <v>2</v>
      </c>
      <c r="E85" s="59">
        <f t="shared" si="40"/>
        <v>3</v>
      </c>
      <c r="F85" s="59">
        <f t="shared" si="40"/>
        <v>4</v>
      </c>
      <c r="G85" s="59">
        <f t="shared" si="40"/>
        <v>5</v>
      </c>
      <c r="H85" s="59">
        <f t="shared" si="40"/>
        <v>6</v>
      </c>
      <c r="I85" s="59">
        <f t="shared" si="40"/>
        <v>7</v>
      </c>
      <c r="J85" s="59">
        <f t="shared" si="40"/>
        <v>8</v>
      </c>
      <c r="K85" s="59">
        <f t="shared" si="40"/>
        <v>9</v>
      </c>
      <c r="L85" s="59">
        <f t="shared" si="40"/>
        <v>10</v>
      </c>
      <c r="M85" s="59">
        <f t="shared" si="40"/>
        <v>11</v>
      </c>
      <c r="N85" s="59">
        <f t="shared" si="40"/>
        <v>12</v>
      </c>
      <c r="O85" s="59">
        <f t="shared" si="40"/>
        <v>13</v>
      </c>
      <c r="P85" s="59">
        <f t="shared" si="40"/>
        <v>14</v>
      </c>
      <c r="Q85" s="59">
        <f t="shared" si="40"/>
        <v>15</v>
      </c>
      <c r="R85" s="59">
        <f t="shared" si="40"/>
        <v>16</v>
      </c>
      <c r="S85" s="59">
        <f t="shared" si="40"/>
        <v>17</v>
      </c>
      <c r="T85" s="59">
        <f t="shared" si="40"/>
        <v>18</v>
      </c>
      <c r="U85" s="59">
        <f t="shared" si="40"/>
        <v>19</v>
      </c>
      <c r="V85" s="59">
        <f t="shared" si="40"/>
        <v>20</v>
      </c>
      <c r="W85" s="59">
        <f t="shared" si="40"/>
        <v>21</v>
      </c>
      <c r="X85" s="59">
        <f t="shared" si="40"/>
        <v>22</v>
      </c>
      <c r="Y85" s="59">
        <f t="shared" si="40"/>
        <v>23</v>
      </c>
      <c r="Z85" s="59">
        <f t="shared" si="40"/>
        <v>24</v>
      </c>
      <c r="AA85" s="59">
        <f t="shared" si="40"/>
        <v>25</v>
      </c>
      <c r="AB85" s="59">
        <f t="shared" si="40"/>
        <v>26</v>
      </c>
      <c r="AC85" s="59">
        <f t="shared" si="40"/>
        <v>27</v>
      </c>
      <c r="AD85" s="59">
        <f t="shared" si="40"/>
        <v>28</v>
      </c>
      <c r="AE85" s="59">
        <f t="shared" si="40"/>
        <v>29</v>
      </c>
      <c r="AF85" s="59">
        <f t="shared" si="40"/>
        <v>30</v>
      </c>
      <c r="AG85" s="59">
        <f t="shared" si="40"/>
        <v>31</v>
      </c>
      <c r="AH85" s="59">
        <f t="shared" si="40"/>
        <v>32</v>
      </c>
      <c r="AI85" s="59">
        <f t="shared" si="40"/>
        <v>33</v>
      </c>
      <c r="AJ85" s="59">
        <f t="shared" si="40"/>
        <v>34</v>
      </c>
      <c r="AK85" s="59">
        <f t="shared" si="40"/>
        <v>35</v>
      </c>
      <c r="AL85" s="59">
        <f t="shared" si="40"/>
        <v>36</v>
      </c>
      <c r="AM85" s="59">
        <f t="shared" si="40"/>
        <v>37</v>
      </c>
      <c r="AN85" s="59">
        <f t="shared" si="40"/>
        <v>38</v>
      </c>
      <c r="AO85" s="59">
        <f t="shared" si="40"/>
        <v>39</v>
      </c>
      <c r="AP85" s="59">
        <f t="shared" si="40"/>
        <v>40</v>
      </c>
      <c r="AQ85" s="59">
        <f t="shared" si="40"/>
        <v>41</v>
      </c>
      <c r="AR85" s="59">
        <f t="shared" si="40"/>
        <v>42</v>
      </c>
      <c r="AS85" s="59">
        <f t="shared" si="40"/>
        <v>43</v>
      </c>
      <c r="AT85" s="59">
        <f t="shared" si="40"/>
        <v>44</v>
      </c>
      <c r="AU85" s="59">
        <f t="shared" si="40"/>
        <v>45</v>
      </c>
      <c r="AV85" s="59">
        <f t="shared" si="40"/>
        <v>46</v>
      </c>
      <c r="AW85" s="59">
        <f t="shared" si="40"/>
        <v>47</v>
      </c>
      <c r="AX85" s="59">
        <f t="shared" si="40"/>
        <v>48</v>
      </c>
      <c r="AY85" s="59">
        <f t="shared" si="40"/>
        <v>49</v>
      </c>
      <c r="AZ85" s="59">
        <f t="shared" si="40"/>
        <v>50</v>
      </c>
      <c r="BA85" s="59">
        <f t="shared" si="40"/>
        <v>51</v>
      </c>
      <c r="BB85" s="59">
        <f t="shared" si="40"/>
        <v>52</v>
      </c>
      <c r="BC85" s="59">
        <f t="shared" si="40"/>
        <v>53</v>
      </c>
      <c r="BD85" s="59">
        <f t="shared" si="40"/>
        <v>54</v>
      </c>
      <c r="BE85" s="59">
        <f t="shared" si="40"/>
        <v>55</v>
      </c>
      <c r="BF85" s="59">
        <f t="shared" si="40"/>
        <v>56</v>
      </c>
      <c r="BG85" s="59">
        <f t="shared" si="40"/>
        <v>57</v>
      </c>
      <c r="BH85" s="59">
        <f t="shared" si="40"/>
        <v>58</v>
      </c>
      <c r="BI85" s="59">
        <f t="shared" si="40"/>
        <v>59</v>
      </c>
      <c r="BJ85" s="59">
        <f t="shared" si="40"/>
        <v>60</v>
      </c>
      <c r="BK85" s="59">
        <f t="shared" si="40"/>
        <v>61</v>
      </c>
      <c r="BL85" s="59">
        <f t="shared" si="40"/>
        <v>62</v>
      </c>
      <c r="BM85" s="59">
        <f t="shared" si="40"/>
        <v>63</v>
      </c>
      <c r="BN85" s="59">
        <f t="shared" si="40"/>
        <v>64</v>
      </c>
      <c r="BO85" s="59">
        <f t="shared" si="40"/>
        <v>65</v>
      </c>
      <c r="BP85" s="59">
        <f t="shared" si="40"/>
        <v>66</v>
      </c>
      <c r="BQ85" s="59">
        <f t="shared" si="40"/>
        <v>67</v>
      </c>
      <c r="BR85" s="59">
        <f t="shared" si="40"/>
        <v>68</v>
      </c>
      <c r="BS85" s="59">
        <f t="shared" si="40"/>
        <v>69</v>
      </c>
      <c r="BT85" s="59">
        <f t="shared" si="40"/>
        <v>70</v>
      </c>
      <c r="BU85" s="59">
        <f t="shared" si="40"/>
        <v>71</v>
      </c>
      <c r="BV85" s="59">
        <f t="shared" si="40"/>
        <v>72</v>
      </c>
      <c r="BW85" s="59">
        <f t="shared" si="40"/>
        <v>73</v>
      </c>
      <c r="BX85" s="59">
        <f t="shared" si="40"/>
        <v>74</v>
      </c>
      <c r="BY85" s="59">
        <f t="shared" si="40"/>
        <v>75</v>
      </c>
      <c r="BZ85" s="59">
        <f t="shared" si="40"/>
        <v>76</v>
      </c>
      <c r="CA85" s="59">
        <f t="shared" si="40"/>
        <v>77</v>
      </c>
      <c r="CB85" s="59">
        <f t="shared" si="40"/>
        <v>78</v>
      </c>
      <c r="CC85" s="59">
        <f t="shared" si="40"/>
        <v>79</v>
      </c>
      <c r="CD85" s="59">
        <f t="shared" si="40"/>
        <v>80</v>
      </c>
      <c r="CE85" s="59">
        <f t="shared" si="40"/>
        <v>81</v>
      </c>
      <c r="CF85" s="59">
        <f t="shared" si="40"/>
        <v>82</v>
      </c>
      <c r="CG85" s="59">
        <f t="shared" si="40"/>
        <v>83</v>
      </c>
      <c r="CH85" s="59">
        <f t="shared" si="40"/>
        <v>84</v>
      </c>
      <c r="CI85" s="59">
        <f t="shared" si="40"/>
        <v>85</v>
      </c>
      <c r="CJ85" s="59">
        <f t="shared" si="40"/>
        <v>86</v>
      </c>
      <c r="CK85" s="59">
        <f t="shared" si="40"/>
        <v>87</v>
      </c>
      <c r="CL85" s="59">
        <f t="shared" si="40"/>
        <v>88</v>
      </c>
      <c r="CM85" s="59">
        <f t="shared" si="40"/>
        <v>89</v>
      </c>
      <c r="CN85" s="59">
        <f t="shared" si="40"/>
        <v>90</v>
      </c>
      <c r="CO85" s="59">
        <f t="shared" si="40"/>
        <v>91</v>
      </c>
      <c r="CP85" s="59">
        <f t="shared" si="40"/>
        <v>92</v>
      </c>
      <c r="CQ85" s="59">
        <f t="shared" si="40"/>
        <v>93</v>
      </c>
      <c r="CR85" s="59">
        <f t="shared" si="40"/>
        <v>94</v>
      </c>
      <c r="CS85" s="59">
        <f t="shared" si="40"/>
        <v>95</v>
      </c>
      <c r="CT85" s="59">
        <f t="shared" si="40"/>
        <v>96</v>
      </c>
      <c r="CU85" s="59">
        <f t="shared" si="40"/>
        <v>97</v>
      </c>
      <c r="CV85" s="59">
        <f t="shared" si="40"/>
        <v>98</v>
      </c>
      <c r="CW85" s="59">
        <f t="shared" si="40"/>
        <v>99</v>
      </c>
      <c r="CX85" s="59">
        <f t="shared" si="40"/>
        <v>100</v>
      </c>
      <c r="CY85" s="59">
        <f t="shared" si="40"/>
        <v>101</v>
      </c>
      <c r="CZ85" s="59">
        <f t="shared" si="40"/>
        <v>102</v>
      </c>
      <c r="DA85" s="59">
        <f t="shared" si="40"/>
        <v>103</v>
      </c>
      <c r="DB85" s="59">
        <f t="shared" si="40"/>
        <v>104</v>
      </c>
      <c r="DC85" s="59">
        <f t="shared" si="40"/>
        <v>105</v>
      </c>
      <c r="DD85" s="59">
        <f t="shared" si="40"/>
        <v>106</v>
      </c>
      <c r="DE85" s="59">
        <f t="shared" si="40"/>
        <v>107</v>
      </c>
      <c r="DF85" s="59">
        <f t="shared" si="40"/>
        <v>108</v>
      </c>
      <c r="DG85" s="59">
        <f t="shared" si="40"/>
        <v>109</v>
      </c>
      <c r="DH85" s="59">
        <f t="shared" si="40"/>
        <v>110</v>
      </c>
      <c r="DI85" s="59">
        <f t="shared" si="40"/>
        <v>111</v>
      </c>
      <c r="DJ85" s="59">
        <f t="shared" si="40"/>
        <v>112</v>
      </c>
      <c r="DK85" s="59">
        <f t="shared" si="40"/>
        <v>113</v>
      </c>
      <c r="DL85" s="59">
        <f t="shared" si="40"/>
        <v>114</v>
      </c>
      <c r="DM85" s="59">
        <f t="shared" si="40"/>
        <v>115</v>
      </c>
      <c r="DN85" s="59">
        <f t="shared" si="40"/>
        <v>116</v>
      </c>
      <c r="DO85" s="59">
        <f t="shared" si="40"/>
        <v>117</v>
      </c>
      <c r="DP85" s="59">
        <f t="shared" si="40"/>
        <v>118</v>
      </c>
      <c r="DQ85" s="59">
        <f t="shared" si="40"/>
        <v>119</v>
      </c>
      <c r="DR85" s="59">
        <f t="shared" si="40"/>
        <v>120</v>
      </c>
      <c r="DS85" s="59">
        <f t="shared" si="40"/>
        <v>121</v>
      </c>
      <c r="DT85" s="59">
        <f t="shared" si="40"/>
        <v>122</v>
      </c>
      <c r="DU85" s="59">
        <f t="shared" si="40"/>
        <v>123</v>
      </c>
      <c r="DV85" s="59">
        <f t="shared" si="40"/>
        <v>124</v>
      </c>
      <c r="DW85" s="59">
        <f t="shared" si="40"/>
        <v>125</v>
      </c>
      <c r="DX85" s="59">
        <f t="shared" si="40"/>
        <v>126</v>
      </c>
      <c r="DY85" s="59">
        <f t="shared" si="40"/>
        <v>127</v>
      </c>
      <c r="DZ85" s="59">
        <f t="shared" si="40"/>
        <v>128</v>
      </c>
      <c r="EA85" s="59">
        <f t="shared" si="40"/>
        <v>129</v>
      </c>
      <c r="EB85" s="59">
        <f t="shared" si="40"/>
        <v>130</v>
      </c>
      <c r="EC85" s="59">
        <f t="shared" si="40"/>
        <v>131</v>
      </c>
      <c r="ED85" s="59">
        <f t="shared" si="40"/>
        <v>132</v>
      </c>
      <c r="EE85" s="59">
        <f t="shared" si="40"/>
        <v>133</v>
      </c>
      <c r="EF85" s="59">
        <f t="shared" si="40"/>
        <v>134</v>
      </c>
      <c r="EG85" s="59">
        <f t="shared" si="40"/>
        <v>135</v>
      </c>
      <c r="EH85" s="59">
        <f t="shared" si="40"/>
        <v>136</v>
      </c>
      <c r="EI85" s="59">
        <f t="shared" si="40"/>
        <v>137</v>
      </c>
      <c r="EJ85" s="59">
        <f t="shared" si="40"/>
        <v>138</v>
      </c>
      <c r="EK85" s="59">
        <f t="shared" si="40"/>
        <v>139</v>
      </c>
      <c r="EL85" s="59">
        <f t="shared" si="40"/>
        <v>140</v>
      </c>
      <c r="EM85" s="59">
        <f t="shared" si="40"/>
        <v>141</v>
      </c>
      <c r="EN85" s="59">
        <f t="shared" si="40"/>
        <v>142</v>
      </c>
      <c r="EO85" s="59">
        <f t="shared" si="40"/>
        <v>143</v>
      </c>
      <c r="EP85" s="59">
        <f t="shared" si="40"/>
        <v>144</v>
      </c>
      <c r="EQ85" s="59">
        <f t="shared" si="40"/>
        <v>145</v>
      </c>
      <c r="ER85" s="59">
        <f t="shared" si="40"/>
        <v>146</v>
      </c>
      <c r="ES85" s="59">
        <f t="shared" si="40"/>
        <v>147</v>
      </c>
      <c r="ET85" s="59">
        <f t="shared" si="40"/>
        <v>148</v>
      </c>
      <c r="EU85" s="59">
        <f t="shared" si="40"/>
        <v>149</v>
      </c>
      <c r="EV85" s="59">
        <f t="shared" si="40"/>
        <v>150</v>
      </c>
      <c r="EW85" s="59">
        <f t="shared" si="40"/>
        <v>151</v>
      </c>
      <c r="EX85" s="59">
        <f t="shared" si="40"/>
        <v>152</v>
      </c>
      <c r="EY85" s="59">
        <f t="shared" si="40"/>
        <v>153</v>
      </c>
      <c r="EZ85" s="59">
        <f t="shared" si="40"/>
        <v>154</v>
      </c>
      <c r="FA85" s="59">
        <f t="shared" si="40"/>
        <v>155</v>
      </c>
      <c r="FB85" s="59">
        <f t="shared" si="40"/>
        <v>156</v>
      </c>
      <c r="FC85" s="59">
        <f t="shared" si="40"/>
        <v>157</v>
      </c>
      <c r="FD85" s="59">
        <f t="shared" si="40"/>
        <v>158</v>
      </c>
      <c r="FE85" s="59">
        <f t="shared" si="40"/>
        <v>159</v>
      </c>
      <c r="FF85" s="59">
        <f t="shared" si="40"/>
        <v>160</v>
      </c>
      <c r="FG85" s="59">
        <f t="shared" si="40"/>
        <v>161</v>
      </c>
      <c r="FH85" s="59">
        <f t="shared" si="40"/>
        <v>162</v>
      </c>
      <c r="FI85" s="59">
        <f t="shared" si="40"/>
        <v>163</v>
      </c>
      <c r="FJ85" s="59">
        <f t="shared" si="40"/>
        <v>164</v>
      </c>
      <c r="FK85" s="59">
        <f t="shared" si="40"/>
        <v>165</v>
      </c>
      <c r="FL85" s="59">
        <f t="shared" si="40"/>
        <v>166</v>
      </c>
      <c r="FM85" s="59">
        <f t="shared" si="40"/>
        <v>167</v>
      </c>
      <c r="FN85" s="59">
        <f t="shared" si="40"/>
        <v>168</v>
      </c>
      <c r="FO85" s="59">
        <f t="shared" si="40"/>
        <v>169</v>
      </c>
      <c r="FP85" s="59">
        <f t="shared" si="40"/>
        <v>170</v>
      </c>
      <c r="FQ85" s="59">
        <f t="shared" si="40"/>
        <v>171</v>
      </c>
      <c r="FR85" s="59">
        <f t="shared" si="40"/>
        <v>172</v>
      </c>
      <c r="FS85" s="59">
        <f t="shared" si="40"/>
        <v>173</v>
      </c>
      <c r="FT85" s="59">
        <f t="shared" si="40"/>
        <v>174</v>
      </c>
      <c r="FU85" s="59">
        <f t="shared" si="40"/>
        <v>175</v>
      </c>
      <c r="FV85" s="59">
        <f t="shared" si="40"/>
        <v>176</v>
      </c>
      <c r="FW85" s="59">
        <f t="shared" si="40"/>
        <v>177</v>
      </c>
      <c r="FX85" s="59">
        <f t="shared" si="40"/>
        <v>178</v>
      </c>
      <c r="FY85" s="59">
        <f t="shared" si="40"/>
        <v>179</v>
      </c>
      <c r="FZ85" s="59">
        <f t="shared" si="40"/>
        <v>180</v>
      </c>
      <c r="GA85" s="59">
        <f t="shared" si="40"/>
        <v>181</v>
      </c>
      <c r="GB85" s="59">
        <f t="shared" si="40"/>
        <v>182</v>
      </c>
      <c r="GC85" s="59">
        <f t="shared" si="40"/>
        <v>183</v>
      </c>
      <c r="GD85" s="59">
        <f t="shared" si="40"/>
        <v>184</v>
      </c>
      <c r="GE85" s="59">
        <f t="shared" si="40"/>
        <v>185</v>
      </c>
      <c r="GF85" s="59">
        <f t="shared" si="40"/>
        <v>186</v>
      </c>
      <c r="GG85" s="59">
        <f t="shared" si="40"/>
        <v>187</v>
      </c>
      <c r="GH85" s="59">
        <f t="shared" si="40"/>
        <v>188</v>
      </c>
      <c r="GI85" s="59">
        <f t="shared" si="40"/>
        <v>189</v>
      </c>
      <c r="GJ85" s="59">
        <f t="shared" si="40"/>
        <v>190</v>
      </c>
      <c r="GK85" s="59">
        <f t="shared" si="40"/>
        <v>191</v>
      </c>
      <c r="GL85" s="59">
        <f t="shared" si="40"/>
        <v>192</v>
      </c>
      <c r="GM85" s="59">
        <f t="shared" si="40"/>
        <v>193</v>
      </c>
      <c r="GN85" s="59">
        <f t="shared" si="40"/>
        <v>194</v>
      </c>
      <c r="GO85" s="59">
        <f t="shared" si="40"/>
        <v>195</v>
      </c>
      <c r="GP85" s="59">
        <f t="shared" si="40"/>
        <v>196</v>
      </c>
      <c r="GQ85" s="59">
        <f t="shared" si="40"/>
        <v>197</v>
      </c>
      <c r="GR85" s="59">
        <f t="shared" si="40"/>
        <v>198</v>
      </c>
      <c r="GS85" s="59">
        <f t="shared" si="40"/>
        <v>199</v>
      </c>
      <c r="GT85" s="59">
        <f t="shared" si="40"/>
        <v>200</v>
      </c>
      <c r="GU85" s="24"/>
      <c r="GX85" s="37"/>
      <c r="GY85" s="37"/>
    </row>
    <row r="86" spans="1:207" s="60" customFormat="1" ht="13.5" customHeight="1" x14ac:dyDescent="0.3">
      <c r="A86" s="76" t="s">
        <v>16</v>
      </c>
      <c r="B86" s="62">
        <v>0</v>
      </c>
      <c r="C86" s="63">
        <f t="shared" ref="C86:AH86" si="41">IF(B86+C72-C42&gt;0,B86+C72-C42,0)</f>
        <v>3.5004</v>
      </c>
      <c r="D86" s="63">
        <f t="shared" si="41"/>
        <v>3.4774999999999991</v>
      </c>
      <c r="E86" s="63">
        <f t="shared" si="41"/>
        <v>3.4970999999999961</v>
      </c>
      <c r="F86" s="63">
        <f t="shared" si="41"/>
        <v>3.4999999999999929</v>
      </c>
      <c r="G86" s="63">
        <f t="shared" si="41"/>
        <v>0.20739999999999448</v>
      </c>
      <c r="H86" s="63">
        <f t="shared" si="41"/>
        <v>0</v>
      </c>
      <c r="I86" s="63">
        <f t="shared" si="41"/>
        <v>0</v>
      </c>
      <c r="J86" s="63">
        <f t="shared" si="41"/>
        <v>0</v>
      </c>
      <c r="K86" s="63">
        <f t="shared" si="41"/>
        <v>0</v>
      </c>
      <c r="L86" s="63">
        <f t="shared" si="41"/>
        <v>0</v>
      </c>
      <c r="M86" s="63">
        <f t="shared" si="41"/>
        <v>0</v>
      </c>
      <c r="N86" s="63">
        <f t="shared" si="41"/>
        <v>0</v>
      </c>
      <c r="O86" s="63">
        <f t="shared" si="41"/>
        <v>0</v>
      </c>
      <c r="P86" s="63">
        <f t="shared" si="41"/>
        <v>0</v>
      </c>
      <c r="Q86" s="63">
        <f t="shared" si="41"/>
        <v>0</v>
      </c>
      <c r="R86" s="63">
        <f t="shared" si="41"/>
        <v>0</v>
      </c>
      <c r="S86" s="63">
        <f t="shared" si="41"/>
        <v>0</v>
      </c>
      <c r="T86" s="63">
        <f t="shared" si="41"/>
        <v>0</v>
      </c>
      <c r="U86" s="63">
        <f t="shared" si="41"/>
        <v>0</v>
      </c>
      <c r="V86" s="63">
        <f t="shared" si="41"/>
        <v>0</v>
      </c>
      <c r="W86" s="63">
        <f t="shared" si="41"/>
        <v>0</v>
      </c>
      <c r="X86" s="63">
        <f t="shared" si="41"/>
        <v>0</v>
      </c>
      <c r="Y86" s="63">
        <f t="shared" si="41"/>
        <v>0</v>
      </c>
      <c r="Z86" s="63">
        <f t="shared" si="41"/>
        <v>0</v>
      </c>
      <c r="AA86" s="63">
        <f t="shared" si="41"/>
        <v>0</v>
      </c>
      <c r="AB86" s="63">
        <f t="shared" si="41"/>
        <v>0</v>
      </c>
      <c r="AC86" s="63">
        <f t="shared" si="41"/>
        <v>0</v>
      </c>
      <c r="AD86" s="63">
        <f t="shared" si="41"/>
        <v>0</v>
      </c>
      <c r="AE86" s="63">
        <f t="shared" si="41"/>
        <v>0</v>
      </c>
      <c r="AF86" s="63">
        <f t="shared" si="41"/>
        <v>0</v>
      </c>
      <c r="AG86" s="63">
        <f t="shared" si="41"/>
        <v>0</v>
      </c>
      <c r="AH86" s="63">
        <f t="shared" si="41"/>
        <v>0</v>
      </c>
      <c r="AI86" s="63">
        <f t="shared" ref="AI86:BN86" si="42">IF(AH86+AI72-AI42&gt;0,AH86+AI72-AI42,0)</f>
        <v>0</v>
      </c>
      <c r="AJ86" s="63">
        <f t="shared" si="42"/>
        <v>0</v>
      </c>
      <c r="AK86" s="63">
        <f t="shared" si="42"/>
        <v>0</v>
      </c>
      <c r="AL86" s="63">
        <f t="shared" si="42"/>
        <v>0</v>
      </c>
      <c r="AM86" s="63">
        <f t="shared" si="42"/>
        <v>0</v>
      </c>
      <c r="AN86" s="63">
        <f t="shared" si="42"/>
        <v>0</v>
      </c>
      <c r="AO86" s="63">
        <f t="shared" si="42"/>
        <v>0</v>
      </c>
      <c r="AP86" s="63">
        <f t="shared" si="42"/>
        <v>0</v>
      </c>
      <c r="AQ86" s="63">
        <f t="shared" si="42"/>
        <v>0</v>
      </c>
      <c r="AR86" s="63">
        <f t="shared" si="42"/>
        <v>0</v>
      </c>
      <c r="AS86" s="63">
        <f t="shared" si="42"/>
        <v>0</v>
      </c>
      <c r="AT86" s="63">
        <f t="shared" si="42"/>
        <v>0</v>
      </c>
      <c r="AU86" s="63">
        <f t="shared" si="42"/>
        <v>0</v>
      </c>
      <c r="AV86" s="63">
        <f t="shared" si="42"/>
        <v>0</v>
      </c>
      <c r="AW86" s="63">
        <f t="shared" si="42"/>
        <v>0</v>
      </c>
      <c r="AX86" s="63">
        <f t="shared" si="42"/>
        <v>0</v>
      </c>
      <c r="AY86" s="63">
        <f t="shared" si="42"/>
        <v>0</v>
      </c>
      <c r="AZ86" s="63">
        <f t="shared" si="42"/>
        <v>0</v>
      </c>
      <c r="BA86" s="63">
        <f t="shared" si="42"/>
        <v>0</v>
      </c>
      <c r="BB86" s="63">
        <f t="shared" si="42"/>
        <v>0</v>
      </c>
      <c r="BC86" s="63">
        <f t="shared" si="42"/>
        <v>0</v>
      </c>
      <c r="BD86" s="63">
        <f t="shared" si="42"/>
        <v>0</v>
      </c>
      <c r="BE86" s="63">
        <f t="shared" si="42"/>
        <v>0</v>
      </c>
      <c r="BF86" s="63">
        <f t="shared" si="42"/>
        <v>0</v>
      </c>
      <c r="BG86" s="63">
        <f t="shared" si="42"/>
        <v>0</v>
      </c>
      <c r="BH86" s="63">
        <f t="shared" si="42"/>
        <v>0</v>
      </c>
      <c r="BI86" s="63">
        <f t="shared" si="42"/>
        <v>0</v>
      </c>
      <c r="BJ86" s="63">
        <f t="shared" si="42"/>
        <v>0</v>
      </c>
      <c r="BK86" s="63">
        <f t="shared" si="42"/>
        <v>0</v>
      </c>
      <c r="BL86" s="63">
        <f t="shared" si="42"/>
        <v>0</v>
      </c>
      <c r="BM86" s="63">
        <f t="shared" si="42"/>
        <v>0</v>
      </c>
      <c r="BN86" s="63">
        <f t="shared" si="42"/>
        <v>0</v>
      </c>
      <c r="BO86" s="63">
        <f t="shared" ref="BO86:CT86" si="43">IF(BN86+BO72-BO42&gt;0,BN86+BO72-BO42,0)</f>
        <v>0</v>
      </c>
      <c r="BP86" s="63">
        <f t="shared" si="43"/>
        <v>0</v>
      </c>
      <c r="BQ86" s="63">
        <f t="shared" si="43"/>
        <v>0</v>
      </c>
      <c r="BR86" s="63">
        <f t="shared" si="43"/>
        <v>0</v>
      </c>
      <c r="BS86" s="63">
        <f t="shared" si="43"/>
        <v>0</v>
      </c>
      <c r="BT86" s="63">
        <f t="shared" si="43"/>
        <v>0</v>
      </c>
      <c r="BU86" s="63">
        <f t="shared" si="43"/>
        <v>0</v>
      </c>
      <c r="BV86" s="63">
        <f t="shared" si="43"/>
        <v>0</v>
      </c>
      <c r="BW86" s="63">
        <f t="shared" si="43"/>
        <v>0</v>
      </c>
      <c r="BX86" s="63">
        <f t="shared" si="43"/>
        <v>0</v>
      </c>
      <c r="BY86" s="63">
        <f t="shared" si="43"/>
        <v>0</v>
      </c>
      <c r="BZ86" s="63">
        <f t="shared" si="43"/>
        <v>0</v>
      </c>
      <c r="CA86" s="63">
        <f t="shared" si="43"/>
        <v>0</v>
      </c>
      <c r="CB86" s="63">
        <f t="shared" si="43"/>
        <v>0</v>
      </c>
      <c r="CC86" s="63">
        <f t="shared" si="43"/>
        <v>0</v>
      </c>
      <c r="CD86" s="63">
        <f t="shared" si="43"/>
        <v>0</v>
      </c>
      <c r="CE86" s="63">
        <f t="shared" si="43"/>
        <v>0</v>
      </c>
      <c r="CF86" s="63">
        <f t="shared" si="43"/>
        <v>0</v>
      </c>
      <c r="CG86" s="63">
        <f t="shared" si="43"/>
        <v>0</v>
      </c>
      <c r="CH86" s="63">
        <f t="shared" si="43"/>
        <v>0</v>
      </c>
      <c r="CI86" s="63">
        <f t="shared" si="43"/>
        <v>0</v>
      </c>
      <c r="CJ86" s="63">
        <f t="shared" si="43"/>
        <v>0</v>
      </c>
      <c r="CK86" s="63">
        <f t="shared" si="43"/>
        <v>0</v>
      </c>
      <c r="CL86" s="63">
        <f t="shared" si="43"/>
        <v>0</v>
      </c>
      <c r="CM86" s="63">
        <f t="shared" si="43"/>
        <v>0</v>
      </c>
      <c r="CN86" s="63">
        <f t="shared" si="43"/>
        <v>0</v>
      </c>
      <c r="CO86" s="63">
        <f t="shared" si="43"/>
        <v>0</v>
      </c>
      <c r="CP86" s="63">
        <f t="shared" si="43"/>
        <v>0</v>
      </c>
      <c r="CQ86" s="63">
        <f t="shared" si="43"/>
        <v>0</v>
      </c>
      <c r="CR86" s="63">
        <f t="shared" si="43"/>
        <v>0</v>
      </c>
      <c r="CS86" s="63">
        <f t="shared" si="43"/>
        <v>0</v>
      </c>
      <c r="CT86" s="63">
        <f t="shared" si="43"/>
        <v>0</v>
      </c>
      <c r="CU86" s="63">
        <f t="shared" ref="CU86:DZ86" si="44">IF(CT86+CU72-CU42&gt;0,CT86+CU72-CU42,0)</f>
        <v>0</v>
      </c>
      <c r="CV86" s="63">
        <f t="shared" si="44"/>
        <v>0</v>
      </c>
      <c r="CW86" s="63">
        <f t="shared" si="44"/>
        <v>0</v>
      </c>
      <c r="CX86" s="63">
        <f t="shared" si="44"/>
        <v>0</v>
      </c>
      <c r="CY86" s="63">
        <f t="shared" si="44"/>
        <v>0</v>
      </c>
      <c r="CZ86" s="63">
        <f t="shared" si="44"/>
        <v>0</v>
      </c>
      <c r="DA86" s="63">
        <f t="shared" si="44"/>
        <v>0</v>
      </c>
      <c r="DB86" s="63">
        <f t="shared" si="44"/>
        <v>0</v>
      </c>
      <c r="DC86" s="63">
        <f t="shared" si="44"/>
        <v>0</v>
      </c>
      <c r="DD86" s="63">
        <f t="shared" si="44"/>
        <v>0</v>
      </c>
      <c r="DE86" s="63">
        <f t="shared" si="44"/>
        <v>0</v>
      </c>
      <c r="DF86" s="63">
        <f t="shared" si="44"/>
        <v>0</v>
      </c>
      <c r="DG86" s="63">
        <f t="shared" si="44"/>
        <v>0</v>
      </c>
      <c r="DH86" s="63">
        <f t="shared" si="44"/>
        <v>0</v>
      </c>
      <c r="DI86" s="63">
        <f t="shared" si="44"/>
        <v>0</v>
      </c>
      <c r="DJ86" s="63">
        <f t="shared" si="44"/>
        <v>0</v>
      </c>
      <c r="DK86" s="63">
        <f t="shared" si="44"/>
        <v>0</v>
      </c>
      <c r="DL86" s="63">
        <f t="shared" si="44"/>
        <v>0</v>
      </c>
      <c r="DM86" s="63">
        <f t="shared" si="44"/>
        <v>0</v>
      </c>
      <c r="DN86" s="63">
        <f t="shared" si="44"/>
        <v>0</v>
      </c>
      <c r="DO86" s="63">
        <f t="shared" si="44"/>
        <v>0</v>
      </c>
      <c r="DP86" s="63">
        <f t="shared" si="44"/>
        <v>0</v>
      </c>
      <c r="DQ86" s="63">
        <f t="shared" si="44"/>
        <v>0</v>
      </c>
      <c r="DR86" s="63">
        <f t="shared" si="44"/>
        <v>0</v>
      </c>
      <c r="DS86" s="63">
        <f t="shared" si="44"/>
        <v>0</v>
      </c>
      <c r="DT86" s="63">
        <f t="shared" si="44"/>
        <v>0</v>
      </c>
      <c r="DU86" s="63">
        <f t="shared" si="44"/>
        <v>0</v>
      </c>
      <c r="DV86" s="63">
        <f t="shared" si="44"/>
        <v>0</v>
      </c>
      <c r="DW86" s="63">
        <f t="shared" si="44"/>
        <v>0</v>
      </c>
      <c r="DX86" s="63">
        <f t="shared" si="44"/>
        <v>0</v>
      </c>
      <c r="DY86" s="63">
        <f t="shared" si="44"/>
        <v>0</v>
      </c>
      <c r="DZ86" s="63">
        <f t="shared" si="44"/>
        <v>0</v>
      </c>
      <c r="EA86" s="63">
        <f t="shared" ref="EA86:FF86" si="45">IF(DZ86+EA72-EA42&gt;0,DZ86+EA72-EA42,0)</f>
        <v>0</v>
      </c>
      <c r="EB86" s="63">
        <f t="shared" si="45"/>
        <v>0</v>
      </c>
      <c r="EC86" s="63">
        <f t="shared" si="45"/>
        <v>0</v>
      </c>
      <c r="ED86" s="63">
        <f t="shared" si="45"/>
        <v>0</v>
      </c>
      <c r="EE86" s="63">
        <f t="shared" si="45"/>
        <v>0</v>
      </c>
      <c r="EF86" s="63">
        <f t="shared" si="45"/>
        <v>0</v>
      </c>
      <c r="EG86" s="63">
        <f t="shared" si="45"/>
        <v>0</v>
      </c>
      <c r="EH86" s="63">
        <f t="shared" si="45"/>
        <v>0</v>
      </c>
      <c r="EI86" s="63">
        <f t="shared" si="45"/>
        <v>0</v>
      </c>
      <c r="EJ86" s="63">
        <f t="shared" si="45"/>
        <v>0</v>
      </c>
      <c r="EK86" s="63">
        <f t="shared" si="45"/>
        <v>0</v>
      </c>
      <c r="EL86" s="63">
        <f t="shared" si="45"/>
        <v>0</v>
      </c>
      <c r="EM86" s="63">
        <f t="shared" si="45"/>
        <v>0</v>
      </c>
      <c r="EN86" s="63">
        <f t="shared" si="45"/>
        <v>0</v>
      </c>
      <c r="EO86" s="63">
        <f t="shared" si="45"/>
        <v>0</v>
      </c>
      <c r="EP86" s="63">
        <f t="shared" si="45"/>
        <v>0</v>
      </c>
      <c r="EQ86" s="63">
        <f t="shared" si="45"/>
        <v>0</v>
      </c>
      <c r="ER86" s="63">
        <f t="shared" si="45"/>
        <v>0</v>
      </c>
      <c r="ES86" s="63">
        <f t="shared" si="45"/>
        <v>0</v>
      </c>
      <c r="ET86" s="63">
        <f t="shared" si="45"/>
        <v>0</v>
      </c>
      <c r="EU86" s="63">
        <f t="shared" si="45"/>
        <v>0</v>
      </c>
      <c r="EV86" s="63">
        <f t="shared" si="45"/>
        <v>0</v>
      </c>
      <c r="EW86" s="63">
        <f t="shared" si="45"/>
        <v>0</v>
      </c>
      <c r="EX86" s="63">
        <f t="shared" si="45"/>
        <v>0</v>
      </c>
      <c r="EY86" s="63">
        <f t="shared" si="45"/>
        <v>0</v>
      </c>
      <c r="EZ86" s="63">
        <f t="shared" si="45"/>
        <v>0</v>
      </c>
      <c r="FA86" s="63">
        <f t="shared" si="45"/>
        <v>0</v>
      </c>
      <c r="FB86" s="63">
        <f t="shared" si="45"/>
        <v>0</v>
      </c>
      <c r="FC86" s="63">
        <f t="shared" si="45"/>
        <v>0</v>
      </c>
      <c r="FD86" s="63">
        <f t="shared" si="45"/>
        <v>0</v>
      </c>
      <c r="FE86" s="63">
        <f t="shared" si="45"/>
        <v>0</v>
      </c>
      <c r="FF86" s="63">
        <f t="shared" si="45"/>
        <v>0</v>
      </c>
      <c r="FG86" s="63">
        <f t="shared" ref="FG86:GL86" si="46">IF(FF86+FG72-FG42&gt;0,FF86+FG72-FG42,0)</f>
        <v>0</v>
      </c>
      <c r="FH86" s="63">
        <f t="shared" si="46"/>
        <v>0</v>
      </c>
      <c r="FI86" s="63">
        <f t="shared" si="46"/>
        <v>0</v>
      </c>
      <c r="FJ86" s="63">
        <f t="shared" si="46"/>
        <v>0</v>
      </c>
      <c r="FK86" s="63">
        <f t="shared" si="46"/>
        <v>0</v>
      </c>
      <c r="FL86" s="63">
        <f t="shared" si="46"/>
        <v>0</v>
      </c>
      <c r="FM86" s="63">
        <f t="shared" si="46"/>
        <v>0</v>
      </c>
      <c r="FN86" s="63">
        <f t="shared" si="46"/>
        <v>0</v>
      </c>
      <c r="FO86" s="63">
        <f t="shared" si="46"/>
        <v>0</v>
      </c>
      <c r="FP86" s="63">
        <f t="shared" si="46"/>
        <v>0</v>
      </c>
      <c r="FQ86" s="63">
        <f t="shared" si="46"/>
        <v>0</v>
      </c>
      <c r="FR86" s="63">
        <f t="shared" si="46"/>
        <v>0</v>
      </c>
      <c r="FS86" s="63">
        <f t="shared" si="46"/>
        <v>0</v>
      </c>
      <c r="FT86" s="63">
        <f t="shared" si="46"/>
        <v>0</v>
      </c>
      <c r="FU86" s="63">
        <f t="shared" si="46"/>
        <v>0</v>
      </c>
      <c r="FV86" s="63">
        <f t="shared" si="46"/>
        <v>0</v>
      </c>
      <c r="FW86" s="63">
        <f t="shared" si="46"/>
        <v>0</v>
      </c>
      <c r="FX86" s="63">
        <f t="shared" si="46"/>
        <v>0</v>
      </c>
      <c r="FY86" s="63">
        <f t="shared" si="46"/>
        <v>0</v>
      </c>
      <c r="FZ86" s="63">
        <f t="shared" si="46"/>
        <v>0</v>
      </c>
      <c r="GA86" s="63">
        <f t="shared" si="46"/>
        <v>0</v>
      </c>
      <c r="GB86" s="63">
        <f t="shared" si="46"/>
        <v>0</v>
      </c>
      <c r="GC86" s="63">
        <f t="shared" si="46"/>
        <v>0</v>
      </c>
      <c r="GD86" s="63">
        <f t="shared" si="46"/>
        <v>0</v>
      </c>
      <c r="GE86" s="63">
        <f t="shared" si="46"/>
        <v>0</v>
      </c>
      <c r="GF86" s="63">
        <f t="shared" si="46"/>
        <v>0</v>
      </c>
      <c r="GG86" s="63">
        <f t="shared" si="46"/>
        <v>0</v>
      </c>
      <c r="GH86" s="63">
        <f t="shared" si="46"/>
        <v>0</v>
      </c>
      <c r="GI86" s="63">
        <f t="shared" si="46"/>
        <v>0</v>
      </c>
      <c r="GJ86" s="63">
        <f t="shared" si="46"/>
        <v>0</v>
      </c>
      <c r="GK86" s="63">
        <f t="shared" si="46"/>
        <v>0</v>
      </c>
      <c r="GL86" s="63">
        <f t="shared" si="46"/>
        <v>0</v>
      </c>
      <c r="GM86" s="63">
        <f t="shared" ref="GM86:GT86" si="47">IF(GL86+GM72-GM42&gt;0,GL86+GM72-GM42,0)</f>
        <v>0</v>
      </c>
      <c r="GN86" s="63">
        <f t="shared" si="47"/>
        <v>0</v>
      </c>
      <c r="GO86" s="63">
        <f t="shared" si="47"/>
        <v>0</v>
      </c>
      <c r="GP86" s="63">
        <f t="shared" si="47"/>
        <v>0</v>
      </c>
      <c r="GQ86" s="63">
        <f t="shared" si="47"/>
        <v>0</v>
      </c>
      <c r="GR86" s="63">
        <f t="shared" si="47"/>
        <v>0</v>
      </c>
      <c r="GS86" s="63">
        <f t="shared" si="47"/>
        <v>0</v>
      </c>
      <c r="GT86" s="63">
        <f t="shared" si="47"/>
        <v>0</v>
      </c>
      <c r="GU86" s="63"/>
      <c r="GX86" s="37"/>
      <c r="GY86" s="37"/>
    </row>
    <row r="87" spans="1:207" s="60" customFormat="1" ht="13.5" customHeight="1" x14ac:dyDescent="0.3">
      <c r="A87" s="76" t="s">
        <v>43</v>
      </c>
      <c r="B87" s="62">
        <v>0</v>
      </c>
      <c r="C87" s="63">
        <f t="shared" ref="C87:AH87" si="48">IF(B$86+C$72&gt;0,(B$86+C$72-C$94)*(B87+C74*C$72)/(B$86+C$72),0)</f>
        <v>206.85351377339879</v>
      </c>
      <c r="D87" s="63">
        <f t="shared" si="48"/>
        <v>209.20360798265426</v>
      </c>
      <c r="E87" s="63">
        <f t="shared" si="48"/>
        <v>211.21044367639988</v>
      </c>
      <c r="F87" s="63">
        <f t="shared" si="48"/>
        <v>211.41727820904822</v>
      </c>
      <c r="G87" s="63">
        <f t="shared" si="48"/>
        <v>12.464371719672766</v>
      </c>
      <c r="H87" s="63">
        <f t="shared" si="48"/>
        <v>0</v>
      </c>
      <c r="I87" s="63">
        <f t="shared" si="48"/>
        <v>0</v>
      </c>
      <c r="J87" s="63">
        <f t="shared" si="48"/>
        <v>0</v>
      </c>
      <c r="K87" s="63">
        <f t="shared" si="48"/>
        <v>0</v>
      </c>
      <c r="L87" s="63">
        <f t="shared" si="48"/>
        <v>0</v>
      </c>
      <c r="M87" s="63">
        <f t="shared" si="48"/>
        <v>0</v>
      </c>
      <c r="N87" s="63">
        <f t="shared" si="48"/>
        <v>0</v>
      </c>
      <c r="O87" s="63">
        <f t="shared" si="48"/>
        <v>0</v>
      </c>
      <c r="P87" s="63">
        <f t="shared" si="48"/>
        <v>0</v>
      </c>
      <c r="Q87" s="63">
        <f t="shared" si="48"/>
        <v>0</v>
      </c>
      <c r="R87" s="63">
        <f t="shared" si="48"/>
        <v>0</v>
      </c>
      <c r="S87" s="63">
        <f t="shared" si="48"/>
        <v>0</v>
      </c>
      <c r="T87" s="63">
        <f t="shared" si="48"/>
        <v>0</v>
      </c>
      <c r="U87" s="63">
        <f t="shared" si="48"/>
        <v>0</v>
      </c>
      <c r="V87" s="63">
        <f t="shared" si="48"/>
        <v>0</v>
      </c>
      <c r="W87" s="63">
        <f t="shared" si="48"/>
        <v>0</v>
      </c>
      <c r="X87" s="63">
        <f t="shared" si="48"/>
        <v>0</v>
      </c>
      <c r="Y87" s="63">
        <f t="shared" si="48"/>
        <v>0</v>
      </c>
      <c r="Z87" s="63">
        <f t="shared" si="48"/>
        <v>0</v>
      </c>
      <c r="AA87" s="63">
        <f t="shared" si="48"/>
        <v>0</v>
      </c>
      <c r="AB87" s="63">
        <f t="shared" si="48"/>
        <v>0</v>
      </c>
      <c r="AC87" s="63">
        <f t="shared" si="48"/>
        <v>0</v>
      </c>
      <c r="AD87" s="63">
        <f t="shared" si="48"/>
        <v>0</v>
      </c>
      <c r="AE87" s="63">
        <f t="shared" si="48"/>
        <v>0</v>
      </c>
      <c r="AF87" s="63">
        <f t="shared" si="48"/>
        <v>0</v>
      </c>
      <c r="AG87" s="63">
        <f t="shared" si="48"/>
        <v>0</v>
      </c>
      <c r="AH87" s="63">
        <f t="shared" si="48"/>
        <v>0</v>
      </c>
      <c r="AI87" s="63">
        <f t="shared" ref="AI87:BN87" si="49">IF(AH$86+AI$72&gt;0,(AH$86+AI$72-AI$94)*(AH87+AI74*AI$72)/(AH$86+AI$72),0)</f>
        <v>0</v>
      </c>
      <c r="AJ87" s="63">
        <f t="shared" si="49"/>
        <v>0</v>
      </c>
      <c r="AK87" s="63">
        <f t="shared" si="49"/>
        <v>0</v>
      </c>
      <c r="AL87" s="63">
        <f t="shared" si="49"/>
        <v>0</v>
      </c>
      <c r="AM87" s="63">
        <f t="shared" si="49"/>
        <v>0</v>
      </c>
      <c r="AN87" s="63">
        <f t="shared" si="49"/>
        <v>0</v>
      </c>
      <c r="AO87" s="63">
        <f t="shared" si="49"/>
        <v>0</v>
      </c>
      <c r="AP87" s="63">
        <f t="shared" si="49"/>
        <v>0</v>
      </c>
      <c r="AQ87" s="63">
        <f t="shared" si="49"/>
        <v>0</v>
      </c>
      <c r="AR87" s="63">
        <f t="shared" si="49"/>
        <v>0</v>
      </c>
      <c r="AS87" s="63">
        <f t="shared" si="49"/>
        <v>0</v>
      </c>
      <c r="AT87" s="63">
        <f t="shared" si="49"/>
        <v>0</v>
      </c>
      <c r="AU87" s="63">
        <f t="shared" si="49"/>
        <v>0</v>
      </c>
      <c r="AV87" s="63">
        <f t="shared" si="49"/>
        <v>0</v>
      </c>
      <c r="AW87" s="63">
        <f t="shared" si="49"/>
        <v>0</v>
      </c>
      <c r="AX87" s="63">
        <f t="shared" si="49"/>
        <v>0</v>
      </c>
      <c r="AY87" s="63">
        <f t="shared" si="49"/>
        <v>0</v>
      </c>
      <c r="AZ87" s="63">
        <f t="shared" si="49"/>
        <v>0</v>
      </c>
      <c r="BA87" s="63">
        <f t="shared" si="49"/>
        <v>0</v>
      </c>
      <c r="BB87" s="63">
        <f t="shared" si="49"/>
        <v>0</v>
      </c>
      <c r="BC87" s="63">
        <f t="shared" si="49"/>
        <v>0</v>
      </c>
      <c r="BD87" s="63">
        <f t="shared" si="49"/>
        <v>0</v>
      </c>
      <c r="BE87" s="63">
        <f t="shared" si="49"/>
        <v>0</v>
      </c>
      <c r="BF87" s="63">
        <f t="shared" si="49"/>
        <v>0</v>
      </c>
      <c r="BG87" s="63">
        <f t="shared" si="49"/>
        <v>0</v>
      </c>
      <c r="BH87" s="63">
        <f t="shared" si="49"/>
        <v>0</v>
      </c>
      <c r="BI87" s="63">
        <f t="shared" si="49"/>
        <v>0</v>
      </c>
      <c r="BJ87" s="63">
        <f t="shared" si="49"/>
        <v>0</v>
      </c>
      <c r="BK87" s="63">
        <f t="shared" si="49"/>
        <v>0</v>
      </c>
      <c r="BL87" s="63">
        <f t="shared" si="49"/>
        <v>0</v>
      </c>
      <c r="BM87" s="63">
        <f t="shared" si="49"/>
        <v>0</v>
      </c>
      <c r="BN87" s="63">
        <f t="shared" si="49"/>
        <v>0</v>
      </c>
      <c r="BO87" s="63">
        <f t="shared" ref="BO87:CT87" si="50">IF(BN$86+BO$72&gt;0,(BN$86+BO$72-BO$94)*(BN87+BO74*BO$72)/(BN$86+BO$72),0)</f>
        <v>0</v>
      </c>
      <c r="BP87" s="63">
        <f t="shared" si="50"/>
        <v>0</v>
      </c>
      <c r="BQ87" s="63">
        <f t="shared" si="50"/>
        <v>0</v>
      </c>
      <c r="BR87" s="63">
        <f t="shared" si="50"/>
        <v>0</v>
      </c>
      <c r="BS87" s="63">
        <f t="shared" si="50"/>
        <v>0</v>
      </c>
      <c r="BT87" s="63">
        <f t="shared" si="50"/>
        <v>0</v>
      </c>
      <c r="BU87" s="63">
        <f t="shared" si="50"/>
        <v>0</v>
      </c>
      <c r="BV87" s="63">
        <f t="shared" si="50"/>
        <v>0</v>
      </c>
      <c r="BW87" s="63">
        <f t="shared" si="50"/>
        <v>0</v>
      </c>
      <c r="BX87" s="63">
        <f t="shared" si="50"/>
        <v>0</v>
      </c>
      <c r="BY87" s="63">
        <f t="shared" si="50"/>
        <v>0</v>
      </c>
      <c r="BZ87" s="63">
        <f t="shared" si="50"/>
        <v>0</v>
      </c>
      <c r="CA87" s="63">
        <f t="shared" si="50"/>
        <v>0</v>
      </c>
      <c r="CB87" s="63">
        <f t="shared" si="50"/>
        <v>0</v>
      </c>
      <c r="CC87" s="63">
        <f t="shared" si="50"/>
        <v>0</v>
      </c>
      <c r="CD87" s="63">
        <f t="shared" si="50"/>
        <v>0</v>
      </c>
      <c r="CE87" s="63">
        <f t="shared" si="50"/>
        <v>0</v>
      </c>
      <c r="CF87" s="63">
        <f t="shared" si="50"/>
        <v>0</v>
      </c>
      <c r="CG87" s="63">
        <f t="shared" si="50"/>
        <v>0</v>
      </c>
      <c r="CH87" s="63">
        <f t="shared" si="50"/>
        <v>0</v>
      </c>
      <c r="CI87" s="63">
        <f t="shared" si="50"/>
        <v>0</v>
      </c>
      <c r="CJ87" s="63">
        <f t="shared" si="50"/>
        <v>0</v>
      </c>
      <c r="CK87" s="63">
        <f t="shared" si="50"/>
        <v>0</v>
      </c>
      <c r="CL87" s="63">
        <f t="shared" si="50"/>
        <v>0</v>
      </c>
      <c r="CM87" s="63">
        <f t="shared" si="50"/>
        <v>0</v>
      </c>
      <c r="CN87" s="63">
        <f t="shared" si="50"/>
        <v>0</v>
      </c>
      <c r="CO87" s="63">
        <f t="shared" si="50"/>
        <v>0</v>
      </c>
      <c r="CP87" s="63">
        <f t="shared" si="50"/>
        <v>0</v>
      </c>
      <c r="CQ87" s="63">
        <f t="shared" si="50"/>
        <v>0</v>
      </c>
      <c r="CR87" s="63">
        <f t="shared" si="50"/>
        <v>0</v>
      </c>
      <c r="CS87" s="63">
        <f t="shared" si="50"/>
        <v>0</v>
      </c>
      <c r="CT87" s="63">
        <f t="shared" si="50"/>
        <v>0</v>
      </c>
      <c r="CU87" s="63">
        <f t="shared" ref="CU87:DZ87" si="51">IF(CT$86+CU$72&gt;0,(CT$86+CU$72-CU$94)*(CT87+CU74*CU$72)/(CT$86+CU$72),0)</f>
        <v>0</v>
      </c>
      <c r="CV87" s="63">
        <f t="shared" si="51"/>
        <v>0</v>
      </c>
      <c r="CW87" s="63">
        <f t="shared" si="51"/>
        <v>0</v>
      </c>
      <c r="CX87" s="63">
        <f t="shared" si="51"/>
        <v>0</v>
      </c>
      <c r="CY87" s="63">
        <f t="shared" si="51"/>
        <v>0</v>
      </c>
      <c r="CZ87" s="63">
        <f t="shared" si="51"/>
        <v>0</v>
      </c>
      <c r="DA87" s="63">
        <f t="shared" si="51"/>
        <v>0</v>
      </c>
      <c r="DB87" s="63">
        <f t="shared" si="51"/>
        <v>0</v>
      </c>
      <c r="DC87" s="63">
        <f t="shared" si="51"/>
        <v>0</v>
      </c>
      <c r="DD87" s="63">
        <f t="shared" si="51"/>
        <v>0</v>
      </c>
      <c r="DE87" s="63">
        <f t="shared" si="51"/>
        <v>0</v>
      </c>
      <c r="DF87" s="63">
        <f t="shared" si="51"/>
        <v>0</v>
      </c>
      <c r="DG87" s="63">
        <f t="shared" si="51"/>
        <v>0</v>
      </c>
      <c r="DH87" s="63">
        <f t="shared" si="51"/>
        <v>0</v>
      </c>
      <c r="DI87" s="63">
        <f t="shared" si="51"/>
        <v>0</v>
      </c>
      <c r="DJ87" s="63">
        <f t="shared" si="51"/>
        <v>0</v>
      </c>
      <c r="DK87" s="63">
        <f t="shared" si="51"/>
        <v>0</v>
      </c>
      <c r="DL87" s="63">
        <f t="shared" si="51"/>
        <v>0</v>
      </c>
      <c r="DM87" s="63">
        <f t="shared" si="51"/>
        <v>0</v>
      </c>
      <c r="DN87" s="63">
        <f t="shared" si="51"/>
        <v>0</v>
      </c>
      <c r="DO87" s="63">
        <f t="shared" si="51"/>
        <v>0</v>
      </c>
      <c r="DP87" s="63">
        <f t="shared" si="51"/>
        <v>0</v>
      </c>
      <c r="DQ87" s="63">
        <f t="shared" si="51"/>
        <v>0</v>
      </c>
      <c r="DR87" s="63">
        <f t="shared" si="51"/>
        <v>0</v>
      </c>
      <c r="DS87" s="63">
        <f t="shared" si="51"/>
        <v>0</v>
      </c>
      <c r="DT87" s="63">
        <f t="shared" si="51"/>
        <v>0</v>
      </c>
      <c r="DU87" s="63">
        <f t="shared" si="51"/>
        <v>0</v>
      </c>
      <c r="DV87" s="63">
        <f t="shared" si="51"/>
        <v>0</v>
      </c>
      <c r="DW87" s="63">
        <f t="shared" si="51"/>
        <v>0</v>
      </c>
      <c r="DX87" s="63">
        <f t="shared" si="51"/>
        <v>0</v>
      </c>
      <c r="DY87" s="63">
        <f t="shared" si="51"/>
        <v>0</v>
      </c>
      <c r="DZ87" s="63">
        <f t="shared" si="51"/>
        <v>0</v>
      </c>
      <c r="EA87" s="63">
        <f t="shared" ref="EA87:FF87" si="52">IF(DZ$86+EA$72&gt;0,(DZ$86+EA$72-EA$94)*(DZ87+EA74*EA$72)/(DZ$86+EA$72),0)</f>
        <v>0</v>
      </c>
      <c r="EB87" s="63">
        <f t="shared" si="52"/>
        <v>0</v>
      </c>
      <c r="EC87" s="63">
        <f t="shared" si="52"/>
        <v>0</v>
      </c>
      <c r="ED87" s="63">
        <f t="shared" si="52"/>
        <v>0</v>
      </c>
      <c r="EE87" s="63">
        <f t="shared" si="52"/>
        <v>0</v>
      </c>
      <c r="EF87" s="63">
        <f t="shared" si="52"/>
        <v>0</v>
      </c>
      <c r="EG87" s="63">
        <f t="shared" si="52"/>
        <v>0</v>
      </c>
      <c r="EH87" s="63">
        <f t="shared" si="52"/>
        <v>0</v>
      </c>
      <c r="EI87" s="63">
        <f t="shared" si="52"/>
        <v>0</v>
      </c>
      <c r="EJ87" s="63">
        <f t="shared" si="52"/>
        <v>0</v>
      </c>
      <c r="EK87" s="63">
        <f t="shared" si="52"/>
        <v>0</v>
      </c>
      <c r="EL87" s="63">
        <f t="shared" si="52"/>
        <v>0</v>
      </c>
      <c r="EM87" s="63">
        <f t="shared" si="52"/>
        <v>0</v>
      </c>
      <c r="EN87" s="63">
        <f t="shared" si="52"/>
        <v>0</v>
      </c>
      <c r="EO87" s="63">
        <f t="shared" si="52"/>
        <v>0</v>
      </c>
      <c r="EP87" s="63">
        <f t="shared" si="52"/>
        <v>0</v>
      </c>
      <c r="EQ87" s="63">
        <f t="shared" si="52"/>
        <v>0</v>
      </c>
      <c r="ER87" s="63">
        <f t="shared" si="52"/>
        <v>0</v>
      </c>
      <c r="ES87" s="63">
        <f t="shared" si="52"/>
        <v>0</v>
      </c>
      <c r="ET87" s="63">
        <f t="shared" si="52"/>
        <v>0</v>
      </c>
      <c r="EU87" s="63">
        <f t="shared" si="52"/>
        <v>0</v>
      </c>
      <c r="EV87" s="63">
        <f t="shared" si="52"/>
        <v>0</v>
      </c>
      <c r="EW87" s="63">
        <f t="shared" si="52"/>
        <v>0</v>
      </c>
      <c r="EX87" s="63">
        <f t="shared" si="52"/>
        <v>0</v>
      </c>
      <c r="EY87" s="63">
        <f t="shared" si="52"/>
        <v>0</v>
      </c>
      <c r="EZ87" s="63">
        <f t="shared" si="52"/>
        <v>0</v>
      </c>
      <c r="FA87" s="63">
        <f t="shared" si="52"/>
        <v>0</v>
      </c>
      <c r="FB87" s="63">
        <f t="shared" si="52"/>
        <v>0</v>
      </c>
      <c r="FC87" s="63">
        <f t="shared" si="52"/>
        <v>0</v>
      </c>
      <c r="FD87" s="63">
        <f t="shared" si="52"/>
        <v>0</v>
      </c>
      <c r="FE87" s="63">
        <f t="shared" si="52"/>
        <v>0</v>
      </c>
      <c r="FF87" s="63">
        <f t="shared" si="52"/>
        <v>0</v>
      </c>
      <c r="FG87" s="63">
        <f t="shared" ref="FG87:GL87" si="53">IF(FF$86+FG$72&gt;0,(FF$86+FG$72-FG$94)*(FF87+FG74*FG$72)/(FF$86+FG$72),0)</f>
        <v>0</v>
      </c>
      <c r="FH87" s="63">
        <f t="shared" si="53"/>
        <v>0</v>
      </c>
      <c r="FI87" s="63">
        <f t="shared" si="53"/>
        <v>0</v>
      </c>
      <c r="FJ87" s="63">
        <f t="shared" si="53"/>
        <v>0</v>
      </c>
      <c r="FK87" s="63">
        <f t="shared" si="53"/>
        <v>0</v>
      </c>
      <c r="FL87" s="63">
        <f t="shared" si="53"/>
        <v>0</v>
      </c>
      <c r="FM87" s="63">
        <f t="shared" si="53"/>
        <v>0</v>
      </c>
      <c r="FN87" s="63">
        <f t="shared" si="53"/>
        <v>0</v>
      </c>
      <c r="FO87" s="63">
        <f t="shared" si="53"/>
        <v>0</v>
      </c>
      <c r="FP87" s="63">
        <f t="shared" si="53"/>
        <v>0</v>
      </c>
      <c r="FQ87" s="63">
        <f t="shared" si="53"/>
        <v>0</v>
      </c>
      <c r="FR87" s="63">
        <f t="shared" si="53"/>
        <v>0</v>
      </c>
      <c r="FS87" s="63">
        <f t="shared" si="53"/>
        <v>0</v>
      </c>
      <c r="FT87" s="63">
        <f t="shared" si="53"/>
        <v>0</v>
      </c>
      <c r="FU87" s="63">
        <f t="shared" si="53"/>
        <v>0</v>
      </c>
      <c r="FV87" s="63">
        <f t="shared" si="53"/>
        <v>0</v>
      </c>
      <c r="FW87" s="63">
        <f t="shared" si="53"/>
        <v>0</v>
      </c>
      <c r="FX87" s="63">
        <f t="shared" si="53"/>
        <v>0</v>
      </c>
      <c r="FY87" s="63">
        <f t="shared" si="53"/>
        <v>0</v>
      </c>
      <c r="FZ87" s="63">
        <f t="shared" si="53"/>
        <v>0</v>
      </c>
      <c r="GA87" s="63">
        <f t="shared" si="53"/>
        <v>0</v>
      </c>
      <c r="GB87" s="63">
        <f t="shared" si="53"/>
        <v>0</v>
      </c>
      <c r="GC87" s="63">
        <f t="shared" si="53"/>
        <v>0</v>
      </c>
      <c r="GD87" s="63">
        <f t="shared" si="53"/>
        <v>0</v>
      </c>
      <c r="GE87" s="63">
        <f t="shared" si="53"/>
        <v>0</v>
      </c>
      <c r="GF87" s="63">
        <f t="shared" si="53"/>
        <v>0</v>
      </c>
      <c r="GG87" s="63">
        <f t="shared" si="53"/>
        <v>0</v>
      </c>
      <c r="GH87" s="63">
        <f t="shared" si="53"/>
        <v>0</v>
      </c>
      <c r="GI87" s="63">
        <f t="shared" si="53"/>
        <v>0</v>
      </c>
      <c r="GJ87" s="63">
        <f t="shared" si="53"/>
        <v>0</v>
      </c>
      <c r="GK87" s="63">
        <f t="shared" si="53"/>
        <v>0</v>
      </c>
      <c r="GL87" s="63">
        <f t="shared" si="53"/>
        <v>0</v>
      </c>
      <c r="GM87" s="63">
        <f t="shared" ref="GM87:GT87" si="54">IF(GL$86+GM$72&gt;0,(GL$86+GM$72-GM$94)*(GL87+GM74*GM$72)/(GL$86+GM$72),0)</f>
        <v>0</v>
      </c>
      <c r="GN87" s="63">
        <f t="shared" si="54"/>
        <v>0</v>
      </c>
      <c r="GO87" s="63">
        <f t="shared" si="54"/>
        <v>0</v>
      </c>
      <c r="GP87" s="63">
        <f t="shared" si="54"/>
        <v>0</v>
      </c>
      <c r="GQ87" s="63">
        <f t="shared" si="54"/>
        <v>0</v>
      </c>
      <c r="GR87" s="63">
        <f t="shared" si="54"/>
        <v>0</v>
      </c>
      <c r="GS87" s="63">
        <f t="shared" si="54"/>
        <v>0</v>
      </c>
      <c r="GT87" s="63">
        <f t="shared" si="54"/>
        <v>0</v>
      </c>
      <c r="GU87" s="63"/>
      <c r="GX87" s="37"/>
      <c r="GY87" s="37"/>
    </row>
    <row r="88" spans="1:207" s="60" customFormat="1" ht="13.5" customHeight="1" x14ac:dyDescent="0.3">
      <c r="A88" s="76" t="s">
        <v>44</v>
      </c>
      <c r="B88" s="62">
        <v>0</v>
      </c>
      <c r="C88" s="63">
        <f t="shared" ref="C88:AH88" si="55">IF(B$86+C$72&gt;0,(B$86+C$72-C$94)*(B88+C75*C$72)/(B$86+C$72),0)</f>
        <v>17.404458855314381</v>
      </c>
      <c r="D88" s="63">
        <f t="shared" si="55"/>
        <v>14.403085853435572</v>
      </c>
      <c r="E88" s="63">
        <f t="shared" si="55"/>
        <v>14.426201741870313</v>
      </c>
      <c r="F88" s="63">
        <f t="shared" si="55"/>
        <v>16.087373086299763</v>
      </c>
      <c r="G88" s="63">
        <f t="shared" si="55"/>
        <v>1.010853586668212</v>
      </c>
      <c r="H88" s="63">
        <f t="shared" si="55"/>
        <v>0</v>
      </c>
      <c r="I88" s="63">
        <f t="shared" si="55"/>
        <v>0</v>
      </c>
      <c r="J88" s="63">
        <f t="shared" si="55"/>
        <v>0</v>
      </c>
      <c r="K88" s="63">
        <f t="shared" si="55"/>
        <v>0</v>
      </c>
      <c r="L88" s="63">
        <f t="shared" si="55"/>
        <v>0</v>
      </c>
      <c r="M88" s="63">
        <f t="shared" si="55"/>
        <v>0</v>
      </c>
      <c r="N88" s="63">
        <f t="shared" si="55"/>
        <v>0</v>
      </c>
      <c r="O88" s="63">
        <f t="shared" si="55"/>
        <v>0</v>
      </c>
      <c r="P88" s="63">
        <f t="shared" si="55"/>
        <v>0</v>
      </c>
      <c r="Q88" s="63">
        <f t="shared" si="55"/>
        <v>0</v>
      </c>
      <c r="R88" s="63">
        <f t="shared" si="55"/>
        <v>0</v>
      </c>
      <c r="S88" s="63">
        <f t="shared" si="55"/>
        <v>0</v>
      </c>
      <c r="T88" s="63">
        <f t="shared" si="55"/>
        <v>0</v>
      </c>
      <c r="U88" s="63">
        <f t="shared" si="55"/>
        <v>0</v>
      </c>
      <c r="V88" s="63">
        <f t="shared" si="55"/>
        <v>0</v>
      </c>
      <c r="W88" s="63">
        <f t="shared" si="55"/>
        <v>0</v>
      </c>
      <c r="X88" s="63">
        <f t="shared" si="55"/>
        <v>0</v>
      </c>
      <c r="Y88" s="63">
        <f t="shared" si="55"/>
        <v>0</v>
      </c>
      <c r="Z88" s="63">
        <f t="shared" si="55"/>
        <v>0</v>
      </c>
      <c r="AA88" s="63">
        <f t="shared" si="55"/>
        <v>0</v>
      </c>
      <c r="AB88" s="63">
        <f t="shared" si="55"/>
        <v>0</v>
      </c>
      <c r="AC88" s="63">
        <f t="shared" si="55"/>
        <v>0</v>
      </c>
      <c r="AD88" s="63">
        <f t="shared" si="55"/>
        <v>0</v>
      </c>
      <c r="AE88" s="63">
        <f t="shared" si="55"/>
        <v>0</v>
      </c>
      <c r="AF88" s="63">
        <f t="shared" si="55"/>
        <v>0</v>
      </c>
      <c r="AG88" s="63">
        <f t="shared" si="55"/>
        <v>0</v>
      </c>
      <c r="AH88" s="63">
        <f t="shared" si="55"/>
        <v>0</v>
      </c>
      <c r="AI88" s="63">
        <f t="shared" ref="AI88:BN88" si="56">IF(AH$86+AI$72&gt;0,(AH$86+AI$72-AI$94)*(AH88+AI75*AI$72)/(AH$86+AI$72),0)</f>
        <v>0</v>
      </c>
      <c r="AJ88" s="63">
        <f t="shared" si="56"/>
        <v>0</v>
      </c>
      <c r="AK88" s="63">
        <f t="shared" si="56"/>
        <v>0</v>
      </c>
      <c r="AL88" s="63">
        <f t="shared" si="56"/>
        <v>0</v>
      </c>
      <c r="AM88" s="63">
        <f t="shared" si="56"/>
        <v>0</v>
      </c>
      <c r="AN88" s="63">
        <f t="shared" si="56"/>
        <v>0</v>
      </c>
      <c r="AO88" s="63">
        <f t="shared" si="56"/>
        <v>0</v>
      </c>
      <c r="AP88" s="63">
        <f t="shared" si="56"/>
        <v>0</v>
      </c>
      <c r="AQ88" s="63">
        <f t="shared" si="56"/>
        <v>0</v>
      </c>
      <c r="AR88" s="63">
        <f t="shared" si="56"/>
        <v>0</v>
      </c>
      <c r="AS88" s="63">
        <f t="shared" si="56"/>
        <v>0</v>
      </c>
      <c r="AT88" s="63">
        <f t="shared" si="56"/>
        <v>0</v>
      </c>
      <c r="AU88" s="63">
        <f t="shared" si="56"/>
        <v>0</v>
      </c>
      <c r="AV88" s="63">
        <f t="shared" si="56"/>
        <v>0</v>
      </c>
      <c r="AW88" s="63">
        <f t="shared" si="56"/>
        <v>0</v>
      </c>
      <c r="AX88" s="63">
        <f t="shared" si="56"/>
        <v>0</v>
      </c>
      <c r="AY88" s="63">
        <f t="shared" si="56"/>
        <v>0</v>
      </c>
      <c r="AZ88" s="63">
        <f t="shared" si="56"/>
        <v>0</v>
      </c>
      <c r="BA88" s="63">
        <f t="shared" si="56"/>
        <v>0</v>
      </c>
      <c r="BB88" s="63">
        <f t="shared" si="56"/>
        <v>0</v>
      </c>
      <c r="BC88" s="63">
        <f t="shared" si="56"/>
        <v>0</v>
      </c>
      <c r="BD88" s="63">
        <f t="shared" si="56"/>
        <v>0</v>
      </c>
      <c r="BE88" s="63">
        <f t="shared" si="56"/>
        <v>0</v>
      </c>
      <c r="BF88" s="63">
        <f t="shared" si="56"/>
        <v>0</v>
      </c>
      <c r="BG88" s="63">
        <f t="shared" si="56"/>
        <v>0</v>
      </c>
      <c r="BH88" s="63">
        <f t="shared" si="56"/>
        <v>0</v>
      </c>
      <c r="BI88" s="63">
        <f t="shared" si="56"/>
        <v>0</v>
      </c>
      <c r="BJ88" s="63">
        <f t="shared" si="56"/>
        <v>0</v>
      </c>
      <c r="BK88" s="63">
        <f t="shared" si="56"/>
        <v>0</v>
      </c>
      <c r="BL88" s="63">
        <f t="shared" si="56"/>
        <v>0</v>
      </c>
      <c r="BM88" s="63">
        <f t="shared" si="56"/>
        <v>0</v>
      </c>
      <c r="BN88" s="63">
        <f t="shared" si="56"/>
        <v>0</v>
      </c>
      <c r="BO88" s="63">
        <f t="shared" ref="BO88:CT88" si="57">IF(BN$86+BO$72&gt;0,(BN$86+BO$72-BO$94)*(BN88+BO75*BO$72)/(BN$86+BO$72),0)</f>
        <v>0</v>
      </c>
      <c r="BP88" s="63">
        <f t="shared" si="57"/>
        <v>0</v>
      </c>
      <c r="BQ88" s="63">
        <f t="shared" si="57"/>
        <v>0</v>
      </c>
      <c r="BR88" s="63">
        <f t="shared" si="57"/>
        <v>0</v>
      </c>
      <c r="BS88" s="63">
        <f t="shared" si="57"/>
        <v>0</v>
      </c>
      <c r="BT88" s="63">
        <f t="shared" si="57"/>
        <v>0</v>
      </c>
      <c r="BU88" s="63">
        <f t="shared" si="57"/>
        <v>0</v>
      </c>
      <c r="BV88" s="63">
        <f t="shared" si="57"/>
        <v>0</v>
      </c>
      <c r="BW88" s="63">
        <f t="shared" si="57"/>
        <v>0</v>
      </c>
      <c r="BX88" s="63">
        <f t="shared" si="57"/>
        <v>0</v>
      </c>
      <c r="BY88" s="63">
        <f t="shared" si="57"/>
        <v>0</v>
      </c>
      <c r="BZ88" s="63">
        <f t="shared" si="57"/>
        <v>0</v>
      </c>
      <c r="CA88" s="63">
        <f t="shared" si="57"/>
        <v>0</v>
      </c>
      <c r="CB88" s="63">
        <f t="shared" si="57"/>
        <v>0</v>
      </c>
      <c r="CC88" s="63">
        <f t="shared" si="57"/>
        <v>0</v>
      </c>
      <c r="CD88" s="63">
        <f t="shared" si="57"/>
        <v>0</v>
      </c>
      <c r="CE88" s="63">
        <f t="shared" si="57"/>
        <v>0</v>
      </c>
      <c r="CF88" s="63">
        <f t="shared" si="57"/>
        <v>0</v>
      </c>
      <c r="CG88" s="63">
        <f t="shared" si="57"/>
        <v>0</v>
      </c>
      <c r="CH88" s="63">
        <f t="shared" si="57"/>
        <v>0</v>
      </c>
      <c r="CI88" s="63">
        <f t="shared" si="57"/>
        <v>0</v>
      </c>
      <c r="CJ88" s="63">
        <f t="shared" si="57"/>
        <v>0</v>
      </c>
      <c r="CK88" s="63">
        <f t="shared" si="57"/>
        <v>0</v>
      </c>
      <c r="CL88" s="63">
        <f t="shared" si="57"/>
        <v>0</v>
      </c>
      <c r="CM88" s="63">
        <f t="shared" si="57"/>
        <v>0</v>
      </c>
      <c r="CN88" s="63">
        <f t="shared" si="57"/>
        <v>0</v>
      </c>
      <c r="CO88" s="63">
        <f t="shared" si="57"/>
        <v>0</v>
      </c>
      <c r="CP88" s="63">
        <f t="shared" si="57"/>
        <v>0</v>
      </c>
      <c r="CQ88" s="63">
        <f t="shared" si="57"/>
        <v>0</v>
      </c>
      <c r="CR88" s="63">
        <f t="shared" si="57"/>
        <v>0</v>
      </c>
      <c r="CS88" s="63">
        <f t="shared" si="57"/>
        <v>0</v>
      </c>
      <c r="CT88" s="63">
        <f t="shared" si="57"/>
        <v>0</v>
      </c>
      <c r="CU88" s="63">
        <f t="shared" ref="CU88:DZ88" si="58">IF(CT$86+CU$72&gt;0,(CT$86+CU$72-CU$94)*(CT88+CU75*CU$72)/(CT$86+CU$72),0)</f>
        <v>0</v>
      </c>
      <c r="CV88" s="63">
        <f t="shared" si="58"/>
        <v>0</v>
      </c>
      <c r="CW88" s="63">
        <f t="shared" si="58"/>
        <v>0</v>
      </c>
      <c r="CX88" s="63">
        <f t="shared" si="58"/>
        <v>0</v>
      </c>
      <c r="CY88" s="63">
        <f t="shared" si="58"/>
        <v>0</v>
      </c>
      <c r="CZ88" s="63">
        <f t="shared" si="58"/>
        <v>0</v>
      </c>
      <c r="DA88" s="63">
        <f t="shared" si="58"/>
        <v>0</v>
      </c>
      <c r="DB88" s="63">
        <f t="shared" si="58"/>
        <v>0</v>
      </c>
      <c r="DC88" s="63">
        <f t="shared" si="58"/>
        <v>0</v>
      </c>
      <c r="DD88" s="63">
        <f t="shared" si="58"/>
        <v>0</v>
      </c>
      <c r="DE88" s="63">
        <f t="shared" si="58"/>
        <v>0</v>
      </c>
      <c r="DF88" s="63">
        <f t="shared" si="58"/>
        <v>0</v>
      </c>
      <c r="DG88" s="63">
        <f t="shared" si="58"/>
        <v>0</v>
      </c>
      <c r="DH88" s="63">
        <f t="shared" si="58"/>
        <v>0</v>
      </c>
      <c r="DI88" s="63">
        <f t="shared" si="58"/>
        <v>0</v>
      </c>
      <c r="DJ88" s="63">
        <f t="shared" si="58"/>
        <v>0</v>
      </c>
      <c r="DK88" s="63">
        <f t="shared" si="58"/>
        <v>0</v>
      </c>
      <c r="DL88" s="63">
        <f t="shared" si="58"/>
        <v>0</v>
      </c>
      <c r="DM88" s="63">
        <f t="shared" si="58"/>
        <v>0</v>
      </c>
      <c r="DN88" s="63">
        <f t="shared" si="58"/>
        <v>0</v>
      </c>
      <c r="DO88" s="63">
        <f t="shared" si="58"/>
        <v>0</v>
      </c>
      <c r="DP88" s="63">
        <f t="shared" si="58"/>
        <v>0</v>
      </c>
      <c r="DQ88" s="63">
        <f t="shared" si="58"/>
        <v>0</v>
      </c>
      <c r="DR88" s="63">
        <f t="shared" si="58"/>
        <v>0</v>
      </c>
      <c r="DS88" s="63">
        <f t="shared" si="58"/>
        <v>0</v>
      </c>
      <c r="DT88" s="63">
        <f t="shared" si="58"/>
        <v>0</v>
      </c>
      <c r="DU88" s="63">
        <f t="shared" si="58"/>
        <v>0</v>
      </c>
      <c r="DV88" s="63">
        <f t="shared" si="58"/>
        <v>0</v>
      </c>
      <c r="DW88" s="63">
        <f t="shared" si="58"/>
        <v>0</v>
      </c>
      <c r="DX88" s="63">
        <f t="shared" si="58"/>
        <v>0</v>
      </c>
      <c r="DY88" s="63">
        <f t="shared" si="58"/>
        <v>0</v>
      </c>
      <c r="DZ88" s="63">
        <f t="shared" si="58"/>
        <v>0</v>
      </c>
      <c r="EA88" s="63">
        <f t="shared" ref="EA88:FF88" si="59">IF(DZ$86+EA$72&gt;0,(DZ$86+EA$72-EA$94)*(DZ88+EA75*EA$72)/(DZ$86+EA$72),0)</f>
        <v>0</v>
      </c>
      <c r="EB88" s="63">
        <f t="shared" si="59"/>
        <v>0</v>
      </c>
      <c r="EC88" s="63">
        <f t="shared" si="59"/>
        <v>0</v>
      </c>
      <c r="ED88" s="63">
        <f t="shared" si="59"/>
        <v>0</v>
      </c>
      <c r="EE88" s="63">
        <f t="shared" si="59"/>
        <v>0</v>
      </c>
      <c r="EF88" s="63">
        <f t="shared" si="59"/>
        <v>0</v>
      </c>
      <c r="EG88" s="63">
        <f t="shared" si="59"/>
        <v>0</v>
      </c>
      <c r="EH88" s="63">
        <f t="shared" si="59"/>
        <v>0</v>
      </c>
      <c r="EI88" s="63">
        <f t="shared" si="59"/>
        <v>0</v>
      </c>
      <c r="EJ88" s="63">
        <f t="shared" si="59"/>
        <v>0</v>
      </c>
      <c r="EK88" s="63">
        <f t="shared" si="59"/>
        <v>0</v>
      </c>
      <c r="EL88" s="63">
        <f t="shared" si="59"/>
        <v>0</v>
      </c>
      <c r="EM88" s="63">
        <f t="shared" si="59"/>
        <v>0</v>
      </c>
      <c r="EN88" s="63">
        <f t="shared" si="59"/>
        <v>0</v>
      </c>
      <c r="EO88" s="63">
        <f t="shared" si="59"/>
        <v>0</v>
      </c>
      <c r="EP88" s="63">
        <f t="shared" si="59"/>
        <v>0</v>
      </c>
      <c r="EQ88" s="63">
        <f t="shared" si="59"/>
        <v>0</v>
      </c>
      <c r="ER88" s="63">
        <f t="shared" si="59"/>
        <v>0</v>
      </c>
      <c r="ES88" s="63">
        <f t="shared" si="59"/>
        <v>0</v>
      </c>
      <c r="ET88" s="63">
        <f t="shared" si="59"/>
        <v>0</v>
      </c>
      <c r="EU88" s="63">
        <f t="shared" si="59"/>
        <v>0</v>
      </c>
      <c r="EV88" s="63">
        <f t="shared" si="59"/>
        <v>0</v>
      </c>
      <c r="EW88" s="63">
        <f t="shared" si="59"/>
        <v>0</v>
      </c>
      <c r="EX88" s="63">
        <f t="shared" si="59"/>
        <v>0</v>
      </c>
      <c r="EY88" s="63">
        <f t="shared" si="59"/>
        <v>0</v>
      </c>
      <c r="EZ88" s="63">
        <f t="shared" si="59"/>
        <v>0</v>
      </c>
      <c r="FA88" s="63">
        <f t="shared" si="59"/>
        <v>0</v>
      </c>
      <c r="FB88" s="63">
        <f t="shared" si="59"/>
        <v>0</v>
      </c>
      <c r="FC88" s="63">
        <f t="shared" si="59"/>
        <v>0</v>
      </c>
      <c r="FD88" s="63">
        <f t="shared" si="59"/>
        <v>0</v>
      </c>
      <c r="FE88" s="63">
        <f t="shared" si="59"/>
        <v>0</v>
      </c>
      <c r="FF88" s="63">
        <f t="shared" si="59"/>
        <v>0</v>
      </c>
      <c r="FG88" s="63">
        <f t="shared" ref="FG88:GL88" si="60">IF(FF$86+FG$72&gt;0,(FF$86+FG$72-FG$94)*(FF88+FG75*FG$72)/(FF$86+FG$72),0)</f>
        <v>0</v>
      </c>
      <c r="FH88" s="63">
        <f t="shared" si="60"/>
        <v>0</v>
      </c>
      <c r="FI88" s="63">
        <f t="shared" si="60"/>
        <v>0</v>
      </c>
      <c r="FJ88" s="63">
        <f t="shared" si="60"/>
        <v>0</v>
      </c>
      <c r="FK88" s="63">
        <f t="shared" si="60"/>
        <v>0</v>
      </c>
      <c r="FL88" s="63">
        <f t="shared" si="60"/>
        <v>0</v>
      </c>
      <c r="FM88" s="63">
        <f t="shared" si="60"/>
        <v>0</v>
      </c>
      <c r="FN88" s="63">
        <f t="shared" si="60"/>
        <v>0</v>
      </c>
      <c r="FO88" s="63">
        <f t="shared" si="60"/>
        <v>0</v>
      </c>
      <c r="FP88" s="63">
        <f t="shared" si="60"/>
        <v>0</v>
      </c>
      <c r="FQ88" s="63">
        <f t="shared" si="60"/>
        <v>0</v>
      </c>
      <c r="FR88" s="63">
        <f t="shared" si="60"/>
        <v>0</v>
      </c>
      <c r="FS88" s="63">
        <f t="shared" si="60"/>
        <v>0</v>
      </c>
      <c r="FT88" s="63">
        <f t="shared" si="60"/>
        <v>0</v>
      </c>
      <c r="FU88" s="63">
        <f t="shared" si="60"/>
        <v>0</v>
      </c>
      <c r="FV88" s="63">
        <f t="shared" si="60"/>
        <v>0</v>
      </c>
      <c r="FW88" s="63">
        <f t="shared" si="60"/>
        <v>0</v>
      </c>
      <c r="FX88" s="63">
        <f t="shared" si="60"/>
        <v>0</v>
      </c>
      <c r="FY88" s="63">
        <f t="shared" si="60"/>
        <v>0</v>
      </c>
      <c r="FZ88" s="63">
        <f t="shared" si="60"/>
        <v>0</v>
      </c>
      <c r="GA88" s="63">
        <f t="shared" si="60"/>
        <v>0</v>
      </c>
      <c r="GB88" s="63">
        <f t="shared" si="60"/>
        <v>0</v>
      </c>
      <c r="GC88" s="63">
        <f t="shared" si="60"/>
        <v>0</v>
      </c>
      <c r="GD88" s="63">
        <f t="shared" si="60"/>
        <v>0</v>
      </c>
      <c r="GE88" s="63">
        <f t="shared" si="60"/>
        <v>0</v>
      </c>
      <c r="GF88" s="63">
        <f t="shared" si="60"/>
        <v>0</v>
      </c>
      <c r="GG88" s="63">
        <f t="shared" si="60"/>
        <v>0</v>
      </c>
      <c r="GH88" s="63">
        <f t="shared" si="60"/>
        <v>0</v>
      </c>
      <c r="GI88" s="63">
        <f t="shared" si="60"/>
        <v>0</v>
      </c>
      <c r="GJ88" s="63">
        <f t="shared" si="60"/>
        <v>0</v>
      </c>
      <c r="GK88" s="63">
        <f t="shared" si="60"/>
        <v>0</v>
      </c>
      <c r="GL88" s="63">
        <f t="shared" si="60"/>
        <v>0</v>
      </c>
      <c r="GM88" s="63">
        <f t="shared" ref="GM88:GT88" si="61">IF(GL$86+GM$72&gt;0,(GL$86+GM$72-GM$94)*(GL88+GM75*GM$72)/(GL$86+GM$72),0)</f>
        <v>0</v>
      </c>
      <c r="GN88" s="63">
        <f t="shared" si="61"/>
        <v>0</v>
      </c>
      <c r="GO88" s="63">
        <f t="shared" si="61"/>
        <v>0</v>
      </c>
      <c r="GP88" s="63">
        <f t="shared" si="61"/>
        <v>0</v>
      </c>
      <c r="GQ88" s="63">
        <f t="shared" si="61"/>
        <v>0</v>
      </c>
      <c r="GR88" s="63">
        <f t="shared" si="61"/>
        <v>0</v>
      </c>
      <c r="GS88" s="63">
        <f t="shared" si="61"/>
        <v>0</v>
      </c>
      <c r="GT88" s="63">
        <f t="shared" si="61"/>
        <v>0</v>
      </c>
      <c r="GU88" s="63"/>
      <c r="GX88" s="37"/>
      <c r="GY88" s="37"/>
    </row>
    <row r="89" spans="1:207" s="60" customFormat="1" ht="13.5" customHeight="1" x14ac:dyDescent="0.3">
      <c r="A89" s="76" t="s">
        <v>45</v>
      </c>
      <c r="B89" s="62">
        <v>0</v>
      </c>
      <c r="C89" s="63">
        <f t="shared" ref="C89:AH89" si="62">IF(B$86+C$72&gt;0,(B$86+C$72-C$94)*(B89+C76*C$72)/(B$86+C$72),0)</f>
        <v>7.4360608604874407</v>
      </c>
      <c r="D89" s="63">
        <f t="shared" si="62"/>
        <v>7.3618510060801006</v>
      </c>
      <c r="E89" s="63">
        <f t="shared" si="62"/>
        <v>7.7432317787254537</v>
      </c>
      <c r="F89" s="63">
        <f t="shared" si="62"/>
        <v>6.8841229040831822</v>
      </c>
      <c r="G89" s="63">
        <f t="shared" si="62"/>
        <v>0.42526171489581926</v>
      </c>
      <c r="H89" s="63">
        <f t="shared" si="62"/>
        <v>0</v>
      </c>
      <c r="I89" s="63">
        <f t="shared" si="62"/>
        <v>0</v>
      </c>
      <c r="J89" s="63">
        <f t="shared" si="62"/>
        <v>0</v>
      </c>
      <c r="K89" s="63">
        <f t="shared" si="62"/>
        <v>0</v>
      </c>
      <c r="L89" s="63">
        <f t="shared" si="62"/>
        <v>0</v>
      </c>
      <c r="M89" s="63">
        <f t="shared" si="62"/>
        <v>0</v>
      </c>
      <c r="N89" s="63">
        <f t="shared" si="62"/>
        <v>0</v>
      </c>
      <c r="O89" s="63">
        <f t="shared" si="62"/>
        <v>0</v>
      </c>
      <c r="P89" s="63">
        <f t="shared" si="62"/>
        <v>0</v>
      </c>
      <c r="Q89" s="63">
        <f t="shared" si="62"/>
        <v>0</v>
      </c>
      <c r="R89" s="63">
        <f t="shared" si="62"/>
        <v>0</v>
      </c>
      <c r="S89" s="63">
        <f t="shared" si="62"/>
        <v>0</v>
      </c>
      <c r="T89" s="63">
        <f t="shared" si="62"/>
        <v>0</v>
      </c>
      <c r="U89" s="63">
        <f t="shared" si="62"/>
        <v>0</v>
      </c>
      <c r="V89" s="63">
        <f t="shared" si="62"/>
        <v>0</v>
      </c>
      <c r="W89" s="63">
        <f t="shared" si="62"/>
        <v>0</v>
      </c>
      <c r="X89" s="63">
        <f t="shared" si="62"/>
        <v>0</v>
      </c>
      <c r="Y89" s="63">
        <f t="shared" si="62"/>
        <v>0</v>
      </c>
      <c r="Z89" s="63">
        <f t="shared" si="62"/>
        <v>0</v>
      </c>
      <c r="AA89" s="63">
        <f t="shared" si="62"/>
        <v>0</v>
      </c>
      <c r="AB89" s="63">
        <f t="shared" si="62"/>
        <v>0</v>
      </c>
      <c r="AC89" s="63">
        <f t="shared" si="62"/>
        <v>0</v>
      </c>
      <c r="AD89" s="63">
        <f t="shared" si="62"/>
        <v>0</v>
      </c>
      <c r="AE89" s="63">
        <f t="shared" si="62"/>
        <v>0</v>
      </c>
      <c r="AF89" s="63">
        <f t="shared" si="62"/>
        <v>0</v>
      </c>
      <c r="AG89" s="63">
        <f t="shared" si="62"/>
        <v>0</v>
      </c>
      <c r="AH89" s="63">
        <f t="shared" si="62"/>
        <v>0</v>
      </c>
      <c r="AI89" s="63">
        <f t="shared" ref="AI89:BN89" si="63">IF(AH$86+AI$72&gt;0,(AH$86+AI$72-AI$94)*(AH89+AI76*AI$72)/(AH$86+AI$72),0)</f>
        <v>0</v>
      </c>
      <c r="AJ89" s="63">
        <f t="shared" si="63"/>
        <v>0</v>
      </c>
      <c r="AK89" s="63">
        <f t="shared" si="63"/>
        <v>0</v>
      </c>
      <c r="AL89" s="63">
        <f t="shared" si="63"/>
        <v>0</v>
      </c>
      <c r="AM89" s="63">
        <f t="shared" si="63"/>
        <v>0</v>
      </c>
      <c r="AN89" s="63">
        <f t="shared" si="63"/>
        <v>0</v>
      </c>
      <c r="AO89" s="63">
        <f t="shared" si="63"/>
        <v>0</v>
      </c>
      <c r="AP89" s="63">
        <f t="shared" si="63"/>
        <v>0</v>
      </c>
      <c r="AQ89" s="63">
        <f t="shared" si="63"/>
        <v>0</v>
      </c>
      <c r="AR89" s="63">
        <f t="shared" si="63"/>
        <v>0</v>
      </c>
      <c r="AS89" s="63">
        <f t="shared" si="63"/>
        <v>0</v>
      </c>
      <c r="AT89" s="63">
        <f t="shared" si="63"/>
        <v>0</v>
      </c>
      <c r="AU89" s="63">
        <f t="shared" si="63"/>
        <v>0</v>
      </c>
      <c r="AV89" s="63">
        <f t="shared" si="63"/>
        <v>0</v>
      </c>
      <c r="AW89" s="63">
        <f t="shared" si="63"/>
        <v>0</v>
      </c>
      <c r="AX89" s="63">
        <f t="shared" si="63"/>
        <v>0</v>
      </c>
      <c r="AY89" s="63">
        <f t="shared" si="63"/>
        <v>0</v>
      </c>
      <c r="AZ89" s="63">
        <f t="shared" si="63"/>
        <v>0</v>
      </c>
      <c r="BA89" s="63">
        <f t="shared" si="63"/>
        <v>0</v>
      </c>
      <c r="BB89" s="63">
        <f t="shared" si="63"/>
        <v>0</v>
      </c>
      <c r="BC89" s="63">
        <f t="shared" si="63"/>
        <v>0</v>
      </c>
      <c r="BD89" s="63">
        <f t="shared" si="63"/>
        <v>0</v>
      </c>
      <c r="BE89" s="63">
        <f t="shared" si="63"/>
        <v>0</v>
      </c>
      <c r="BF89" s="63">
        <f t="shared" si="63"/>
        <v>0</v>
      </c>
      <c r="BG89" s="63">
        <f t="shared" si="63"/>
        <v>0</v>
      </c>
      <c r="BH89" s="63">
        <f t="shared" si="63"/>
        <v>0</v>
      </c>
      <c r="BI89" s="63">
        <f t="shared" si="63"/>
        <v>0</v>
      </c>
      <c r="BJ89" s="63">
        <f t="shared" si="63"/>
        <v>0</v>
      </c>
      <c r="BK89" s="63">
        <f t="shared" si="63"/>
        <v>0</v>
      </c>
      <c r="BL89" s="63">
        <f t="shared" si="63"/>
        <v>0</v>
      </c>
      <c r="BM89" s="63">
        <f t="shared" si="63"/>
        <v>0</v>
      </c>
      <c r="BN89" s="63">
        <f t="shared" si="63"/>
        <v>0</v>
      </c>
      <c r="BO89" s="63">
        <f t="shared" ref="BO89:CT89" si="64">IF(BN$86+BO$72&gt;0,(BN$86+BO$72-BO$94)*(BN89+BO76*BO$72)/(BN$86+BO$72),0)</f>
        <v>0</v>
      </c>
      <c r="BP89" s="63">
        <f t="shared" si="64"/>
        <v>0</v>
      </c>
      <c r="BQ89" s="63">
        <f t="shared" si="64"/>
        <v>0</v>
      </c>
      <c r="BR89" s="63">
        <f t="shared" si="64"/>
        <v>0</v>
      </c>
      <c r="BS89" s="63">
        <f t="shared" si="64"/>
        <v>0</v>
      </c>
      <c r="BT89" s="63">
        <f t="shared" si="64"/>
        <v>0</v>
      </c>
      <c r="BU89" s="63">
        <f t="shared" si="64"/>
        <v>0</v>
      </c>
      <c r="BV89" s="63">
        <f t="shared" si="64"/>
        <v>0</v>
      </c>
      <c r="BW89" s="63">
        <f t="shared" si="64"/>
        <v>0</v>
      </c>
      <c r="BX89" s="63">
        <f t="shared" si="64"/>
        <v>0</v>
      </c>
      <c r="BY89" s="63">
        <f t="shared" si="64"/>
        <v>0</v>
      </c>
      <c r="BZ89" s="63">
        <f t="shared" si="64"/>
        <v>0</v>
      </c>
      <c r="CA89" s="63">
        <f t="shared" si="64"/>
        <v>0</v>
      </c>
      <c r="CB89" s="63">
        <f t="shared" si="64"/>
        <v>0</v>
      </c>
      <c r="CC89" s="63">
        <f t="shared" si="64"/>
        <v>0</v>
      </c>
      <c r="CD89" s="63">
        <f t="shared" si="64"/>
        <v>0</v>
      </c>
      <c r="CE89" s="63">
        <f t="shared" si="64"/>
        <v>0</v>
      </c>
      <c r="CF89" s="63">
        <f t="shared" si="64"/>
        <v>0</v>
      </c>
      <c r="CG89" s="63">
        <f t="shared" si="64"/>
        <v>0</v>
      </c>
      <c r="CH89" s="63">
        <f t="shared" si="64"/>
        <v>0</v>
      </c>
      <c r="CI89" s="63">
        <f t="shared" si="64"/>
        <v>0</v>
      </c>
      <c r="CJ89" s="63">
        <f t="shared" si="64"/>
        <v>0</v>
      </c>
      <c r="CK89" s="63">
        <f t="shared" si="64"/>
        <v>0</v>
      </c>
      <c r="CL89" s="63">
        <f t="shared" si="64"/>
        <v>0</v>
      </c>
      <c r="CM89" s="63">
        <f t="shared" si="64"/>
        <v>0</v>
      </c>
      <c r="CN89" s="63">
        <f t="shared" si="64"/>
        <v>0</v>
      </c>
      <c r="CO89" s="63">
        <f t="shared" si="64"/>
        <v>0</v>
      </c>
      <c r="CP89" s="63">
        <f t="shared" si="64"/>
        <v>0</v>
      </c>
      <c r="CQ89" s="63">
        <f t="shared" si="64"/>
        <v>0</v>
      </c>
      <c r="CR89" s="63">
        <f t="shared" si="64"/>
        <v>0</v>
      </c>
      <c r="CS89" s="63">
        <f t="shared" si="64"/>
        <v>0</v>
      </c>
      <c r="CT89" s="63">
        <f t="shared" si="64"/>
        <v>0</v>
      </c>
      <c r="CU89" s="63">
        <f t="shared" ref="CU89:DZ89" si="65">IF(CT$86+CU$72&gt;0,(CT$86+CU$72-CU$94)*(CT89+CU76*CU$72)/(CT$86+CU$72),0)</f>
        <v>0</v>
      </c>
      <c r="CV89" s="63">
        <f t="shared" si="65"/>
        <v>0</v>
      </c>
      <c r="CW89" s="63">
        <f t="shared" si="65"/>
        <v>0</v>
      </c>
      <c r="CX89" s="63">
        <f t="shared" si="65"/>
        <v>0</v>
      </c>
      <c r="CY89" s="63">
        <f t="shared" si="65"/>
        <v>0</v>
      </c>
      <c r="CZ89" s="63">
        <f t="shared" si="65"/>
        <v>0</v>
      </c>
      <c r="DA89" s="63">
        <f t="shared" si="65"/>
        <v>0</v>
      </c>
      <c r="DB89" s="63">
        <f t="shared" si="65"/>
        <v>0</v>
      </c>
      <c r="DC89" s="63">
        <f t="shared" si="65"/>
        <v>0</v>
      </c>
      <c r="DD89" s="63">
        <f t="shared" si="65"/>
        <v>0</v>
      </c>
      <c r="DE89" s="63">
        <f t="shared" si="65"/>
        <v>0</v>
      </c>
      <c r="DF89" s="63">
        <f t="shared" si="65"/>
        <v>0</v>
      </c>
      <c r="DG89" s="63">
        <f t="shared" si="65"/>
        <v>0</v>
      </c>
      <c r="DH89" s="63">
        <f t="shared" si="65"/>
        <v>0</v>
      </c>
      <c r="DI89" s="63">
        <f t="shared" si="65"/>
        <v>0</v>
      </c>
      <c r="DJ89" s="63">
        <f t="shared" si="65"/>
        <v>0</v>
      </c>
      <c r="DK89" s="63">
        <f t="shared" si="65"/>
        <v>0</v>
      </c>
      <c r="DL89" s="63">
        <f t="shared" si="65"/>
        <v>0</v>
      </c>
      <c r="DM89" s="63">
        <f t="shared" si="65"/>
        <v>0</v>
      </c>
      <c r="DN89" s="63">
        <f t="shared" si="65"/>
        <v>0</v>
      </c>
      <c r="DO89" s="63">
        <f t="shared" si="65"/>
        <v>0</v>
      </c>
      <c r="DP89" s="63">
        <f t="shared" si="65"/>
        <v>0</v>
      </c>
      <c r="DQ89" s="63">
        <f t="shared" si="65"/>
        <v>0</v>
      </c>
      <c r="DR89" s="63">
        <f t="shared" si="65"/>
        <v>0</v>
      </c>
      <c r="DS89" s="63">
        <f t="shared" si="65"/>
        <v>0</v>
      </c>
      <c r="DT89" s="63">
        <f t="shared" si="65"/>
        <v>0</v>
      </c>
      <c r="DU89" s="63">
        <f t="shared" si="65"/>
        <v>0</v>
      </c>
      <c r="DV89" s="63">
        <f t="shared" si="65"/>
        <v>0</v>
      </c>
      <c r="DW89" s="63">
        <f t="shared" si="65"/>
        <v>0</v>
      </c>
      <c r="DX89" s="63">
        <f t="shared" si="65"/>
        <v>0</v>
      </c>
      <c r="DY89" s="63">
        <f t="shared" si="65"/>
        <v>0</v>
      </c>
      <c r="DZ89" s="63">
        <f t="shared" si="65"/>
        <v>0</v>
      </c>
      <c r="EA89" s="63">
        <f t="shared" ref="EA89:FF89" si="66">IF(DZ$86+EA$72&gt;0,(DZ$86+EA$72-EA$94)*(DZ89+EA76*EA$72)/(DZ$86+EA$72),0)</f>
        <v>0</v>
      </c>
      <c r="EB89" s="63">
        <f t="shared" si="66"/>
        <v>0</v>
      </c>
      <c r="EC89" s="63">
        <f t="shared" si="66"/>
        <v>0</v>
      </c>
      <c r="ED89" s="63">
        <f t="shared" si="66"/>
        <v>0</v>
      </c>
      <c r="EE89" s="63">
        <f t="shared" si="66"/>
        <v>0</v>
      </c>
      <c r="EF89" s="63">
        <f t="shared" si="66"/>
        <v>0</v>
      </c>
      <c r="EG89" s="63">
        <f t="shared" si="66"/>
        <v>0</v>
      </c>
      <c r="EH89" s="63">
        <f t="shared" si="66"/>
        <v>0</v>
      </c>
      <c r="EI89" s="63">
        <f t="shared" si="66"/>
        <v>0</v>
      </c>
      <c r="EJ89" s="63">
        <f t="shared" si="66"/>
        <v>0</v>
      </c>
      <c r="EK89" s="63">
        <f t="shared" si="66"/>
        <v>0</v>
      </c>
      <c r="EL89" s="63">
        <f t="shared" si="66"/>
        <v>0</v>
      </c>
      <c r="EM89" s="63">
        <f t="shared" si="66"/>
        <v>0</v>
      </c>
      <c r="EN89" s="63">
        <f t="shared" si="66"/>
        <v>0</v>
      </c>
      <c r="EO89" s="63">
        <f t="shared" si="66"/>
        <v>0</v>
      </c>
      <c r="EP89" s="63">
        <f t="shared" si="66"/>
        <v>0</v>
      </c>
      <c r="EQ89" s="63">
        <f t="shared" si="66"/>
        <v>0</v>
      </c>
      <c r="ER89" s="63">
        <f t="shared" si="66"/>
        <v>0</v>
      </c>
      <c r="ES89" s="63">
        <f t="shared" si="66"/>
        <v>0</v>
      </c>
      <c r="ET89" s="63">
        <f t="shared" si="66"/>
        <v>0</v>
      </c>
      <c r="EU89" s="63">
        <f t="shared" si="66"/>
        <v>0</v>
      </c>
      <c r="EV89" s="63">
        <f t="shared" si="66"/>
        <v>0</v>
      </c>
      <c r="EW89" s="63">
        <f t="shared" si="66"/>
        <v>0</v>
      </c>
      <c r="EX89" s="63">
        <f t="shared" si="66"/>
        <v>0</v>
      </c>
      <c r="EY89" s="63">
        <f t="shared" si="66"/>
        <v>0</v>
      </c>
      <c r="EZ89" s="63">
        <f t="shared" si="66"/>
        <v>0</v>
      </c>
      <c r="FA89" s="63">
        <f t="shared" si="66"/>
        <v>0</v>
      </c>
      <c r="FB89" s="63">
        <f t="shared" si="66"/>
        <v>0</v>
      </c>
      <c r="FC89" s="63">
        <f t="shared" si="66"/>
        <v>0</v>
      </c>
      <c r="FD89" s="63">
        <f t="shared" si="66"/>
        <v>0</v>
      </c>
      <c r="FE89" s="63">
        <f t="shared" si="66"/>
        <v>0</v>
      </c>
      <c r="FF89" s="63">
        <f t="shared" si="66"/>
        <v>0</v>
      </c>
      <c r="FG89" s="63">
        <f t="shared" ref="FG89:GL89" si="67">IF(FF$86+FG$72&gt;0,(FF$86+FG$72-FG$94)*(FF89+FG76*FG$72)/(FF$86+FG$72),0)</f>
        <v>0</v>
      </c>
      <c r="FH89" s="63">
        <f t="shared" si="67"/>
        <v>0</v>
      </c>
      <c r="FI89" s="63">
        <f t="shared" si="67"/>
        <v>0</v>
      </c>
      <c r="FJ89" s="63">
        <f t="shared" si="67"/>
        <v>0</v>
      </c>
      <c r="FK89" s="63">
        <f t="shared" si="67"/>
        <v>0</v>
      </c>
      <c r="FL89" s="63">
        <f t="shared" si="67"/>
        <v>0</v>
      </c>
      <c r="FM89" s="63">
        <f t="shared" si="67"/>
        <v>0</v>
      </c>
      <c r="FN89" s="63">
        <f t="shared" si="67"/>
        <v>0</v>
      </c>
      <c r="FO89" s="63">
        <f t="shared" si="67"/>
        <v>0</v>
      </c>
      <c r="FP89" s="63">
        <f t="shared" si="67"/>
        <v>0</v>
      </c>
      <c r="FQ89" s="63">
        <f t="shared" si="67"/>
        <v>0</v>
      </c>
      <c r="FR89" s="63">
        <f t="shared" si="67"/>
        <v>0</v>
      </c>
      <c r="FS89" s="63">
        <f t="shared" si="67"/>
        <v>0</v>
      </c>
      <c r="FT89" s="63">
        <f t="shared" si="67"/>
        <v>0</v>
      </c>
      <c r="FU89" s="63">
        <f t="shared" si="67"/>
        <v>0</v>
      </c>
      <c r="FV89" s="63">
        <f t="shared" si="67"/>
        <v>0</v>
      </c>
      <c r="FW89" s="63">
        <f t="shared" si="67"/>
        <v>0</v>
      </c>
      <c r="FX89" s="63">
        <f t="shared" si="67"/>
        <v>0</v>
      </c>
      <c r="FY89" s="63">
        <f t="shared" si="67"/>
        <v>0</v>
      </c>
      <c r="FZ89" s="63">
        <f t="shared" si="67"/>
        <v>0</v>
      </c>
      <c r="GA89" s="63">
        <f t="shared" si="67"/>
        <v>0</v>
      </c>
      <c r="GB89" s="63">
        <f t="shared" si="67"/>
        <v>0</v>
      </c>
      <c r="GC89" s="63">
        <f t="shared" si="67"/>
        <v>0</v>
      </c>
      <c r="GD89" s="63">
        <f t="shared" si="67"/>
        <v>0</v>
      </c>
      <c r="GE89" s="63">
        <f t="shared" si="67"/>
        <v>0</v>
      </c>
      <c r="GF89" s="63">
        <f t="shared" si="67"/>
        <v>0</v>
      </c>
      <c r="GG89" s="63">
        <f t="shared" si="67"/>
        <v>0</v>
      </c>
      <c r="GH89" s="63">
        <f t="shared" si="67"/>
        <v>0</v>
      </c>
      <c r="GI89" s="63">
        <f t="shared" si="67"/>
        <v>0</v>
      </c>
      <c r="GJ89" s="63">
        <f t="shared" si="67"/>
        <v>0</v>
      </c>
      <c r="GK89" s="63">
        <f t="shared" si="67"/>
        <v>0</v>
      </c>
      <c r="GL89" s="63">
        <f t="shared" si="67"/>
        <v>0</v>
      </c>
      <c r="GM89" s="63">
        <f t="shared" ref="GM89:GT89" si="68">IF(GL$86+GM$72&gt;0,(GL$86+GM$72-GM$94)*(GL89+GM76*GM$72)/(GL$86+GM$72),0)</f>
        <v>0</v>
      </c>
      <c r="GN89" s="63">
        <f t="shared" si="68"/>
        <v>0</v>
      </c>
      <c r="GO89" s="63">
        <f t="shared" si="68"/>
        <v>0</v>
      </c>
      <c r="GP89" s="63">
        <f t="shared" si="68"/>
        <v>0</v>
      </c>
      <c r="GQ89" s="63">
        <f t="shared" si="68"/>
        <v>0</v>
      </c>
      <c r="GR89" s="63">
        <f t="shared" si="68"/>
        <v>0</v>
      </c>
      <c r="GS89" s="63">
        <f t="shared" si="68"/>
        <v>0</v>
      </c>
      <c r="GT89" s="63">
        <f t="shared" si="68"/>
        <v>0</v>
      </c>
      <c r="GU89" s="63"/>
      <c r="GX89" s="37"/>
      <c r="GY89" s="37"/>
    </row>
    <row r="90" spans="1:207" s="60" customFormat="1" ht="13.5" customHeight="1" x14ac:dyDescent="0.3">
      <c r="A90" s="76"/>
      <c r="B90" s="62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  <c r="DY90" s="63"/>
      <c r="DZ90" s="63"/>
      <c r="EA90" s="63"/>
      <c r="EB90" s="63"/>
      <c r="EC90" s="63"/>
      <c r="ED90" s="63"/>
      <c r="EE90" s="63"/>
      <c r="EF90" s="63"/>
      <c r="EG90" s="63"/>
      <c r="EH90" s="63"/>
      <c r="EI90" s="63"/>
      <c r="EJ90" s="63"/>
      <c r="EK90" s="63"/>
      <c r="EL90" s="63"/>
      <c r="EM90" s="63"/>
      <c r="EN90" s="63"/>
      <c r="EO90" s="63"/>
      <c r="EP90" s="63"/>
      <c r="EQ90" s="63"/>
      <c r="ER90" s="63"/>
      <c r="ES90" s="63"/>
      <c r="ET90" s="63"/>
      <c r="EU90" s="63"/>
      <c r="EV90" s="63"/>
      <c r="EW90" s="63"/>
      <c r="EX90" s="63"/>
      <c r="EY90" s="63"/>
      <c r="EZ90" s="63"/>
      <c r="FA90" s="63"/>
      <c r="FB90" s="63"/>
      <c r="FC90" s="63"/>
      <c r="FD90" s="63"/>
      <c r="FE90" s="63"/>
      <c r="FF90" s="63"/>
      <c r="FG90" s="63"/>
      <c r="FH90" s="63"/>
      <c r="FI90" s="63"/>
      <c r="FJ90" s="63"/>
      <c r="FK90" s="63"/>
      <c r="FL90" s="63"/>
      <c r="FM90" s="63"/>
      <c r="FN90" s="63"/>
      <c r="FO90" s="63"/>
      <c r="FP90" s="63"/>
      <c r="FQ90" s="63"/>
      <c r="FR90" s="63"/>
      <c r="FS90" s="63"/>
      <c r="FT90" s="63"/>
      <c r="FU90" s="63"/>
      <c r="FV90" s="63"/>
      <c r="FW90" s="63"/>
      <c r="FX90" s="63"/>
      <c r="FY90" s="63"/>
      <c r="FZ90" s="63"/>
      <c r="GA90" s="63"/>
      <c r="GB90" s="63"/>
      <c r="GC90" s="63"/>
      <c r="GD90" s="63"/>
      <c r="GE90" s="63"/>
      <c r="GF90" s="63"/>
      <c r="GG90" s="63"/>
      <c r="GH90" s="63"/>
      <c r="GI90" s="63"/>
      <c r="GJ90" s="63"/>
      <c r="GK90" s="63"/>
      <c r="GL90" s="63"/>
      <c r="GM90" s="63"/>
      <c r="GN90" s="63"/>
      <c r="GO90" s="63"/>
      <c r="GP90" s="63"/>
      <c r="GQ90" s="63"/>
      <c r="GR90" s="63"/>
      <c r="GS90" s="63"/>
      <c r="GT90" s="63"/>
      <c r="GU90" s="63"/>
      <c r="GX90" s="37"/>
      <c r="GY90" s="37"/>
    </row>
    <row r="91" spans="1:207" s="60" customFormat="1" ht="13.5" customHeight="1" x14ac:dyDescent="0.3">
      <c r="A91" s="61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  <c r="DY91" s="63"/>
      <c r="DZ91" s="63"/>
      <c r="EA91" s="63"/>
      <c r="EB91" s="63"/>
      <c r="EC91" s="63"/>
      <c r="ED91" s="63"/>
      <c r="EE91" s="63"/>
      <c r="EF91" s="63"/>
      <c r="EG91" s="63"/>
      <c r="EH91" s="63"/>
      <c r="EI91" s="63"/>
      <c r="EJ91" s="63"/>
      <c r="EK91" s="63"/>
      <c r="EL91" s="63"/>
      <c r="EM91" s="63"/>
      <c r="EN91" s="63"/>
      <c r="EO91" s="63"/>
      <c r="EP91" s="63"/>
      <c r="EQ91" s="63"/>
      <c r="ER91" s="63"/>
      <c r="ES91" s="63"/>
      <c r="ET91" s="63"/>
      <c r="EU91" s="63"/>
      <c r="EV91" s="63"/>
      <c r="EW91" s="63"/>
      <c r="EX91" s="63"/>
      <c r="EY91" s="63"/>
      <c r="EZ91" s="63"/>
      <c r="FA91" s="63"/>
      <c r="FB91" s="63"/>
      <c r="FC91" s="63"/>
      <c r="FD91" s="63"/>
      <c r="FE91" s="63"/>
      <c r="FF91" s="63"/>
      <c r="FG91" s="63"/>
      <c r="FH91" s="63"/>
      <c r="FI91" s="63"/>
      <c r="FJ91" s="63"/>
      <c r="FK91" s="63"/>
      <c r="FL91" s="63"/>
      <c r="FM91" s="63"/>
      <c r="FN91" s="63"/>
      <c r="FO91" s="63"/>
      <c r="FP91" s="63"/>
      <c r="FQ91" s="63"/>
      <c r="FR91" s="63"/>
      <c r="FS91" s="63"/>
      <c r="FT91" s="63"/>
      <c r="FU91" s="63"/>
      <c r="FV91" s="63"/>
      <c r="FW91" s="63"/>
      <c r="FX91" s="63"/>
      <c r="FY91" s="63"/>
      <c r="FZ91" s="63"/>
      <c r="GA91" s="63"/>
      <c r="GB91" s="63"/>
      <c r="GC91" s="63"/>
      <c r="GD91" s="63"/>
      <c r="GE91" s="63"/>
      <c r="GF91" s="63"/>
      <c r="GG91" s="63"/>
      <c r="GH91" s="63"/>
      <c r="GI91" s="63"/>
      <c r="GJ91" s="63"/>
      <c r="GK91" s="63"/>
      <c r="GL91" s="63"/>
      <c r="GM91" s="63"/>
      <c r="GN91" s="63"/>
      <c r="GO91" s="63"/>
      <c r="GP91" s="63"/>
      <c r="GQ91" s="63"/>
      <c r="GR91" s="63"/>
      <c r="GS91" s="63"/>
      <c r="GT91" s="63"/>
      <c r="GU91" s="63"/>
      <c r="GX91" s="37"/>
      <c r="GY91" s="37"/>
    </row>
    <row r="92" spans="1:207" s="60" customFormat="1" ht="13.5" customHeight="1" x14ac:dyDescent="0.3">
      <c r="A92" s="61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  <c r="DY92" s="63"/>
      <c r="DZ92" s="63"/>
      <c r="EA92" s="63"/>
      <c r="EB92" s="63"/>
      <c r="EC92" s="63"/>
      <c r="ED92" s="63"/>
      <c r="EE92" s="63"/>
      <c r="EF92" s="63"/>
      <c r="EG92" s="63"/>
      <c r="EH92" s="63"/>
      <c r="EI92" s="63"/>
      <c r="EJ92" s="63"/>
      <c r="EK92" s="63"/>
      <c r="EL92" s="63"/>
      <c r="EM92" s="63"/>
      <c r="EN92" s="63"/>
      <c r="EO92" s="63"/>
      <c r="EP92" s="63"/>
      <c r="EQ92" s="63"/>
      <c r="ER92" s="63"/>
      <c r="ES92" s="63"/>
      <c r="ET92" s="63"/>
      <c r="EU92" s="63"/>
      <c r="EV92" s="63"/>
      <c r="EW92" s="63"/>
      <c r="EX92" s="63"/>
      <c r="EY92" s="63"/>
      <c r="EZ92" s="63"/>
      <c r="FA92" s="63"/>
      <c r="FB92" s="63"/>
      <c r="FC92" s="63"/>
      <c r="FD92" s="63"/>
      <c r="FE92" s="63"/>
      <c r="FF92" s="63"/>
      <c r="FG92" s="63"/>
      <c r="FH92" s="63"/>
      <c r="FI92" s="63"/>
      <c r="FJ92" s="63"/>
      <c r="FK92" s="63"/>
      <c r="FL92" s="63"/>
      <c r="FM92" s="63"/>
      <c r="FN92" s="63"/>
      <c r="FO92" s="63"/>
      <c r="FP92" s="63"/>
      <c r="FQ92" s="63"/>
      <c r="FR92" s="63"/>
      <c r="FS92" s="63"/>
      <c r="FT92" s="63"/>
      <c r="FU92" s="63"/>
      <c r="FV92" s="63"/>
      <c r="FW92" s="63"/>
      <c r="FX92" s="63"/>
      <c r="FY92" s="63"/>
      <c r="FZ92" s="63"/>
      <c r="GA92" s="63"/>
      <c r="GB92" s="63"/>
      <c r="GC92" s="63"/>
      <c r="GD92" s="63"/>
      <c r="GE92" s="63"/>
      <c r="GF92" s="63"/>
      <c r="GG92" s="63"/>
      <c r="GH92" s="63"/>
      <c r="GI92" s="63"/>
      <c r="GJ92" s="63"/>
      <c r="GK92" s="63"/>
      <c r="GL92" s="63"/>
      <c r="GM92" s="63"/>
      <c r="GN92" s="63"/>
      <c r="GO92" s="63"/>
      <c r="GP92" s="63"/>
      <c r="GQ92" s="63"/>
      <c r="GR92" s="63"/>
      <c r="GS92" s="63"/>
      <c r="GT92" s="63"/>
      <c r="GU92" s="63"/>
      <c r="GX92" s="37"/>
      <c r="GY92" s="37"/>
    </row>
    <row r="93" spans="1:207" s="60" customFormat="1" ht="13.5" customHeight="1" x14ac:dyDescent="0.3">
      <c r="A93" s="57" t="s">
        <v>35</v>
      </c>
      <c r="B93" s="58"/>
      <c r="C93" s="59">
        <f>C$25</f>
        <v>1</v>
      </c>
      <c r="D93" s="59">
        <f t="shared" ref="D93:GT93" si="69">D$25</f>
        <v>2</v>
      </c>
      <c r="E93" s="59">
        <f t="shared" si="69"/>
        <v>3</v>
      </c>
      <c r="F93" s="59">
        <f t="shared" si="69"/>
        <v>4</v>
      </c>
      <c r="G93" s="59">
        <f t="shared" si="69"/>
        <v>5</v>
      </c>
      <c r="H93" s="59">
        <f t="shared" si="69"/>
        <v>6</v>
      </c>
      <c r="I93" s="59">
        <f t="shared" si="69"/>
        <v>7</v>
      </c>
      <c r="J93" s="59">
        <f t="shared" si="69"/>
        <v>8</v>
      </c>
      <c r="K93" s="59">
        <f t="shared" si="69"/>
        <v>9</v>
      </c>
      <c r="L93" s="59">
        <f t="shared" si="69"/>
        <v>10</v>
      </c>
      <c r="M93" s="59">
        <f t="shared" si="69"/>
        <v>11</v>
      </c>
      <c r="N93" s="59">
        <f t="shared" si="69"/>
        <v>12</v>
      </c>
      <c r="O93" s="59">
        <f t="shared" si="69"/>
        <v>13</v>
      </c>
      <c r="P93" s="59">
        <f t="shared" si="69"/>
        <v>14</v>
      </c>
      <c r="Q93" s="59">
        <f t="shared" si="69"/>
        <v>15</v>
      </c>
      <c r="R93" s="59">
        <f t="shared" si="69"/>
        <v>16</v>
      </c>
      <c r="S93" s="59">
        <f t="shared" si="69"/>
        <v>17</v>
      </c>
      <c r="T93" s="59">
        <f t="shared" si="69"/>
        <v>18</v>
      </c>
      <c r="U93" s="59">
        <f t="shared" si="69"/>
        <v>19</v>
      </c>
      <c r="V93" s="59">
        <f t="shared" si="69"/>
        <v>20</v>
      </c>
      <c r="W93" s="59">
        <f t="shared" si="69"/>
        <v>21</v>
      </c>
      <c r="X93" s="59">
        <f t="shared" si="69"/>
        <v>22</v>
      </c>
      <c r="Y93" s="59">
        <f t="shared" si="69"/>
        <v>23</v>
      </c>
      <c r="Z93" s="59">
        <f t="shared" si="69"/>
        <v>24</v>
      </c>
      <c r="AA93" s="59">
        <f t="shared" si="69"/>
        <v>25</v>
      </c>
      <c r="AB93" s="59">
        <f t="shared" si="69"/>
        <v>26</v>
      </c>
      <c r="AC93" s="59">
        <f t="shared" si="69"/>
        <v>27</v>
      </c>
      <c r="AD93" s="59">
        <f t="shared" si="69"/>
        <v>28</v>
      </c>
      <c r="AE93" s="59">
        <f t="shared" si="69"/>
        <v>29</v>
      </c>
      <c r="AF93" s="59">
        <f t="shared" si="69"/>
        <v>30</v>
      </c>
      <c r="AG93" s="59">
        <f t="shared" si="69"/>
        <v>31</v>
      </c>
      <c r="AH93" s="59">
        <f t="shared" si="69"/>
        <v>32</v>
      </c>
      <c r="AI93" s="59">
        <f t="shared" si="69"/>
        <v>33</v>
      </c>
      <c r="AJ93" s="59">
        <f t="shared" si="69"/>
        <v>34</v>
      </c>
      <c r="AK93" s="59">
        <f t="shared" si="69"/>
        <v>35</v>
      </c>
      <c r="AL93" s="59">
        <f t="shared" si="69"/>
        <v>36</v>
      </c>
      <c r="AM93" s="59">
        <f t="shared" si="69"/>
        <v>37</v>
      </c>
      <c r="AN93" s="59">
        <f t="shared" si="69"/>
        <v>38</v>
      </c>
      <c r="AO93" s="59">
        <f t="shared" si="69"/>
        <v>39</v>
      </c>
      <c r="AP93" s="59">
        <f t="shared" si="69"/>
        <v>40</v>
      </c>
      <c r="AQ93" s="59">
        <f t="shared" si="69"/>
        <v>41</v>
      </c>
      <c r="AR93" s="59">
        <f t="shared" si="69"/>
        <v>42</v>
      </c>
      <c r="AS93" s="59">
        <f t="shared" si="69"/>
        <v>43</v>
      </c>
      <c r="AT93" s="59">
        <f t="shared" si="69"/>
        <v>44</v>
      </c>
      <c r="AU93" s="59">
        <f t="shared" si="69"/>
        <v>45</v>
      </c>
      <c r="AV93" s="59">
        <f t="shared" si="69"/>
        <v>46</v>
      </c>
      <c r="AW93" s="59">
        <f t="shared" si="69"/>
        <v>47</v>
      </c>
      <c r="AX93" s="59">
        <f t="shared" si="69"/>
        <v>48</v>
      </c>
      <c r="AY93" s="59">
        <f t="shared" si="69"/>
        <v>49</v>
      </c>
      <c r="AZ93" s="59">
        <f t="shared" si="69"/>
        <v>50</v>
      </c>
      <c r="BA93" s="59">
        <f t="shared" si="69"/>
        <v>51</v>
      </c>
      <c r="BB93" s="59">
        <f t="shared" si="69"/>
        <v>52</v>
      </c>
      <c r="BC93" s="59">
        <f t="shared" si="69"/>
        <v>53</v>
      </c>
      <c r="BD93" s="59">
        <f t="shared" si="69"/>
        <v>54</v>
      </c>
      <c r="BE93" s="59">
        <f t="shared" si="69"/>
        <v>55</v>
      </c>
      <c r="BF93" s="59">
        <f t="shared" si="69"/>
        <v>56</v>
      </c>
      <c r="BG93" s="59">
        <f t="shared" si="69"/>
        <v>57</v>
      </c>
      <c r="BH93" s="59">
        <f t="shared" si="69"/>
        <v>58</v>
      </c>
      <c r="BI93" s="59">
        <f t="shared" si="69"/>
        <v>59</v>
      </c>
      <c r="BJ93" s="59">
        <f t="shared" si="69"/>
        <v>60</v>
      </c>
      <c r="BK93" s="59">
        <f t="shared" si="69"/>
        <v>61</v>
      </c>
      <c r="BL93" s="59">
        <f t="shared" si="69"/>
        <v>62</v>
      </c>
      <c r="BM93" s="59">
        <f t="shared" si="69"/>
        <v>63</v>
      </c>
      <c r="BN93" s="59">
        <f t="shared" si="69"/>
        <v>64</v>
      </c>
      <c r="BO93" s="59">
        <f t="shared" si="69"/>
        <v>65</v>
      </c>
      <c r="BP93" s="59">
        <f t="shared" si="69"/>
        <v>66</v>
      </c>
      <c r="BQ93" s="59">
        <f t="shared" si="69"/>
        <v>67</v>
      </c>
      <c r="BR93" s="59">
        <f t="shared" si="69"/>
        <v>68</v>
      </c>
      <c r="BS93" s="59">
        <f t="shared" si="69"/>
        <v>69</v>
      </c>
      <c r="BT93" s="59">
        <f t="shared" si="69"/>
        <v>70</v>
      </c>
      <c r="BU93" s="59">
        <f t="shared" si="69"/>
        <v>71</v>
      </c>
      <c r="BV93" s="59">
        <f t="shared" si="69"/>
        <v>72</v>
      </c>
      <c r="BW93" s="59">
        <f t="shared" si="69"/>
        <v>73</v>
      </c>
      <c r="BX93" s="59">
        <f t="shared" si="69"/>
        <v>74</v>
      </c>
      <c r="BY93" s="59">
        <f t="shared" si="69"/>
        <v>75</v>
      </c>
      <c r="BZ93" s="59">
        <f t="shared" si="69"/>
        <v>76</v>
      </c>
      <c r="CA93" s="59">
        <f t="shared" si="69"/>
        <v>77</v>
      </c>
      <c r="CB93" s="59">
        <f t="shared" si="69"/>
        <v>78</v>
      </c>
      <c r="CC93" s="59">
        <f t="shared" si="69"/>
        <v>79</v>
      </c>
      <c r="CD93" s="59">
        <f t="shared" si="69"/>
        <v>80</v>
      </c>
      <c r="CE93" s="59">
        <f t="shared" si="69"/>
        <v>81</v>
      </c>
      <c r="CF93" s="59">
        <f t="shared" si="69"/>
        <v>82</v>
      </c>
      <c r="CG93" s="59">
        <f t="shared" si="69"/>
        <v>83</v>
      </c>
      <c r="CH93" s="59">
        <f t="shared" si="69"/>
        <v>84</v>
      </c>
      <c r="CI93" s="59">
        <f t="shared" si="69"/>
        <v>85</v>
      </c>
      <c r="CJ93" s="59">
        <f t="shared" si="69"/>
        <v>86</v>
      </c>
      <c r="CK93" s="59">
        <f t="shared" si="69"/>
        <v>87</v>
      </c>
      <c r="CL93" s="59">
        <f t="shared" si="69"/>
        <v>88</v>
      </c>
      <c r="CM93" s="59">
        <f t="shared" si="69"/>
        <v>89</v>
      </c>
      <c r="CN93" s="59">
        <f t="shared" si="69"/>
        <v>90</v>
      </c>
      <c r="CO93" s="59">
        <f t="shared" si="69"/>
        <v>91</v>
      </c>
      <c r="CP93" s="59">
        <f t="shared" si="69"/>
        <v>92</v>
      </c>
      <c r="CQ93" s="59">
        <f t="shared" si="69"/>
        <v>93</v>
      </c>
      <c r="CR93" s="59">
        <f t="shared" si="69"/>
        <v>94</v>
      </c>
      <c r="CS93" s="59">
        <f t="shared" si="69"/>
        <v>95</v>
      </c>
      <c r="CT93" s="59">
        <f t="shared" si="69"/>
        <v>96</v>
      </c>
      <c r="CU93" s="59">
        <f t="shared" si="69"/>
        <v>97</v>
      </c>
      <c r="CV93" s="59">
        <f t="shared" si="69"/>
        <v>98</v>
      </c>
      <c r="CW93" s="59">
        <f t="shared" si="69"/>
        <v>99</v>
      </c>
      <c r="CX93" s="59">
        <f t="shared" si="69"/>
        <v>100</v>
      </c>
      <c r="CY93" s="59">
        <f t="shared" si="69"/>
        <v>101</v>
      </c>
      <c r="CZ93" s="59">
        <f t="shared" si="69"/>
        <v>102</v>
      </c>
      <c r="DA93" s="59">
        <f t="shared" si="69"/>
        <v>103</v>
      </c>
      <c r="DB93" s="59">
        <f t="shared" si="69"/>
        <v>104</v>
      </c>
      <c r="DC93" s="59">
        <f t="shared" si="69"/>
        <v>105</v>
      </c>
      <c r="DD93" s="59">
        <f t="shared" si="69"/>
        <v>106</v>
      </c>
      <c r="DE93" s="59">
        <f t="shared" si="69"/>
        <v>107</v>
      </c>
      <c r="DF93" s="59">
        <f t="shared" si="69"/>
        <v>108</v>
      </c>
      <c r="DG93" s="59">
        <f t="shared" si="69"/>
        <v>109</v>
      </c>
      <c r="DH93" s="59">
        <f t="shared" si="69"/>
        <v>110</v>
      </c>
      <c r="DI93" s="59">
        <f t="shared" si="69"/>
        <v>111</v>
      </c>
      <c r="DJ93" s="59">
        <f t="shared" si="69"/>
        <v>112</v>
      </c>
      <c r="DK93" s="59">
        <f t="shared" si="69"/>
        <v>113</v>
      </c>
      <c r="DL93" s="59">
        <f t="shared" si="69"/>
        <v>114</v>
      </c>
      <c r="DM93" s="59">
        <f t="shared" si="69"/>
        <v>115</v>
      </c>
      <c r="DN93" s="59">
        <f t="shared" si="69"/>
        <v>116</v>
      </c>
      <c r="DO93" s="59">
        <f t="shared" si="69"/>
        <v>117</v>
      </c>
      <c r="DP93" s="59">
        <f t="shared" si="69"/>
        <v>118</v>
      </c>
      <c r="DQ93" s="59">
        <f t="shared" si="69"/>
        <v>119</v>
      </c>
      <c r="DR93" s="59">
        <f t="shared" si="69"/>
        <v>120</v>
      </c>
      <c r="DS93" s="59">
        <f t="shared" si="69"/>
        <v>121</v>
      </c>
      <c r="DT93" s="59">
        <f t="shared" si="69"/>
        <v>122</v>
      </c>
      <c r="DU93" s="59">
        <f t="shared" si="69"/>
        <v>123</v>
      </c>
      <c r="DV93" s="59">
        <f t="shared" si="69"/>
        <v>124</v>
      </c>
      <c r="DW93" s="59">
        <f t="shared" si="69"/>
        <v>125</v>
      </c>
      <c r="DX93" s="59">
        <f t="shared" si="69"/>
        <v>126</v>
      </c>
      <c r="DY93" s="59">
        <f t="shared" si="69"/>
        <v>127</v>
      </c>
      <c r="DZ93" s="59">
        <f t="shared" si="69"/>
        <v>128</v>
      </c>
      <c r="EA93" s="59">
        <f t="shared" si="69"/>
        <v>129</v>
      </c>
      <c r="EB93" s="59">
        <f t="shared" si="69"/>
        <v>130</v>
      </c>
      <c r="EC93" s="59">
        <f t="shared" si="69"/>
        <v>131</v>
      </c>
      <c r="ED93" s="59">
        <f t="shared" si="69"/>
        <v>132</v>
      </c>
      <c r="EE93" s="59">
        <f t="shared" si="69"/>
        <v>133</v>
      </c>
      <c r="EF93" s="59">
        <f t="shared" si="69"/>
        <v>134</v>
      </c>
      <c r="EG93" s="59">
        <f t="shared" si="69"/>
        <v>135</v>
      </c>
      <c r="EH93" s="59">
        <f t="shared" si="69"/>
        <v>136</v>
      </c>
      <c r="EI93" s="59">
        <f t="shared" si="69"/>
        <v>137</v>
      </c>
      <c r="EJ93" s="59">
        <f t="shared" si="69"/>
        <v>138</v>
      </c>
      <c r="EK93" s="59">
        <f t="shared" si="69"/>
        <v>139</v>
      </c>
      <c r="EL93" s="59">
        <f t="shared" si="69"/>
        <v>140</v>
      </c>
      <c r="EM93" s="59">
        <f t="shared" si="69"/>
        <v>141</v>
      </c>
      <c r="EN93" s="59">
        <f t="shared" si="69"/>
        <v>142</v>
      </c>
      <c r="EO93" s="59">
        <f t="shared" si="69"/>
        <v>143</v>
      </c>
      <c r="EP93" s="59">
        <f t="shared" si="69"/>
        <v>144</v>
      </c>
      <c r="EQ93" s="59">
        <f t="shared" si="69"/>
        <v>145</v>
      </c>
      <c r="ER93" s="59">
        <f t="shared" si="69"/>
        <v>146</v>
      </c>
      <c r="ES93" s="59">
        <f t="shared" si="69"/>
        <v>147</v>
      </c>
      <c r="ET93" s="59">
        <f t="shared" si="69"/>
        <v>148</v>
      </c>
      <c r="EU93" s="59">
        <f t="shared" si="69"/>
        <v>149</v>
      </c>
      <c r="EV93" s="59">
        <f t="shared" si="69"/>
        <v>150</v>
      </c>
      <c r="EW93" s="59">
        <f t="shared" si="69"/>
        <v>151</v>
      </c>
      <c r="EX93" s="59">
        <f t="shared" si="69"/>
        <v>152</v>
      </c>
      <c r="EY93" s="59">
        <f t="shared" si="69"/>
        <v>153</v>
      </c>
      <c r="EZ93" s="59">
        <f t="shared" si="69"/>
        <v>154</v>
      </c>
      <c r="FA93" s="59">
        <f t="shared" si="69"/>
        <v>155</v>
      </c>
      <c r="FB93" s="59">
        <f t="shared" si="69"/>
        <v>156</v>
      </c>
      <c r="FC93" s="59">
        <f t="shared" si="69"/>
        <v>157</v>
      </c>
      <c r="FD93" s="59">
        <f t="shared" si="69"/>
        <v>158</v>
      </c>
      <c r="FE93" s="59">
        <f t="shared" si="69"/>
        <v>159</v>
      </c>
      <c r="FF93" s="59">
        <f t="shared" si="69"/>
        <v>160</v>
      </c>
      <c r="FG93" s="59">
        <f t="shared" si="69"/>
        <v>161</v>
      </c>
      <c r="FH93" s="59">
        <f t="shared" si="69"/>
        <v>162</v>
      </c>
      <c r="FI93" s="59">
        <f t="shared" si="69"/>
        <v>163</v>
      </c>
      <c r="FJ93" s="59">
        <f t="shared" si="69"/>
        <v>164</v>
      </c>
      <c r="FK93" s="59">
        <f t="shared" si="69"/>
        <v>165</v>
      </c>
      <c r="FL93" s="59">
        <f t="shared" si="69"/>
        <v>166</v>
      </c>
      <c r="FM93" s="59">
        <f t="shared" si="69"/>
        <v>167</v>
      </c>
      <c r="FN93" s="59">
        <f t="shared" si="69"/>
        <v>168</v>
      </c>
      <c r="FO93" s="59">
        <f t="shared" si="69"/>
        <v>169</v>
      </c>
      <c r="FP93" s="59">
        <f t="shared" si="69"/>
        <v>170</v>
      </c>
      <c r="FQ93" s="59">
        <f t="shared" si="69"/>
        <v>171</v>
      </c>
      <c r="FR93" s="59">
        <f t="shared" si="69"/>
        <v>172</v>
      </c>
      <c r="FS93" s="59">
        <f t="shared" si="69"/>
        <v>173</v>
      </c>
      <c r="FT93" s="59">
        <f t="shared" si="69"/>
        <v>174</v>
      </c>
      <c r="FU93" s="59">
        <f t="shared" si="69"/>
        <v>175</v>
      </c>
      <c r="FV93" s="59">
        <f t="shared" si="69"/>
        <v>176</v>
      </c>
      <c r="FW93" s="59">
        <f t="shared" si="69"/>
        <v>177</v>
      </c>
      <c r="FX93" s="59">
        <f t="shared" si="69"/>
        <v>178</v>
      </c>
      <c r="FY93" s="59">
        <f t="shared" si="69"/>
        <v>179</v>
      </c>
      <c r="FZ93" s="59">
        <f t="shared" si="69"/>
        <v>180</v>
      </c>
      <c r="GA93" s="59">
        <f t="shared" si="69"/>
        <v>181</v>
      </c>
      <c r="GB93" s="59">
        <f t="shared" si="69"/>
        <v>182</v>
      </c>
      <c r="GC93" s="59">
        <f t="shared" si="69"/>
        <v>183</v>
      </c>
      <c r="GD93" s="59">
        <f t="shared" si="69"/>
        <v>184</v>
      </c>
      <c r="GE93" s="59">
        <f t="shared" si="69"/>
        <v>185</v>
      </c>
      <c r="GF93" s="59">
        <f t="shared" si="69"/>
        <v>186</v>
      </c>
      <c r="GG93" s="59">
        <f t="shared" si="69"/>
        <v>187</v>
      </c>
      <c r="GH93" s="59">
        <f t="shared" si="69"/>
        <v>188</v>
      </c>
      <c r="GI93" s="59">
        <f t="shared" si="69"/>
        <v>189</v>
      </c>
      <c r="GJ93" s="59">
        <f t="shared" si="69"/>
        <v>190</v>
      </c>
      <c r="GK93" s="59">
        <f t="shared" si="69"/>
        <v>191</v>
      </c>
      <c r="GL93" s="59">
        <f t="shared" si="69"/>
        <v>192</v>
      </c>
      <c r="GM93" s="59">
        <f t="shared" si="69"/>
        <v>193</v>
      </c>
      <c r="GN93" s="59">
        <f t="shared" si="69"/>
        <v>194</v>
      </c>
      <c r="GO93" s="59">
        <f t="shared" si="69"/>
        <v>195</v>
      </c>
      <c r="GP93" s="59">
        <f t="shared" si="69"/>
        <v>196</v>
      </c>
      <c r="GQ93" s="59">
        <f t="shared" si="69"/>
        <v>197</v>
      </c>
      <c r="GR93" s="59">
        <f t="shared" si="69"/>
        <v>198</v>
      </c>
      <c r="GS93" s="59">
        <f t="shared" si="69"/>
        <v>199</v>
      </c>
      <c r="GT93" s="59">
        <f t="shared" si="69"/>
        <v>200</v>
      </c>
      <c r="GU93" s="24"/>
      <c r="GX93" s="37"/>
      <c r="GY93" s="37"/>
    </row>
    <row r="94" spans="1:207" s="64" customFormat="1" ht="13.5" customHeight="1" x14ac:dyDescent="0.3">
      <c r="A94" s="61" t="str">
        <f>A72</f>
        <v>Ore</v>
      </c>
      <c r="B94" s="6">
        <f>SUM(C94:GU94)</f>
        <v>69.43419999999999</v>
      </c>
      <c r="C94" s="63">
        <f t="shared" ref="C94:AH94" si="70">IF(B86+C72&gt;C$42,C$42,B86+C72)</f>
        <v>4</v>
      </c>
      <c r="D94" s="63">
        <f t="shared" si="70"/>
        <v>15</v>
      </c>
      <c r="E94" s="63">
        <f t="shared" si="70"/>
        <v>15</v>
      </c>
      <c r="F94" s="63">
        <f t="shared" si="70"/>
        <v>15</v>
      </c>
      <c r="G94" s="63">
        <f t="shared" si="70"/>
        <v>15</v>
      </c>
      <c r="H94" s="63">
        <f t="shared" si="70"/>
        <v>5.4341999999999935</v>
      </c>
      <c r="I94" s="63">
        <f t="shared" si="70"/>
        <v>0</v>
      </c>
      <c r="J94" s="63">
        <f t="shared" si="70"/>
        <v>0</v>
      </c>
      <c r="K94" s="63">
        <f t="shared" si="70"/>
        <v>0</v>
      </c>
      <c r="L94" s="63">
        <f t="shared" si="70"/>
        <v>0</v>
      </c>
      <c r="M94" s="63">
        <f t="shared" si="70"/>
        <v>0</v>
      </c>
      <c r="N94" s="63">
        <f t="shared" si="70"/>
        <v>0</v>
      </c>
      <c r="O94" s="63">
        <f t="shared" si="70"/>
        <v>0</v>
      </c>
      <c r="P94" s="63">
        <f t="shared" si="70"/>
        <v>0</v>
      </c>
      <c r="Q94" s="63">
        <f t="shared" si="70"/>
        <v>0</v>
      </c>
      <c r="R94" s="63">
        <f t="shared" si="70"/>
        <v>0</v>
      </c>
      <c r="S94" s="63">
        <f t="shared" si="70"/>
        <v>0</v>
      </c>
      <c r="T94" s="63">
        <f t="shared" si="70"/>
        <v>0</v>
      </c>
      <c r="U94" s="63">
        <f t="shared" si="70"/>
        <v>0</v>
      </c>
      <c r="V94" s="63">
        <f t="shared" si="70"/>
        <v>0</v>
      </c>
      <c r="W94" s="63">
        <f t="shared" si="70"/>
        <v>0</v>
      </c>
      <c r="X94" s="63">
        <f t="shared" si="70"/>
        <v>0</v>
      </c>
      <c r="Y94" s="63">
        <f t="shared" si="70"/>
        <v>0</v>
      </c>
      <c r="Z94" s="63">
        <f t="shared" si="70"/>
        <v>0</v>
      </c>
      <c r="AA94" s="63">
        <f t="shared" si="70"/>
        <v>0</v>
      </c>
      <c r="AB94" s="63">
        <f t="shared" si="70"/>
        <v>0</v>
      </c>
      <c r="AC94" s="63">
        <f t="shared" si="70"/>
        <v>0</v>
      </c>
      <c r="AD94" s="63">
        <f t="shared" si="70"/>
        <v>0</v>
      </c>
      <c r="AE94" s="63">
        <f t="shared" si="70"/>
        <v>0</v>
      </c>
      <c r="AF94" s="63">
        <f t="shared" si="70"/>
        <v>0</v>
      </c>
      <c r="AG94" s="63">
        <f t="shared" si="70"/>
        <v>0</v>
      </c>
      <c r="AH94" s="63">
        <f t="shared" si="70"/>
        <v>0</v>
      </c>
      <c r="AI94" s="63">
        <f t="shared" ref="AI94:BN94" si="71">IF(AH86+AI72&gt;AI$42,AI$42,AH86+AI72)</f>
        <v>0</v>
      </c>
      <c r="AJ94" s="63">
        <f t="shared" si="71"/>
        <v>0</v>
      </c>
      <c r="AK94" s="63">
        <f t="shared" si="71"/>
        <v>0</v>
      </c>
      <c r="AL94" s="63">
        <f t="shared" si="71"/>
        <v>0</v>
      </c>
      <c r="AM94" s="63">
        <f t="shared" si="71"/>
        <v>0</v>
      </c>
      <c r="AN94" s="63">
        <f t="shared" si="71"/>
        <v>0</v>
      </c>
      <c r="AO94" s="63">
        <f t="shared" si="71"/>
        <v>0</v>
      </c>
      <c r="AP94" s="63">
        <f t="shared" si="71"/>
        <v>0</v>
      </c>
      <c r="AQ94" s="63">
        <f t="shared" si="71"/>
        <v>0</v>
      </c>
      <c r="AR94" s="63">
        <f t="shared" si="71"/>
        <v>0</v>
      </c>
      <c r="AS94" s="63">
        <f t="shared" si="71"/>
        <v>0</v>
      </c>
      <c r="AT94" s="63">
        <f t="shared" si="71"/>
        <v>0</v>
      </c>
      <c r="AU94" s="63">
        <f t="shared" si="71"/>
        <v>0</v>
      </c>
      <c r="AV94" s="63">
        <f t="shared" si="71"/>
        <v>0</v>
      </c>
      <c r="AW94" s="63">
        <f t="shared" si="71"/>
        <v>0</v>
      </c>
      <c r="AX94" s="63">
        <f t="shared" si="71"/>
        <v>0</v>
      </c>
      <c r="AY94" s="63">
        <f t="shared" si="71"/>
        <v>0</v>
      </c>
      <c r="AZ94" s="63">
        <f t="shared" si="71"/>
        <v>0</v>
      </c>
      <c r="BA94" s="63">
        <f t="shared" si="71"/>
        <v>0</v>
      </c>
      <c r="BB94" s="63">
        <f t="shared" si="71"/>
        <v>0</v>
      </c>
      <c r="BC94" s="63">
        <f t="shared" si="71"/>
        <v>0</v>
      </c>
      <c r="BD94" s="63">
        <f t="shared" si="71"/>
        <v>0</v>
      </c>
      <c r="BE94" s="63">
        <f t="shared" si="71"/>
        <v>0</v>
      </c>
      <c r="BF94" s="63">
        <f t="shared" si="71"/>
        <v>0</v>
      </c>
      <c r="BG94" s="63">
        <f t="shared" si="71"/>
        <v>0</v>
      </c>
      <c r="BH94" s="63">
        <f t="shared" si="71"/>
        <v>0</v>
      </c>
      <c r="BI94" s="63">
        <f t="shared" si="71"/>
        <v>0</v>
      </c>
      <c r="BJ94" s="63">
        <f t="shared" si="71"/>
        <v>0</v>
      </c>
      <c r="BK94" s="63">
        <f t="shared" si="71"/>
        <v>0</v>
      </c>
      <c r="BL94" s="63">
        <f t="shared" si="71"/>
        <v>0</v>
      </c>
      <c r="BM94" s="63">
        <f t="shared" si="71"/>
        <v>0</v>
      </c>
      <c r="BN94" s="63">
        <f t="shared" si="71"/>
        <v>0</v>
      </c>
      <c r="BO94" s="63">
        <f t="shared" ref="BO94:CT94" si="72">IF(BN86+BO72&gt;BO$42,BO$42,BN86+BO72)</f>
        <v>0</v>
      </c>
      <c r="BP94" s="63">
        <f t="shared" si="72"/>
        <v>0</v>
      </c>
      <c r="BQ94" s="63">
        <f t="shared" si="72"/>
        <v>0</v>
      </c>
      <c r="BR94" s="63">
        <f t="shared" si="72"/>
        <v>0</v>
      </c>
      <c r="BS94" s="63">
        <f t="shared" si="72"/>
        <v>0</v>
      </c>
      <c r="BT94" s="63">
        <f t="shared" si="72"/>
        <v>0</v>
      </c>
      <c r="BU94" s="63">
        <f t="shared" si="72"/>
        <v>0</v>
      </c>
      <c r="BV94" s="63">
        <f t="shared" si="72"/>
        <v>0</v>
      </c>
      <c r="BW94" s="63">
        <f t="shared" si="72"/>
        <v>0</v>
      </c>
      <c r="BX94" s="63">
        <f t="shared" si="72"/>
        <v>0</v>
      </c>
      <c r="BY94" s="63">
        <f t="shared" si="72"/>
        <v>0</v>
      </c>
      <c r="BZ94" s="63">
        <f t="shared" si="72"/>
        <v>0</v>
      </c>
      <c r="CA94" s="63">
        <f t="shared" si="72"/>
        <v>0</v>
      </c>
      <c r="CB94" s="63">
        <f t="shared" si="72"/>
        <v>0</v>
      </c>
      <c r="CC94" s="63">
        <f t="shared" si="72"/>
        <v>0</v>
      </c>
      <c r="CD94" s="63">
        <f t="shared" si="72"/>
        <v>0</v>
      </c>
      <c r="CE94" s="63">
        <f t="shared" si="72"/>
        <v>0</v>
      </c>
      <c r="CF94" s="63">
        <f t="shared" si="72"/>
        <v>0</v>
      </c>
      <c r="CG94" s="63">
        <f t="shared" si="72"/>
        <v>0</v>
      </c>
      <c r="CH94" s="63">
        <f t="shared" si="72"/>
        <v>0</v>
      </c>
      <c r="CI94" s="63">
        <f t="shared" si="72"/>
        <v>0</v>
      </c>
      <c r="CJ94" s="63">
        <f t="shared" si="72"/>
        <v>0</v>
      </c>
      <c r="CK94" s="63">
        <f t="shared" si="72"/>
        <v>0</v>
      </c>
      <c r="CL94" s="63">
        <f t="shared" si="72"/>
        <v>0</v>
      </c>
      <c r="CM94" s="63">
        <f t="shared" si="72"/>
        <v>0</v>
      </c>
      <c r="CN94" s="63">
        <f t="shared" si="72"/>
        <v>0</v>
      </c>
      <c r="CO94" s="63">
        <f t="shared" si="72"/>
        <v>0</v>
      </c>
      <c r="CP94" s="63">
        <f t="shared" si="72"/>
        <v>0</v>
      </c>
      <c r="CQ94" s="63">
        <f t="shared" si="72"/>
        <v>0</v>
      </c>
      <c r="CR94" s="63">
        <f t="shared" si="72"/>
        <v>0</v>
      </c>
      <c r="CS94" s="63">
        <f t="shared" si="72"/>
        <v>0</v>
      </c>
      <c r="CT94" s="63">
        <f t="shared" si="72"/>
        <v>0</v>
      </c>
      <c r="CU94" s="63">
        <f t="shared" ref="CU94:DZ94" si="73">IF(CT86+CU72&gt;CU$42,CU$42,CT86+CU72)</f>
        <v>0</v>
      </c>
      <c r="CV94" s="63">
        <f t="shared" si="73"/>
        <v>0</v>
      </c>
      <c r="CW94" s="63">
        <f t="shared" si="73"/>
        <v>0</v>
      </c>
      <c r="CX94" s="63">
        <f t="shared" si="73"/>
        <v>0</v>
      </c>
      <c r="CY94" s="63">
        <f t="shared" si="73"/>
        <v>0</v>
      </c>
      <c r="CZ94" s="63">
        <f t="shared" si="73"/>
        <v>0</v>
      </c>
      <c r="DA94" s="63">
        <f t="shared" si="73"/>
        <v>0</v>
      </c>
      <c r="DB94" s="63">
        <f t="shared" si="73"/>
        <v>0</v>
      </c>
      <c r="DC94" s="63">
        <f t="shared" si="73"/>
        <v>0</v>
      </c>
      <c r="DD94" s="63">
        <f t="shared" si="73"/>
        <v>0</v>
      </c>
      <c r="DE94" s="63">
        <f t="shared" si="73"/>
        <v>0</v>
      </c>
      <c r="DF94" s="63">
        <f t="shared" si="73"/>
        <v>0</v>
      </c>
      <c r="DG94" s="63">
        <f t="shared" si="73"/>
        <v>0</v>
      </c>
      <c r="DH94" s="63">
        <f t="shared" si="73"/>
        <v>0</v>
      </c>
      <c r="DI94" s="63">
        <f t="shared" si="73"/>
        <v>0</v>
      </c>
      <c r="DJ94" s="63">
        <f t="shared" si="73"/>
        <v>0</v>
      </c>
      <c r="DK94" s="63">
        <f t="shared" si="73"/>
        <v>0</v>
      </c>
      <c r="DL94" s="63">
        <f t="shared" si="73"/>
        <v>0</v>
      </c>
      <c r="DM94" s="63">
        <f t="shared" si="73"/>
        <v>0</v>
      </c>
      <c r="DN94" s="63">
        <f t="shared" si="73"/>
        <v>0</v>
      </c>
      <c r="DO94" s="63">
        <f t="shared" si="73"/>
        <v>0</v>
      </c>
      <c r="DP94" s="63">
        <f t="shared" si="73"/>
        <v>0</v>
      </c>
      <c r="DQ94" s="63">
        <f t="shared" si="73"/>
        <v>0</v>
      </c>
      <c r="DR94" s="63">
        <f t="shared" si="73"/>
        <v>0</v>
      </c>
      <c r="DS94" s="63">
        <f t="shared" si="73"/>
        <v>0</v>
      </c>
      <c r="DT94" s="63">
        <f t="shared" si="73"/>
        <v>0</v>
      </c>
      <c r="DU94" s="63">
        <f t="shared" si="73"/>
        <v>0</v>
      </c>
      <c r="DV94" s="63">
        <f t="shared" si="73"/>
        <v>0</v>
      </c>
      <c r="DW94" s="63">
        <f t="shared" si="73"/>
        <v>0</v>
      </c>
      <c r="DX94" s="63">
        <f t="shared" si="73"/>
        <v>0</v>
      </c>
      <c r="DY94" s="63">
        <f t="shared" si="73"/>
        <v>0</v>
      </c>
      <c r="DZ94" s="63">
        <f t="shared" si="73"/>
        <v>0</v>
      </c>
      <c r="EA94" s="63">
        <f t="shared" ref="EA94:FF94" si="74">IF(DZ86+EA72&gt;EA$42,EA$42,DZ86+EA72)</f>
        <v>0</v>
      </c>
      <c r="EB94" s="63">
        <f t="shared" si="74"/>
        <v>0</v>
      </c>
      <c r="EC94" s="63">
        <f t="shared" si="74"/>
        <v>0</v>
      </c>
      <c r="ED94" s="63">
        <f t="shared" si="74"/>
        <v>0</v>
      </c>
      <c r="EE94" s="63">
        <f t="shared" si="74"/>
        <v>0</v>
      </c>
      <c r="EF94" s="63">
        <f t="shared" si="74"/>
        <v>0</v>
      </c>
      <c r="EG94" s="63">
        <f t="shared" si="74"/>
        <v>0</v>
      </c>
      <c r="EH94" s="63">
        <f t="shared" si="74"/>
        <v>0</v>
      </c>
      <c r="EI94" s="63">
        <f t="shared" si="74"/>
        <v>0</v>
      </c>
      <c r="EJ94" s="63">
        <f t="shared" si="74"/>
        <v>0</v>
      </c>
      <c r="EK94" s="63">
        <f t="shared" si="74"/>
        <v>0</v>
      </c>
      <c r="EL94" s="63">
        <f t="shared" si="74"/>
        <v>0</v>
      </c>
      <c r="EM94" s="63">
        <f t="shared" si="74"/>
        <v>0</v>
      </c>
      <c r="EN94" s="63">
        <f t="shared" si="74"/>
        <v>0</v>
      </c>
      <c r="EO94" s="63">
        <f t="shared" si="74"/>
        <v>0</v>
      </c>
      <c r="EP94" s="63">
        <f t="shared" si="74"/>
        <v>0</v>
      </c>
      <c r="EQ94" s="63">
        <f t="shared" si="74"/>
        <v>0</v>
      </c>
      <c r="ER94" s="63">
        <f t="shared" si="74"/>
        <v>0</v>
      </c>
      <c r="ES94" s="63">
        <f t="shared" si="74"/>
        <v>0</v>
      </c>
      <c r="ET94" s="63">
        <f t="shared" si="74"/>
        <v>0</v>
      </c>
      <c r="EU94" s="63">
        <f t="shared" si="74"/>
        <v>0</v>
      </c>
      <c r="EV94" s="63">
        <f t="shared" si="74"/>
        <v>0</v>
      </c>
      <c r="EW94" s="63">
        <f t="shared" si="74"/>
        <v>0</v>
      </c>
      <c r="EX94" s="63">
        <f t="shared" si="74"/>
        <v>0</v>
      </c>
      <c r="EY94" s="63">
        <f t="shared" si="74"/>
        <v>0</v>
      </c>
      <c r="EZ94" s="63">
        <f t="shared" si="74"/>
        <v>0</v>
      </c>
      <c r="FA94" s="63">
        <f t="shared" si="74"/>
        <v>0</v>
      </c>
      <c r="FB94" s="63">
        <f t="shared" si="74"/>
        <v>0</v>
      </c>
      <c r="FC94" s="63">
        <f t="shared" si="74"/>
        <v>0</v>
      </c>
      <c r="FD94" s="63">
        <f t="shared" si="74"/>
        <v>0</v>
      </c>
      <c r="FE94" s="63">
        <f t="shared" si="74"/>
        <v>0</v>
      </c>
      <c r="FF94" s="63">
        <f t="shared" si="74"/>
        <v>0</v>
      </c>
      <c r="FG94" s="63">
        <f t="shared" ref="FG94:GL94" si="75">IF(FF86+FG72&gt;FG$42,FG$42,FF86+FG72)</f>
        <v>0</v>
      </c>
      <c r="FH94" s="63">
        <f t="shared" si="75"/>
        <v>0</v>
      </c>
      <c r="FI94" s="63">
        <f t="shared" si="75"/>
        <v>0</v>
      </c>
      <c r="FJ94" s="63">
        <f t="shared" si="75"/>
        <v>0</v>
      </c>
      <c r="FK94" s="63">
        <f t="shared" si="75"/>
        <v>0</v>
      </c>
      <c r="FL94" s="63">
        <f t="shared" si="75"/>
        <v>0</v>
      </c>
      <c r="FM94" s="63">
        <f t="shared" si="75"/>
        <v>0</v>
      </c>
      <c r="FN94" s="63">
        <f t="shared" si="75"/>
        <v>0</v>
      </c>
      <c r="FO94" s="63">
        <f t="shared" si="75"/>
        <v>0</v>
      </c>
      <c r="FP94" s="63">
        <f t="shared" si="75"/>
        <v>0</v>
      </c>
      <c r="FQ94" s="63">
        <f t="shared" si="75"/>
        <v>0</v>
      </c>
      <c r="FR94" s="63">
        <f t="shared" si="75"/>
        <v>0</v>
      </c>
      <c r="FS94" s="63">
        <f t="shared" si="75"/>
        <v>0</v>
      </c>
      <c r="FT94" s="63">
        <f t="shared" si="75"/>
        <v>0</v>
      </c>
      <c r="FU94" s="63">
        <f t="shared" si="75"/>
        <v>0</v>
      </c>
      <c r="FV94" s="63">
        <f t="shared" si="75"/>
        <v>0</v>
      </c>
      <c r="FW94" s="63">
        <f t="shared" si="75"/>
        <v>0</v>
      </c>
      <c r="FX94" s="63">
        <f t="shared" si="75"/>
        <v>0</v>
      </c>
      <c r="FY94" s="63">
        <f t="shared" si="75"/>
        <v>0</v>
      </c>
      <c r="FZ94" s="63">
        <f t="shared" si="75"/>
        <v>0</v>
      </c>
      <c r="GA94" s="63">
        <f t="shared" si="75"/>
        <v>0</v>
      </c>
      <c r="GB94" s="63">
        <f t="shared" si="75"/>
        <v>0</v>
      </c>
      <c r="GC94" s="63">
        <f t="shared" si="75"/>
        <v>0</v>
      </c>
      <c r="GD94" s="63">
        <f t="shared" si="75"/>
        <v>0</v>
      </c>
      <c r="GE94" s="63">
        <f t="shared" si="75"/>
        <v>0</v>
      </c>
      <c r="GF94" s="63">
        <f t="shared" si="75"/>
        <v>0</v>
      </c>
      <c r="GG94" s="63">
        <f t="shared" si="75"/>
        <v>0</v>
      </c>
      <c r="GH94" s="63">
        <f t="shared" si="75"/>
        <v>0</v>
      </c>
      <c r="GI94" s="63">
        <f t="shared" si="75"/>
        <v>0</v>
      </c>
      <c r="GJ94" s="63">
        <f t="shared" si="75"/>
        <v>0</v>
      </c>
      <c r="GK94" s="63">
        <f t="shared" si="75"/>
        <v>0</v>
      </c>
      <c r="GL94" s="63">
        <f t="shared" si="75"/>
        <v>0</v>
      </c>
      <c r="GM94" s="63">
        <f t="shared" ref="GM94:GT94" si="76">IF(GL86+GM72&gt;GM$42,GM$42,GL86+GM72)</f>
        <v>0</v>
      </c>
      <c r="GN94" s="63">
        <f t="shared" si="76"/>
        <v>0</v>
      </c>
      <c r="GO94" s="63">
        <f t="shared" si="76"/>
        <v>0</v>
      </c>
      <c r="GP94" s="63">
        <f t="shared" si="76"/>
        <v>0</v>
      </c>
      <c r="GQ94" s="63">
        <f t="shared" si="76"/>
        <v>0</v>
      </c>
      <c r="GR94" s="63">
        <f t="shared" si="76"/>
        <v>0</v>
      </c>
      <c r="GS94" s="63">
        <f t="shared" si="76"/>
        <v>0</v>
      </c>
      <c r="GT94" s="63">
        <f t="shared" si="76"/>
        <v>0</v>
      </c>
      <c r="GU94" s="63"/>
    </row>
    <row r="95" spans="1:207" s="64" customFormat="1" ht="13.5" customHeight="1" x14ac:dyDescent="0.3">
      <c r="A95" s="61" t="str">
        <f>A74</f>
        <v>GRADE1</v>
      </c>
      <c r="B95" s="63"/>
      <c r="C95" s="63">
        <f t="shared" ref="C95:AH95" si="77">IF(C$94&gt;0,(C$72*C74+B87-C87)/C$94,0)</f>
        <v>59.094250306650324</v>
      </c>
      <c r="D95" s="63">
        <f t="shared" si="77"/>
        <v>60.159197119382974</v>
      </c>
      <c r="E95" s="63">
        <f t="shared" si="77"/>
        <v>60.395883353750278</v>
      </c>
      <c r="F95" s="63">
        <f t="shared" si="77"/>
        <v>60.404936631156758</v>
      </c>
      <c r="G95" s="63">
        <f t="shared" si="77"/>
        <v>60.098224299291694</v>
      </c>
      <c r="H95" s="63">
        <f t="shared" si="77"/>
        <v>57.796086216862314</v>
      </c>
      <c r="I95" s="63">
        <f t="shared" si="77"/>
        <v>0</v>
      </c>
      <c r="J95" s="63">
        <f t="shared" si="77"/>
        <v>0</v>
      </c>
      <c r="K95" s="63">
        <f t="shared" si="77"/>
        <v>0</v>
      </c>
      <c r="L95" s="63">
        <f t="shared" si="77"/>
        <v>0</v>
      </c>
      <c r="M95" s="63">
        <f t="shared" si="77"/>
        <v>0</v>
      </c>
      <c r="N95" s="63">
        <f t="shared" si="77"/>
        <v>0</v>
      </c>
      <c r="O95" s="63">
        <f t="shared" si="77"/>
        <v>0</v>
      </c>
      <c r="P95" s="63">
        <f t="shared" si="77"/>
        <v>0</v>
      </c>
      <c r="Q95" s="63">
        <f t="shared" si="77"/>
        <v>0</v>
      </c>
      <c r="R95" s="63">
        <f t="shared" si="77"/>
        <v>0</v>
      </c>
      <c r="S95" s="63">
        <f t="shared" si="77"/>
        <v>0</v>
      </c>
      <c r="T95" s="63">
        <f t="shared" si="77"/>
        <v>0</v>
      </c>
      <c r="U95" s="63">
        <f t="shared" si="77"/>
        <v>0</v>
      </c>
      <c r="V95" s="63">
        <f t="shared" si="77"/>
        <v>0</v>
      </c>
      <c r="W95" s="63">
        <f t="shared" si="77"/>
        <v>0</v>
      </c>
      <c r="X95" s="63">
        <f t="shared" si="77"/>
        <v>0</v>
      </c>
      <c r="Y95" s="63">
        <f t="shared" si="77"/>
        <v>0</v>
      </c>
      <c r="Z95" s="63">
        <f t="shared" si="77"/>
        <v>0</v>
      </c>
      <c r="AA95" s="63">
        <f t="shared" si="77"/>
        <v>0</v>
      </c>
      <c r="AB95" s="63">
        <f t="shared" si="77"/>
        <v>0</v>
      </c>
      <c r="AC95" s="63">
        <f t="shared" si="77"/>
        <v>0</v>
      </c>
      <c r="AD95" s="63">
        <f t="shared" si="77"/>
        <v>0</v>
      </c>
      <c r="AE95" s="63">
        <f t="shared" si="77"/>
        <v>0</v>
      </c>
      <c r="AF95" s="63">
        <f t="shared" si="77"/>
        <v>0</v>
      </c>
      <c r="AG95" s="63">
        <f t="shared" si="77"/>
        <v>0</v>
      </c>
      <c r="AH95" s="63">
        <f t="shared" si="77"/>
        <v>0</v>
      </c>
      <c r="AI95" s="63">
        <f t="shared" ref="AI95:BN95" si="78">IF(AI$94&gt;0,(AI$72*AI74+AH87-AI87)/AI$94,0)</f>
        <v>0</v>
      </c>
      <c r="AJ95" s="63">
        <f t="shared" si="78"/>
        <v>0</v>
      </c>
      <c r="AK95" s="63">
        <f t="shared" si="78"/>
        <v>0</v>
      </c>
      <c r="AL95" s="63">
        <f t="shared" si="78"/>
        <v>0</v>
      </c>
      <c r="AM95" s="63">
        <f t="shared" si="78"/>
        <v>0</v>
      </c>
      <c r="AN95" s="63">
        <f t="shared" si="78"/>
        <v>0</v>
      </c>
      <c r="AO95" s="63">
        <f t="shared" si="78"/>
        <v>0</v>
      </c>
      <c r="AP95" s="63">
        <f t="shared" si="78"/>
        <v>0</v>
      </c>
      <c r="AQ95" s="63">
        <f t="shared" si="78"/>
        <v>0</v>
      </c>
      <c r="AR95" s="63">
        <f t="shared" si="78"/>
        <v>0</v>
      </c>
      <c r="AS95" s="63">
        <f t="shared" si="78"/>
        <v>0</v>
      </c>
      <c r="AT95" s="63">
        <f t="shared" si="78"/>
        <v>0</v>
      </c>
      <c r="AU95" s="63">
        <f t="shared" si="78"/>
        <v>0</v>
      </c>
      <c r="AV95" s="63">
        <f t="shared" si="78"/>
        <v>0</v>
      </c>
      <c r="AW95" s="63">
        <f t="shared" si="78"/>
        <v>0</v>
      </c>
      <c r="AX95" s="63">
        <f t="shared" si="78"/>
        <v>0</v>
      </c>
      <c r="AY95" s="63">
        <f t="shared" si="78"/>
        <v>0</v>
      </c>
      <c r="AZ95" s="63">
        <f t="shared" si="78"/>
        <v>0</v>
      </c>
      <c r="BA95" s="63">
        <f t="shared" si="78"/>
        <v>0</v>
      </c>
      <c r="BB95" s="63">
        <f t="shared" si="78"/>
        <v>0</v>
      </c>
      <c r="BC95" s="63">
        <f t="shared" si="78"/>
        <v>0</v>
      </c>
      <c r="BD95" s="63">
        <f t="shared" si="78"/>
        <v>0</v>
      </c>
      <c r="BE95" s="63">
        <f t="shared" si="78"/>
        <v>0</v>
      </c>
      <c r="BF95" s="63">
        <f t="shared" si="78"/>
        <v>0</v>
      </c>
      <c r="BG95" s="63">
        <f t="shared" si="78"/>
        <v>0</v>
      </c>
      <c r="BH95" s="63">
        <f t="shared" si="78"/>
        <v>0</v>
      </c>
      <c r="BI95" s="63">
        <f t="shared" si="78"/>
        <v>0</v>
      </c>
      <c r="BJ95" s="63">
        <f t="shared" si="78"/>
        <v>0</v>
      </c>
      <c r="BK95" s="63">
        <f t="shared" si="78"/>
        <v>0</v>
      </c>
      <c r="BL95" s="63">
        <f t="shared" si="78"/>
        <v>0</v>
      </c>
      <c r="BM95" s="63">
        <f t="shared" si="78"/>
        <v>0</v>
      </c>
      <c r="BN95" s="63">
        <f t="shared" si="78"/>
        <v>0</v>
      </c>
      <c r="BO95" s="63">
        <f t="shared" ref="BO95:CT95" si="79">IF(BO$94&gt;0,(BO$72*BO74+BN87-BO87)/BO$94,0)</f>
        <v>0</v>
      </c>
      <c r="BP95" s="63">
        <f t="shared" si="79"/>
        <v>0</v>
      </c>
      <c r="BQ95" s="63">
        <f t="shared" si="79"/>
        <v>0</v>
      </c>
      <c r="BR95" s="63">
        <f t="shared" si="79"/>
        <v>0</v>
      </c>
      <c r="BS95" s="63">
        <f t="shared" si="79"/>
        <v>0</v>
      </c>
      <c r="BT95" s="63">
        <f t="shared" si="79"/>
        <v>0</v>
      </c>
      <c r="BU95" s="63">
        <f t="shared" si="79"/>
        <v>0</v>
      </c>
      <c r="BV95" s="63">
        <f t="shared" si="79"/>
        <v>0</v>
      </c>
      <c r="BW95" s="63">
        <f t="shared" si="79"/>
        <v>0</v>
      </c>
      <c r="BX95" s="63">
        <f t="shared" si="79"/>
        <v>0</v>
      </c>
      <c r="BY95" s="63">
        <f t="shared" si="79"/>
        <v>0</v>
      </c>
      <c r="BZ95" s="63">
        <f t="shared" si="79"/>
        <v>0</v>
      </c>
      <c r="CA95" s="63">
        <f t="shared" si="79"/>
        <v>0</v>
      </c>
      <c r="CB95" s="63">
        <f t="shared" si="79"/>
        <v>0</v>
      </c>
      <c r="CC95" s="63">
        <f t="shared" si="79"/>
        <v>0</v>
      </c>
      <c r="CD95" s="63">
        <f t="shared" si="79"/>
        <v>0</v>
      </c>
      <c r="CE95" s="63">
        <f t="shared" si="79"/>
        <v>0</v>
      </c>
      <c r="CF95" s="63">
        <f t="shared" si="79"/>
        <v>0</v>
      </c>
      <c r="CG95" s="63">
        <f t="shared" si="79"/>
        <v>0</v>
      </c>
      <c r="CH95" s="63">
        <f t="shared" si="79"/>
        <v>0</v>
      </c>
      <c r="CI95" s="63">
        <f t="shared" si="79"/>
        <v>0</v>
      </c>
      <c r="CJ95" s="63">
        <f t="shared" si="79"/>
        <v>0</v>
      </c>
      <c r="CK95" s="63">
        <f t="shared" si="79"/>
        <v>0</v>
      </c>
      <c r="CL95" s="63">
        <f t="shared" si="79"/>
        <v>0</v>
      </c>
      <c r="CM95" s="63">
        <f t="shared" si="79"/>
        <v>0</v>
      </c>
      <c r="CN95" s="63">
        <f t="shared" si="79"/>
        <v>0</v>
      </c>
      <c r="CO95" s="63">
        <f t="shared" si="79"/>
        <v>0</v>
      </c>
      <c r="CP95" s="63">
        <f t="shared" si="79"/>
        <v>0</v>
      </c>
      <c r="CQ95" s="63">
        <f t="shared" si="79"/>
        <v>0</v>
      </c>
      <c r="CR95" s="63">
        <f t="shared" si="79"/>
        <v>0</v>
      </c>
      <c r="CS95" s="63">
        <f t="shared" si="79"/>
        <v>0</v>
      </c>
      <c r="CT95" s="63">
        <f t="shared" si="79"/>
        <v>0</v>
      </c>
      <c r="CU95" s="63">
        <f t="shared" ref="CU95:DZ95" si="80">IF(CU$94&gt;0,(CU$72*CU74+CT87-CU87)/CU$94,0)</f>
        <v>0</v>
      </c>
      <c r="CV95" s="63">
        <f t="shared" si="80"/>
        <v>0</v>
      </c>
      <c r="CW95" s="63">
        <f t="shared" si="80"/>
        <v>0</v>
      </c>
      <c r="CX95" s="63">
        <f t="shared" si="80"/>
        <v>0</v>
      </c>
      <c r="CY95" s="63">
        <f t="shared" si="80"/>
        <v>0</v>
      </c>
      <c r="CZ95" s="63">
        <f t="shared" si="80"/>
        <v>0</v>
      </c>
      <c r="DA95" s="63">
        <f t="shared" si="80"/>
        <v>0</v>
      </c>
      <c r="DB95" s="63">
        <f t="shared" si="80"/>
        <v>0</v>
      </c>
      <c r="DC95" s="63">
        <f t="shared" si="80"/>
        <v>0</v>
      </c>
      <c r="DD95" s="63">
        <f t="shared" si="80"/>
        <v>0</v>
      </c>
      <c r="DE95" s="63">
        <f t="shared" si="80"/>
        <v>0</v>
      </c>
      <c r="DF95" s="63">
        <f t="shared" si="80"/>
        <v>0</v>
      </c>
      <c r="DG95" s="63">
        <f t="shared" si="80"/>
        <v>0</v>
      </c>
      <c r="DH95" s="63">
        <f t="shared" si="80"/>
        <v>0</v>
      </c>
      <c r="DI95" s="63">
        <f t="shared" si="80"/>
        <v>0</v>
      </c>
      <c r="DJ95" s="63">
        <f t="shared" si="80"/>
        <v>0</v>
      </c>
      <c r="DK95" s="63">
        <f t="shared" si="80"/>
        <v>0</v>
      </c>
      <c r="DL95" s="63">
        <f t="shared" si="80"/>
        <v>0</v>
      </c>
      <c r="DM95" s="63">
        <f t="shared" si="80"/>
        <v>0</v>
      </c>
      <c r="DN95" s="63">
        <f t="shared" si="80"/>
        <v>0</v>
      </c>
      <c r="DO95" s="63">
        <f t="shared" si="80"/>
        <v>0</v>
      </c>
      <c r="DP95" s="63">
        <f t="shared" si="80"/>
        <v>0</v>
      </c>
      <c r="DQ95" s="63">
        <f t="shared" si="80"/>
        <v>0</v>
      </c>
      <c r="DR95" s="63">
        <f t="shared" si="80"/>
        <v>0</v>
      </c>
      <c r="DS95" s="63">
        <f t="shared" si="80"/>
        <v>0</v>
      </c>
      <c r="DT95" s="63">
        <f t="shared" si="80"/>
        <v>0</v>
      </c>
      <c r="DU95" s="63">
        <f t="shared" si="80"/>
        <v>0</v>
      </c>
      <c r="DV95" s="63">
        <f t="shared" si="80"/>
        <v>0</v>
      </c>
      <c r="DW95" s="63">
        <f t="shared" si="80"/>
        <v>0</v>
      </c>
      <c r="DX95" s="63">
        <f t="shared" si="80"/>
        <v>0</v>
      </c>
      <c r="DY95" s="63">
        <f t="shared" si="80"/>
        <v>0</v>
      </c>
      <c r="DZ95" s="63">
        <f t="shared" si="80"/>
        <v>0</v>
      </c>
      <c r="EA95" s="63">
        <f t="shared" ref="EA95:FF95" si="81">IF(EA$94&gt;0,(EA$72*EA74+DZ87-EA87)/EA$94,0)</f>
        <v>0</v>
      </c>
      <c r="EB95" s="63">
        <f t="shared" si="81"/>
        <v>0</v>
      </c>
      <c r="EC95" s="63">
        <f t="shared" si="81"/>
        <v>0</v>
      </c>
      <c r="ED95" s="63">
        <f t="shared" si="81"/>
        <v>0</v>
      </c>
      <c r="EE95" s="63">
        <f t="shared" si="81"/>
        <v>0</v>
      </c>
      <c r="EF95" s="63">
        <f t="shared" si="81"/>
        <v>0</v>
      </c>
      <c r="EG95" s="63">
        <f t="shared" si="81"/>
        <v>0</v>
      </c>
      <c r="EH95" s="63">
        <f t="shared" si="81"/>
        <v>0</v>
      </c>
      <c r="EI95" s="63">
        <f t="shared" si="81"/>
        <v>0</v>
      </c>
      <c r="EJ95" s="63">
        <f t="shared" si="81"/>
        <v>0</v>
      </c>
      <c r="EK95" s="63">
        <f t="shared" si="81"/>
        <v>0</v>
      </c>
      <c r="EL95" s="63">
        <f t="shared" si="81"/>
        <v>0</v>
      </c>
      <c r="EM95" s="63">
        <f t="shared" si="81"/>
        <v>0</v>
      </c>
      <c r="EN95" s="63">
        <f t="shared" si="81"/>
        <v>0</v>
      </c>
      <c r="EO95" s="63">
        <f t="shared" si="81"/>
        <v>0</v>
      </c>
      <c r="EP95" s="63">
        <f t="shared" si="81"/>
        <v>0</v>
      </c>
      <c r="EQ95" s="63">
        <f t="shared" si="81"/>
        <v>0</v>
      </c>
      <c r="ER95" s="63">
        <f t="shared" si="81"/>
        <v>0</v>
      </c>
      <c r="ES95" s="63">
        <f t="shared" si="81"/>
        <v>0</v>
      </c>
      <c r="ET95" s="63">
        <f t="shared" si="81"/>
        <v>0</v>
      </c>
      <c r="EU95" s="63">
        <f t="shared" si="81"/>
        <v>0</v>
      </c>
      <c r="EV95" s="63">
        <f t="shared" si="81"/>
        <v>0</v>
      </c>
      <c r="EW95" s="63">
        <f t="shared" si="81"/>
        <v>0</v>
      </c>
      <c r="EX95" s="63">
        <f t="shared" si="81"/>
        <v>0</v>
      </c>
      <c r="EY95" s="63">
        <f t="shared" si="81"/>
        <v>0</v>
      </c>
      <c r="EZ95" s="63">
        <f t="shared" si="81"/>
        <v>0</v>
      </c>
      <c r="FA95" s="63">
        <f t="shared" si="81"/>
        <v>0</v>
      </c>
      <c r="FB95" s="63">
        <f t="shared" si="81"/>
        <v>0</v>
      </c>
      <c r="FC95" s="63">
        <f t="shared" si="81"/>
        <v>0</v>
      </c>
      <c r="FD95" s="63">
        <f t="shared" si="81"/>
        <v>0</v>
      </c>
      <c r="FE95" s="63">
        <f t="shared" si="81"/>
        <v>0</v>
      </c>
      <c r="FF95" s="63">
        <f t="shared" si="81"/>
        <v>0</v>
      </c>
      <c r="FG95" s="63">
        <f t="shared" ref="FG95:GL95" si="82">IF(FG$94&gt;0,(FG$72*FG74+FF87-FG87)/FG$94,0)</f>
        <v>0</v>
      </c>
      <c r="FH95" s="63">
        <f t="shared" si="82"/>
        <v>0</v>
      </c>
      <c r="FI95" s="63">
        <f t="shared" si="82"/>
        <v>0</v>
      </c>
      <c r="FJ95" s="63">
        <f t="shared" si="82"/>
        <v>0</v>
      </c>
      <c r="FK95" s="63">
        <f t="shared" si="82"/>
        <v>0</v>
      </c>
      <c r="FL95" s="63">
        <f t="shared" si="82"/>
        <v>0</v>
      </c>
      <c r="FM95" s="63">
        <f t="shared" si="82"/>
        <v>0</v>
      </c>
      <c r="FN95" s="63">
        <f t="shared" si="82"/>
        <v>0</v>
      </c>
      <c r="FO95" s="63">
        <f t="shared" si="82"/>
        <v>0</v>
      </c>
      <c r="FP95" s="63">
        <f t="shared" si="82"/>
        <v>0</v>
      </c>
      <c r="FQ95" s="63">
        <f t="shared" si="82"/>
        <v>0</v>
      </c>
      <c r="FR95" s="63">
        <f t="shared" si="82"/>
        <v>0</v>
      </c>
      <c r="FS95" s="63">
        <f t="shared" si="82"/>
        <v>0</v>
      </c>
      <c r="FT95" s="63">
        <f t="shared" si="82"/>
        <v>0</v>
      </c>
      <c r="FU95" s="63">
        <f t="shared" si="82"/>
        <v>0</v>
      </c>
      <c r="FV95" s="63">
        <f t="shared" si="82"/>
        <v>0</v>
      </c>
      <c r="FW95" s="63">
        <f t="shared" si="82"/>
        <v>0</v>
      </c>
      <c r="FX95" s="63">
        <f t="shared" si="82"/>
        <v>0</v>
      </c>
      <c r="FY95" s="63">
        <f t="shared" si="82"/>
        <v>0</v>
      </c>
      <c r="FZ95" s="63">
        <f t="shared" si="82"/>
        <v>0</v>
      </c>
      <c r="GA95" s="63">
        <f t="shared" si="82"/>
        <v>0</v>
      </c>
      <c r="GB95" s="63">
        <f t="shared" si="82"/>
        <v>0</v>
      </c>
      <c r="GC95" s="63">
        <f t="shared" si="82"/>
        <v>0</v>
      </c>
      <c r="GD95" s="63">
        <f t="shared" si="82"/>
        <v>0</v>
      </c>
      <c r="GE95" s="63">
        <f t="shared" si="82"/>
        <v>0</v>
      </c>
      <c r="GF95" s="63">
        <f t="shared" si="82"/>
        <v>0</v>
      </c>
      <c r="GG95" s="63">
        <f t="shared" si="82"/>
        <v>0</v>
      </c>
      <c r="GH95" s="63">
        <f t="shared" si="82"/>
        <v>0</v>
      </c>
      <c r="GI95" s="63">
        <f t="shared" si="82"/>
        <v>0</v>
      </c>
      <c r="GJ95" s="63">
        <f t="shared" si="82"/>
        <v>0</v>
      </c>
      <c r="GK95" s="63">
        <f t="shared" si="82"/>
        <v>0</v>
      </c>
      <c r="GL95" s="63">
        <f t="shared" si="82"/>
        <v>0</v>
      </c>
      <c r="GM95" s="63">
        <f t="shared" ref="GM95:GT95" si="83">IF(GM$94&gt;0,(GM$72*GM74+GL87-GM87)/GM$94,0)</f>
        <v>0</v>
      </c>
      <c r="GN95" s="63">
        <f t="shared" si="83"/>
        <v>0</v>
      </c>
      <c r="GO95" s="63">
        <f t="shared" si="83"/>
        <v>0</v>
      </c>
      <c r="GP95" s="63">
        <f t="shared" si="83"/>
        <v>0</v>
      </c>
      <c r="GQ95" s="63">
        <f t="shared" si="83"/>
        <v>0</v>
      </c>
      <c r="GR95" s="63">
        <f t="shared" si="83"/>
        <v>0</v>
      </c>
      <c r="GS95" s="63">
        <f t="shared" si="83"/>
        <v>0</v>
      </c>
      <c r="GT95" s="63">
        <f t="shared" si="83"/>
        <v>0</v>
      </c>
      <c r="GU95" s="63"/>
    </row>
    <row r="96" spans="1:207" s="64" customFormat="1" ht="13.5" customHeight="1" x14ac:dyDescent="0.3">
      <c r="A96" s="61" t="str">
        <f>A75</f>
        <v>GRADE2</v>
      </c>
      <c r="B96" s="63"/>
      <c r="C96" s="63">
        <f t="shared" ref="C96:AH96" si="84">IF(C$94&gt;0,(C$72*C75+B88-C88)/C$94,0)</f>
        <v>4.9721342861714035</v>
      </c>
      <c r="D96" s="63">
        <f t="shared" si="84"/>
        <v>4.1417932001252549</v>
      </c>
      <c r="E96" s="63">
        <f t="shared" si="84"/>
        <v>4.1251899407710182</v>
      </c>
      <c r="F96" s="63">
        <f t="shared" si="84"/>
        <v>4.5963923103713711</v>
      </c>
      <c r="G96" s="63">
        <f t="shared" si="84"/>
        <v>4.8739324333087692</v>
      </c>
      <c r="H96" s="63">
        <f t="shared" si="84"/>
        <v>5.3548424030525643</v>
      </c>
      <c r="I96" s="63">
        <f t="shared" si="84"/>
        <v>0</v>
      </c>
      <c r="J96" s="63">
        <f t="shared" si="84"/>
        <v>0</v>
      </c>
      <c r="K96" s="63">
        <f t="shared" si="84"/>
        <v>0</v>
      </c>
      <c r="L96" s="63">
        <f t="shared" si="84"/>
        <v>0</v>
      </c>
      <c r="M96" s="63">
        <f t="shared" si="84"/>
        <v>0</v>
      </c>
      <c r="N96" s="63">
        <f t="shared" si="84"/>
        <v>0</v>
      </c>
      <c r="O96" s="63">
        <f t="shared" si="84"/>
        <v>0</v>
      </c>
      <c r="P96" s="63">
        <f t="shared" si="84"/>
        <v>0</v>
      </c>
      <c r="Q96" s="63">
        <f t="shared" si="84"/>
        <v>0</v>
      </c>
      <c r="R96" s="63">
        <f t="shared" si="84"/>
        <v>0</v>
      </c>
      <c r="S96" s="63">
        <f t="shared" si="84"/>
        <v>0</v>
      </c>
      <c r="T96" s="63">
        <f t="shared" si="84"/>
        <v>0</v>
      </c>
      <c r="U96" s="63">
        <f t="shared" si="84"/>
        <v>0</v>
      </c>
      <c r="V96" s="63">
        <f t="shared" si="84"/>
        <v>0</v>
      </c>
      <c r="W96" s="63">
        <f t="shared" si="84"/>
        <v>0</v>
      </c>
      <c r="X96" s="63">
        <f t="shared" si="84"/>
        <v>0</v>
      </c>
      <c r="Y96" s="63">
        <f t="shared" si="84"/>
        <v>0</v>
      </c>
      <c r="Z96" s="63">
        <f t="shared" si="84"/>
        <v>0</v>
      </c>
      <c r="AA96" s="63">
        <f t="shared" si="84"/>
        <v>0</v>
      </c>
      <c r="AB96" s="63">
        <f t="shared" si="84"/>
        <v>0</v>
      </c>
      <c r="AC96" s="63">
        <f t="shared" si="84"/>
        <v>0</v>
      </c>
      <c r="AD96" s="63">
        <f t="shared" si="84"/>
        <v>0</v>
      </c>
      <c r="AE96" s="63">
        <f t="shared" si="84"/>
        <v>0</v>
      </c>
      <c r="AF96" s="63">
        <f t="shared" si="84"/>
        <v>0</v>
      </c>
      <c r="AG96" s="63">
        <f t="shared" si="84"/>
        <v>0</v>
      </c>
      <c r="AH96" s="63">
        <f t="shared" si="84"/>
        <v>0</v>
      </c>
      <c r="AI96" s="63">
        <f t="shared" ref="AI96:BN96" si="85">IF(AI$94&gt;0,(AI$72*AI75+AH88-AI88)/AI$94,0)</f>
        <v>0</v>
      </c>
      <c r="AJ96" s="63">
        <f t="shared" si="85"/>
        <v>0</v>
      </c>
      <c r="AK96" s="63">
        <f t="shared" si="85"/>
        <v>0</v>
      </c>
      <c r="AL96" s="63">
        <f t="shared" si="85"/>
        <v>0</v>
      </c>
      <c r="AM96" s="63">
        <f t="shared" si="85"/>
        <v>0</v>
      </c>
      <c r="AN96" s="63">
        <f t="shared" si="85"/>
        <v>0</v>
      </c>
      <c r="AO96" s="63">
        <f t="shared" si="85"/>
        <v>0</v>
      </c>
      <c r="AP96" s="63">
        <f t="shared" si="85"/>
        <v>0</v>
      </c>
      <c r="AQ96" s="63">
        <f t="shared" si="85"/>
        <v>0</v>
      </c>
      <c r="AR96" s="63">
        <f t="shared" si="85"/>
        <v>0</v>
      </c>
      <c r="AS96" s="63">
        <f t="shared" si="85"/>
        <v>0</v>
      </c>
      <c r="AT96" s="63">
        <f t="shared" si="85"/>
        <v>0</v>
      </c>
      <c r="AU96" s="63">
        <f t="shared" si="85"/>
        <v>0</v>
      </c>
      <c r="AV96" s="63">
        <f t="shared" si="85"/>
        <v>0</v>
      </c>
      <c r="AW96" s="63">
        <f t="shared" si="85"/>
        <v>0</v>
      </c>
      <c r="AX96" s="63">
        <f t="shared" si="85"/>
        <v>0</v>
      </c>
      <c r="AY96" s="63">
        <f t="shared" si="85"/>
        <v>0</v>
      </c>
      <c r="AZ96" s="63">
        <f t="shared" si="85"/>
        <v>0</v>
      </c>
      <c r="BA96" s="63">
        <f t="shared" si="85"/>
        <v>0</v>
      </c>
      <c r="BB96" s="63">
        <f t="shared" si="85"/>
        <v>0</v>
      </c>
      <c r="BC96" s="63">
        <f t="shared" si="85"/>
        <v>0</v>
      </c>
      <c r="BD96" s="63">
        <f t="shared" si="85"/>
        <v>0</v>
      </c>
      <c r="BE96" s="63">
        <f t="shared" si="85"/>
        <v>0</v>
      </c>
      <c r="BF96" s="63">
        <f t="shared" si="85"/>
        <v>0</v>
      </c>
      <c r="BG96" s="63">
        <f t="shared" si="85"/>
        <v>0</v>
      </c>
      <c r="BH96" s="63">
        <f t="shared" si="85"/>
        <v>0</v>
      </c>
      <c r="BI96" s="63">
        <f t="shared" si="85"/>
        <v>0</v>
      </c>
      <c r="BJ96" s="63">
        <f t="shared" si="85"/>
        <v>0</v>
      </c>
      <c r="BK96" s="63">
        <f t="shared" si="85"/>
        <v>0</v>
      </c>
      <c r="BL96" s="63">
        <f t="shared" si="85"/>
        <v>0</v>
      </c>
      <c r="BM96" s="63">
        <f t="shared" si="85"/>
        <v>0</v>
      </c>
      <c r="BN96" s="63">
        <f t="shared" si="85"/>
        <v>0</v>
      </c>
      <c r="BO96" s="63">
        <f t="shared" ref="BO96:CT96" si="86">IF(BO$94&gt;0,(BO$72*BO75+BN88-BO88)/BO$94,0)</f>
        <v>0</v>
      </c>
      <c r="BP96" s="63">
        <f t="shared" si="86"/>
        <v>0</v>
      </c>
      <c r="BQ96" s="63">
        <f t="shared" si="86"/>
        <v>0</v>
      </c>
      <c r="BR96" s="63">
        <f t="shared" si="86"/>
        <v>0</v>
      </c>
      <c r="BS96" s="63">
        <f t="shared" si="86"/>
        <v>0</v>
      </c>
      <c r="BT96" s="63">
        <f t="shared" si="86"/>
        <v>0</v>
      </c>
      <c r="BU96" s="63">
        <f t="shared" si="86"/>
        <v>0</v>
      </c>
      <c r="BV96" s="63">
        <f t="shared" si="86"/>
        <v>0</v>
      </c>
      <c r="BW96" s="63">
        <f t="shared" si="86"/>
        <v>0</v>
      </c>
      <c r="BX96" s="63">
        <f t="shared" si="86"/>
        <v>0</v>
      </c>
      <c r="BY96" s="63">
        <f t="shared" si="86"/>
        <v>0</v>
      </c>
      <c r="BZ96" s="63">
        <f t="shared" si="86"/>
        <v>0</v>
      </c>
      <c r="CA96" s="63">
        <f t="shared" si="86"/>
        <v>0</v>
      </c>
      <c r="CB96" s="63">
        <f t="shared" si="86"/>
        <v>0</v>
      </c>
      <c r="CC96" s="63">
        <f t="shared" si="86"/>
        <v>0</v>
      </c>
      <c r="CD96" s="63">
        <f t="shared" si="86"/>
        <v>0</v>
      </c>
      <c r="CE96" s="63">
        <f t="shared" si="86"/>
        <v>0</v>
      </c>
      <c r="CF96" s="63">
        <f t="shared" si="86"/>
        <v>0</v>
      </c>
      <c r="CG96" s="63">
        <f t="shared" si="86"/>
        <v>0</v>
      </c>
      <c r="CH96" s="63">
        <f t="shared" si="86"/>
        <v>0</v>
      </c>
      <c r="CI96" s="63">
        <f t="shared" si="86"/>
        <v>0</v>
      </c>
      <c r="CJ96" s="63">
        <f t="shared" si="86"/>
        <v>0</v>
      </c>
      <c r="CK96" s="63">
        <f t="shared" si="86"/>
        <v>0</v>
      </c>
      <c r="CL96" s="63">
        <f t="shared" si="86"/>
        <v>0</v>
      </c>
      <c r="CM96" s="63">
        <f t="shared" si="86"/>
        <v>0</v>
      </c>
      <c r="CN96" s="63">
        <f t="shared" si="86"/>
        <v>0</v>
      </c>
      <c r="CO96" s="63">
        <f t="shared" si="86"/>
        <v>0</v>
      </c>
      <c r="CP96" s="63">
        <f t="shared" si="86"/>
        <v>0</v>
      </c>
      <c r="CQ96" s="63">
        <f t="shared" si="86"/>
        <v>0</v>
      </c>
      <c r="CR96" s="63">
        <f t="shared" si="86"/>
        <v>0</v>
      </c>
      <c r="CS96" s="63">
        <f t="shared" si="86"/>
        <v>0</v>
      </c>
      <c r="CT96" s="63">
        <f t="shared" si="86"/>
        <v>0</v>
      </c>
      <c r="CU96" s="63">
        <f t="shared" ref="CU96:DZ96" si="87">IF(CU$94&gt;0,(CU$72*CU75+CT88-CU88)/CU$94,0)</f>
        <v>0</v>
      </c>
      <c r="CV96" s="63">
        <f t="shared" si="87"/>
        <v>0</v>
      </c>
      <c r="CW96" s="63">
        <f t="shared" si="87"/>
        <v>0</v>
      </c>
      <c r="CX96" s="63">
        <f t="shared" si="87"/>
        <v>0</v>
      </c>
      <c r="CY96" s="63">
        <f t="shared" si="87"/>
        <v>0</v>
      </c>
      <c r="CZ96" s="63">
        <f t="shared" si="87"/>
        <v>0</v>
      </c>
      <c r="DA96" s="63">
        <f t="shared" si="87"/>
        <v>0</v>
      </c>
      <c r="DB96" s="63">
        <f t="shared" si="87"/>
        <v>0</v>
      </c>
      <c r="DC96" s="63">
        <f t="shared" si="87"/>
        <v>0</v>
      </c>
      <c r="DD96" s="63">
        <f t="shared" si="87"/>
        <v>0</v>
      </c>
      <c r="DE96" s="63">
        <f t="shared" si="87"/>
        <v>0</v>
      </c>
      <c r="DF96" s="63">
        <f t="shared" si="87"/>
        <v>0</v>
      </c>
      <c r="DG96" s="63">
        <f t="shared" si="87"/>
        <v>0</v>
      </c>
      <c r="DH96" s="63">
        <f t="shared" si="87"/>
        <v>0</v>
      </c>
      <c r="DI96" s="63">
        <f t="shared" si="87"/>
        <v>0</v>
      </c>
      <c r="DJ96" s="63">
        <f t="shared" si="87"/>
        <v>0</v>
      </c>
      <c r="DK96" s="63">
        <f t="shared" si="87"/>
        <v>0</v>
      </c>
      <c r="DL96" s="63">
        <f t="shared" si="87"/>
        <v>0</v>
      </c>
      <c r="DM96" s="63">
        <f t="shared" si="87"/>
        <v>0</v>
      </c>
      <c r="DN96" s="63">
        <f t="shared" si="87"/>
        <v>0</v>
      </c>
      <c r="DO96" s="63">
        <f t="shared" si="87"/>
        <v>0</v>
      </c>
      <c r="DP96" s="63">
        <f t="shared" si="87"/>
        <v>0</v>
      </c>
      <c r="DQ96" s="63">
        <f t="shared" si="87"/>
        <v>0</v>
      </c>
      <c r="DR96" s="63">
        <f t="shared" si="87"/>
        <v>0</v>
      </c>
      <c r="DS96" s="63">
        <f t="shared" si="87"/>
        <v>0</v>
      </c>
      <c r="DT96" s="63">
        <f t="shared" si="87"/>
        <v>0</v>
      </c>
      <c r="DU96" s="63">
        <f t="shared" si="87"/>
        <v>0</v>
      </c>
      <c r="DV96" s="63">
        <f t="shared" si="87"/>
        <v>0</v>
      </c>
      <c r="DW96" s="63">
        <f t="shared" si="87"/>
        <v>0</v>
      </c>
      <c r="DX96" s="63">
        <f t="shared" si="87"/>
        <v>0</v>
      </c>
      <c r="DY96" s="63">
        <f t="shared" si="87"/>
        <v>0</v>
      </c>
      <c r="DZ96" s="63">
        <f t="shared" si="87"/>
        <v>0</v>
      </c>
      <c r="EA96" s="63">
        <f t="shared" ref="EA96:FF96" si="88">IF(EA$94&gt;0,(EA$72*EA75+DZ88-EA88)/EA$94,0)</f>
        <v>0</v>
      </c>
      <c r="EB96" s="63">
        <f t="shared" si="88"/>
        <v>0</v>
      </c>
      <c r="EC96" s="63">
        <f t="shared" si="88"/>
        <v>0</v>
      </c>
      <c r="ED96" s="63">
        <f t="shared" si="88"/>
        <v>0</v>
      </c>
      <c r="EE96" s="63">
        <f t="shared" si="88"/>
        <v>0</v>
      </c>
      <c r="EF96" s="63">
        <f t="shared" si="88"/>
        <v>0</v>
      </c>
      <c r="EG96" s="63">
        <f t="shared" si="88"/>
        <v>0</v>
      </c>
      <c r="EH96" s="63">
        <f t="shared" si="88"/>
        <v>0</v>
      </c>
      <c r="EI96" s="63">
        <f t="shared" si="88"/>
        <v>0</v>
      </c>
      <c r="EJ96" s="63">
        <f t="shared" si="88"/>
        <v>0</v>
      </c>
      <c r="EK96" s="63">
        <f t="shared" si="88"/>
        <v>0</v>
      </c>
      <c r="EL96" s="63">
        <f t="shared" si="88"/>
        <v>0</v>
      </c>
      <c r="EM96" s="63">
        <f t="shared" si="88"/>
        <v>0</v>
      </c>
      <c r="EN96" s="63">
        <f t="shared" si="88"/>
        <v>0</v>
      </c>
      <c r="EO96" s="63">
        <f t="shared" si="88"/>
        <v>0</v>
      </c>
      <c r="EP96" s="63">
        <f t="shared" si="88"/>
        <v>0</v>
      </c>
      <c r="EQ96" s="63">
        <f t="shared" si="88"/>
        <v>0</v>
      </c>
      <c r="ER96" s="63">
        <f t="shared" si="88"/>
        <v>0</v>
      </c>
      <c r="ES96" s="63">
        <f t="shared" si="88"/>
        <v>0</v>
      </c>
      <c r="ET96" s="63">
        <f t="shared" si="88"/>
        <v>0</v>
      </c>
      <c r="EU96" s="63">
        <f t="shared" si="88"/>
        <v>0</v>
      </c>
      <c r="EV96" s="63">
        <f t="shared" si="88"/>
        <v>0</v>
      </c>
      <c r="EW96" s="63">
        <f t="shared" si="88"/>
        <v>0</v>
      </c>
      <c r="EX96" s="63">
        <f t="shared" si="88"/>
        <v>0</v>
      </c>
      <c r="EY96" s="63">
        <f t="shared" si="88"/>
        <v>0</v>
      </c>
      <c r="EZ96" s="63">
        <f t="shared" si="88"/>
        <v>0</v>
      </c>
      <c r="FA96" s="63">
        <f t="shared" si="88"/>
        <v>0</v>
      </c>
      <c r="FB96" s="63">
        <f t="shared" si="88"/>
        <v>0</v>
      </c>
      <c r="FC96" s="63">
        <f t="shared" si="88"/>
        <v>0</v>
      </c>
      <c r="FD96" s="63">
        <f t="shared" si="88"/>
        <v>0</v>
      </c>
      <c r="FE96" s="63">
        <f t="shared" si="88"/>
        <v>0</v>
      </c>
      <c r="FF96" s="63">
        <f t="shared" si="88"/>
        <v>0</v>
      </c>
      <c r="FG96" s="63">
        <f t="shared" ref="FG96:GL96" si="89">IF(FG$94&gt;0,(FG$72*FG75+FF88-FG88)/FG$94,0)</f>
        <v>0</v>
      </c>
      <c r="FH96" s="63">
        <f t="shared" si="89"/>
        <v>0</v>
      </c>
      <c r="FI96" s="63">
        <f t="shared" si="89"/>
        <v>0</v>
      </c>
      <c r="FJ96" s="63">
        <f t="shared" si="89"/>
        <v>0</v>
      </c>
      <c r="FK96" s="63">
        <f t="shared" si="89"/>
        <v>0</v>
      </c>
      <c r="FL96" s="63">
        <f t="shared" si="89"/>
        <v>0</v>
      </c>
      <c r="FM96" s="63">
        <f t="shared" si="89"/>
        <v>0</v>
      </c>
      <c r="FN96" s="63">
        <f t="shared" si="89"/>
        <v>0</v>
      </c>
      <c r="FO96" s="63">
        <f t="shared" si="89"/>
        <v>0</v>
      </c>
      <c r="FP96" s="63">
        <f t="shared" si="89"/>
        <v>0</v>
      </c>
      <c r="FQ96" s="63">
        <f t="shared" si="89"/>
        <v>0</v>
      </c>
      <c r="FR96" s="63">
        <f t="shared" si="89"/>
        <v>0</v>
      </c>
      <c r="FS96" s="63">
        <f t="shared" si="89"/>
        <v>0</v>
      </c>
      <c r="FT96" s="63">
        <f t="shared" si="89"/>
        <v>0</v>
      </c>
      <c r="FU96" s="63">
        <f t="shared" si="89"/>
        <v>0</v>
      </c>
      <c r="FV96" s="63">
        <f t="shared" si="89"/>
        <v>0</v>
      </c>
      <c r="FW96" s="63">
        <f t="shared" si="89"/>
        <v>0</v>
      </c>
      <c r="FX96" s="63">
        <f t="shared" si="89"/>
        <v>0</v>
      </c>
      <c r="FY96" s="63">
        <f t="shared" si="89"/>
        <v>0</v>
      </c>
      <c r="FZ96" s="63">
        <f t="shared" si="89"/>
        <v>0</v>
      </c>
      <c r="GA96" s="63">
        <f t="shared" si="89"/>
        <v>0</v>
      </c>
      <c r="GB96" s="63">
        <f t="shared" si="89"/>
        <v>0</v>
      </c>
      <c r="GC96" s="63">
        <f t="shared" si="89"/>
        <v>0</v>
      </c>
      <c r="GD96" s="63">
        <f t="shared" si="89"/>
        <v>0</v>
      </c>
      <c r="GE96" s="63">
        <f t="shared" si="89"/>
        <v>0</v>
      </c>
      <c r="GF96" s="63">
        <f t="shared" si="89"/>
        <v>0</v>
      </c>
      <c r="GG96" s="63">
        <f t="shared" si="89"/>
        <v>0</v>
      </c>
      <c r="GH96" s="63">
        <f t="shared" si="89"/>
        <v>0</v>
      </c>
      <c r="GI96" s="63">
        <f t="shared" si="89"/>
        <v>0</v>
      </c>
      <c r="GJ96" s="63">
        <f t="shared" si="89"/>
        <v>0</v>
      </c>
      <c r="GK96" s="63">
        <f t="shared" si="89"/>
        <v>0</v>
      </c>
      <c r="GL96" s="63">
        <f t="shared" si="89"/>
        <v>0</v>
      </c>
      <c r="GM96" s="63">
        <f t="shared" ref="GM96:GT96" si="90">IF(GM$94&gt;0,(GM$72*GM75+GL88-GM88)/GM$94,0)</f>
        <v>0</v>
      </c>
      <c r="GN96" s="63">
        <f t="shared" si="90"/>
        <v>0</v>
      </c>
      <c r="GO96" s="63">
        <f t="shared" si="90"/>
        <v>0</v>
      </c>
      <c r="GP96" s="63">
        <f t="shared" si="90"/>
        <v>0</v>
      </c>
      <c r="GQ96" s="63">
        <f t="shared" si="90"/>
        <v>0</v>
      </c>
      <c r="GR96" s="63">
        <f t="shared" si="90"/>
        <v>0</v>
      </c>
      <c r="GS96" s="63">
        <f t="shared" si="90"/>
        <v>0</v>
      </c>
      <c r="GT96" s="63">
        <f t="shared" si="90"/>
        <v>0</v>
      </c>
      <c r="GU96" s="63"/>
    </row>
    <row r="97" spans="1:207" s="64" customFormat="1" ht="13.5" customHeight="1" x14ac:dyDescent="0.3">
      <c r="A97" s="61" t="str">
        <f>A76</f>
        <v>GRADE3</v>
      </c>
      <c r="B97" s="63"/>
      <c r="C97" s="63">
        <f t="shared" ref="C97:AH97" si="91">IF(C$94&gt;0,(C$72*C76+B89-C89)/C$94,0)</f>
        <v>2.12434603487814</v>
      </c>
      <c r="D97" s="63">
        <f t="shared" si="91"/>
        <v>2.1169952569604891</v>
      </c>
      <c r="E97" s="63">
        <f t="shared" si="91"/>
        <v>2.2141865484903098</v>
      </c>
      <c r="F97" s="63">
        <f t="shared" si="91"/>
        <v>1.9668922583094848</v>
      </c>
      <c r="G97" s="63">
        <f t="shared" si="91"/>
        <v>2.0504422126124906</v>
      </c>
      <c r="H97" s="63">
        <f t="shared" si="91"/>
        <v>2.0618717961973854</v>
      </c>
      <c r="I97" s="63">
        <f t="shared" si="91"/>
        <v>0</v>
      </c>
      <c r="J97" s="63">
        <f t="shared" si="91"/>
        <v>0</v>
      </c>
      <c r="K97" s="63">
        <f t="shared" si="91"/>
        <v>0</v>
      </c>
      <c r="L97" s="63">
        <f t="shared" si="91"/>
        <v>0</v>
      </c>
      <c r="M97" s="63">
        <f t="shared" si="91"/>
        <v>0</v>
      </c>
      <c r="N97" s="63">
        <f t="shared" si="91"/>
        <v>0</v>
      </c>
      <c r="O97" s="63">
        <f t="shared" si="91"/>
        <v>0</v>
      </c>
      <c r="P97" s="63">
        <f t="shared" si="91"/>
        <v>0</v>
      </c>
      <c r="Q97" s="63">
        <f t="shared" si="91"/>
        <v>0</v>
      </c>
      <c r="R97" s="63">
        <f t="shared" si="91"/>
        <v>0</v>
      </c>
      <c r="S97" s="63">
        <f t="shared" si="91"/>
        <v>0</v>
      </c>
      <c r="T97" s="63">
        <f t="shared" si="91"/>
        <v>0</v>
      </c>
      <c r="U97" s="63">
        <f t="shared" si="91"/>
        <v>0</v>
      </c>
      <c r="V97" s="63">
        <f t="shared" si="91"/>
        <v>0</v>
      </c>
      <c r="W97" s="63">
        <f t="shared" si="91"/>
        <v>0</v>
      </c>
      <c r="X97" s="63">
        <f t="shared" si="91"/>
        <v>0</v>
      </c>
      <c r="Y97" s="63">
        <f t="shared" si="91"/>
        <v>0</v>
      </c>
      <c r="Z97" s="63">
        <f t="shared" si="91"/>
        <v>0</v>
      </c>
      <c r="AA97" s="63">
        <f t="shared" si="91"/>
        <v>0</v>
      </c>
      <c r="AB97" s="63">
        <f t="shared" si="91"/>
        <v>0</v>
      </c>
      <c r="AC97" s="63">
        <f t="shared" si="91"/>
        <v>0</v>
      </c>
      <c r="AD97" s="63">
        <f t="shared" si="91"/>
        <v>0</v>
      </c>
      <c r="AE97" s="63">
        <f t="shared" si="91"/>
        <v>0</v>
      </c>
      <c r="AF97" s="63">
        <f t="shared" si="91"/>
        <v>0</v>
      </c>
      <c r="AG97" s="63">
        <f t="shared" si="91"/>
        <v>0</v>
      </c>
      <c r="AH97" s="63">
        <f t="shared" si="91"/>
        <v>0</v>
      </c>
      <c r="AI97" s="63">
        <f t="shared" ref="AI97:BN97" si="92">IF(AI$94&gt;0,(AI$72*AI76+AH89-AI89)/AI$94,0)</f>
        <v>0</v>
      </c>
      <c r="AJ97" s="63">
        <f t="shared" si="92"/>
        <v>0</v>
      </c>
      <c r="AK97" s="63">
        <f t="shared" si="92"/>
        <v>0</v>
      </c>
      <c r="AL97" s="63">
        <f t="shared" si="92"/>
        <v>0</v>
      </c>
      <c r="AM97" s="63">
        <f t="shared" si="92"/>
        <v>0</v>
      </c>
      <c r="AN97" s="63">
        <f t="shared" si="92"/>
        <v>0</v>
      </c>
      <c r="AO97" s="63">
        <f t="shared" si="92"/>
        <v>0</v>
      </c>
      <c r="AP97" s="63">
        <f t="shared" si="92"/>
        <v>0</v>
      </c>
      <c r="AQ97" s="63">
        <f t="shared" si="92"/>
        <v>0</v>
      </c>
      <c r="AR97" s="63">
        <f t="shared" si="92"/>
        <v>0</v>
      </c>
      <c r="AS97" s="63">
        <f t="shared" si="92"/>
        <v>0</v>
      </c>
      <c r="AT97" s="63">
        <f t="shared" si="92"/>
        <v>0</v>
      </c>
      <c r="AU97" s="63">
        <f t="shared" si="92"/>
        <v>0</v>
      </c>
      <c r="AV97" s="63">
        <f t="shared" si="92"/>
        <v>0</v>
      </c>
      <c r="AW97" s="63">
        <f t="shared" si="92"/>
        <v>0</v>
      </c>
      <c r="AX97" s="63">
        <f t="shared" si="92"/>
        <v>0</v>
      </c>
      <c r="AY97" s="63">
        <f t="shared" si="92"/>
        <v>0</v>
      </c>
      <c r="AZ97" s="63">
        <f t="shared" si="92"/>
        <v>0</v>
      </c>
      <c r="BA97" s="63">
        <f t="shared" si="92"/>
        <v>0</v>
      </c>
      <c r="BB97" s="63">
        <f t="shared" si="92"/>
        <v>0</v>
      </c>
      <c r="BC97" s="63">
        <f t="shared" si="92"/>
        <v>0</v>
      </c>
      <c r="BD97" s="63">
        <f t="shared" si="92"/>
        <v>0</v>
      </c>
      <c r="BE97" s="63">
        <f t="shared" si="92"/>
        <v>0</v>
      </c>
      <c r="BF97" s="63">
        <f t="shared" si="92"/>
        <v>0</v>
      </c>
      <c r="BG97" s="63">
        <f t="shared" si="92"/>
        <v>0</v>
      </c>
      <c r="BH97" s="63">
        <f t="shared" si="92"/>
        <v>0</v>
      </c>
      <c r="BI97" s="63">
        <f t="shared" si="92"/>
        <v>0</v>
      </c>
      <c r="BJ97" s="63">
        <f t="shared" si="92"/>
        <v>0</v>
      </c>
      <c r="BK97" s="63">
        <f t="shared" si="92"/>
        <v>0</v>
      </c>
      <c r="BL97" s="63">
        <f t="shared" si="92"/>
        <v>0</v>
      </c>
      <c r="BM97" s="63">
        <f t="shared" si="92"/>
        <v>0</v>
      </c>
      <c r="BN97" s="63">
        <f t="shared" si="92"/>
        <v>0</v>
      </c>
      <c r="BO97" s="63">
        <f t="shared" ref="BO97:CT97" si="93">IF(BO$94&gt;0,(BO$72*BO76+BN89-BO89)/BO$94,0)</f>
        <v>0</v>
      </c>
      <c r="BP97" s="63">
        <f t="shared" si="93"/>
        <v>0</v>
      </c>
      <c r="BQ97" s="63">
        <f t="shared" si="93"/>
        <v>0</v>
      </c>
      <c r="BR97" s="63">
        <f t="shared" si="93"/>
        <v>0</v>
      </c>
      <c r="BS97" s="63">
        <f t="shared" si="93"/>
        <v>0</v>
      </c>
      <c r="BT97" s="63">
        <f t="shared" si="93"/>
        <v>0</v>
      </c>
      <c r="BU97" s="63">
        <f t="shared" si="93"/>
        <v>0</v>
      </c>
      <c r="BV97" s="63">
        <f t="shared" si="93"/>
        <v>0</v>
      </c>
      <c r="BW97" s="63">
        <f t="shared" si="93"/>
        <v>0</v>
      </c>
      <c r="BX97" s="63">
        <f t="shared" si="93"/>
        <v>0</v>
      </c>
      <c r="BY97" s="63">
        <f t="shared" si="93"/>
        <v>0</v>
      </c>
      <c r="BZ97" s="63">
        <f t="shared" si="93"/>
        <v>0</v>
      </c>
      <c r="CA97" s="63">
        <f t="shared" si="93"/>
        <v>0</v>
      </c>
      <c r="CB97" s="63">
        <f t="shared" si="93"/>
        <v>0</v>
      </c>
      <c r="CC97" s="63">
        <f t="shared" si="93"/>
        <v>0</v>
      </c>
      <c r="CD97" s="63">
        <f t="shared" si="93"/>
        <v>0</v>
      </c>
      <c r="CE97" s="63">
        <f t="shared" si="93"/>
        <v>0</v>
      </c>
      <c r="CF97" s="63">
        <f t="shared" si="93"/>
        <v>0</v>
      </c>
      <c r="CG97" s="63">
        <f t="shared" si="93"/>
        <v>0</v>
      </c>
      <c r="CH97" s="63">
        <f t="shared" si="93"/>
        <v>0</v>
      </c>
      <c r="CI97" s="63">
        <f t="shared" si="93"/>
        <v>0</v>
      </c>
      <c r="CJ97" s="63">
        <f t="shared" si="93"/>
        <v>0</v>
      </c>
      <c r="CK97" s="63">
        <f t="shared" si="93"/>
        <v>0</v>
      </c>
      <c r="CL97" s="63">
        <f t="shared" si="93"/>
        <v>0</v>
      </c>
      <c r="CM97" s="63">
        <f t="shared" si="93"/>
        <v>0</v>
      </c>
      <c r="CN97" s="63">
        <f t="shared" si="93"/>
        <v>0</v>
      </c>
      <c r="CO97" s="63">
        <f t="shared" si="93"/>
        <v>0</v>
      </c>
      <c r="CP97" s="63">
        <f t="shared" si="93"/>
        <v>0</v>
      </c>
      <c r="CQ97" s="63">
        <f t="shared" si="93"/>
        <v>0</v>
      </c>
      <c r="CR97" s="63">
        <f t="shared" si="93"/>
        <v>0</v>
      </c>
      <c r="CS97" s="63">
        <f t="shared" si="93"/>
        <v>0</v>
      </c>
      <c r="CT97" s="63">
        <f t="shared" si="93"/>
        <v>0</v>
      </c>
      <c r="CU97" s="63">
        <f t="shared" ref="CU97:DZ97" si="94">IF(CU$94&gt;0,(CU$72*CU76+CT89-CU89)/CU$94,0)</f>
        <v>0</v>
      </c>
      <c r="CV97" s="63">
        <f t="shared" si="94"/>
        <v>0</v>
      </c>
      <c r="CW97" s="63">
        <f t="shared" si="94"/>
        <v>0</v>
      </c>
      <c r="CX97" s="63">
        <f t="shared" si="94"/>
        <v>0</v>
      </c>
      <c r="CY97" s="63">
        <f t="shared" si="94"/>
        <v>0</v>
      </c>
      <c r="CZ97" s="63">
        <f t="shared" si="94"/>
        <v>0</v>
      </c>
      <c r="DA97" s="63">
        <f t="shared" si="94"/>
        <v>0</v>
      </c>
      <c r="DB97" s="63">
        <f t="shared" si="94"/>
        <v>0</v>
      </c>
      <c r="DC97" s="63">
        <f t="shared" si="94"/>
        <v>0</v>
      </c>
      <c r="DD97" s="63">
        <f t="shared" si="94"/>
        <v>0</v>
      </c>
      <c r="DE97" s="63">
        <f t="shared" si="94"/>
        <v>0</v>
      </c>
      <c r="DF97" s="63">
        <f t="shared" si="94"/>
        <v>0</v>
      </c>
      <c r="DG97" s="63">
        <f t="shared" si="94"/>
        <v>0</v>
      </c>
      <c r="DH97" s="63">
        <f t="shared" si="94"/>
        <v>0</v>
      </c>
      <c r="DI97" s="63">
        <f t="shared" si="94"/>
        <v>0</v>
      </c>
      <c r="DJ97" s="63">
        <f t="shared" si="94"/>
        <v>0</v>
      </c>
      <c r="DK97" s="63">
        <f t="shared" si="94"/>
        <v>0</v>
      </c>
      <c r="DL97" s="63">
        <f t="shared" si="94"/>
        <v>0</v>
      </c>
      <c r="DM97" s="63">
        <f t="shared" si="94"/>
        <v>0</v>
      </c>
      <c r="DN97" s="63">
        <f t="shared" si="94"/>
        <v>0</v>
      </c>
      <c r="DO97" s="63">
        <f t="shared" si="94"/>
        <v>0</v>
      </c>
      <c r="DP97" s="63">
        <f t="shared" si="94"/>
        <v>0</v>
      </c>
      <c r="DQ97" s="63">
        <f t="shared" si="94"/>
        <v>0</v>
      </c>
      <c r="DR97" s="63">
        <f t="shared" si="94"/>
        <v>0</v>
      </c>
      <c r="DS97" s="63">
        <f t="shared" si="94"/>
        <v>0</v>
      </c>
      <c r="DT97" s="63">
        <f t="shared" si="94"/>
        <v>0</v>
      </c>
      <c r="DU97" s="63">
        <f t="shared" si="94"/>
        <v>0</v>
      </c>
      <c r="DV97" s="63">
        <f t="shared" si="94"/>
        <v>0</v>
      </c>
      <c r="DW97" s="63">
        <f t="shared" si="94"/>
        <v>0</v>
      </c>
      <c r="DX97" s="63">
        <f t="shared" si="94"/>
        <v>0</v>
      </c>
      <c r="DY97" s="63">
        <f t="shared" si="94"/>
        <v>0</v>
      </c>
      <c r="DZ97" s="63">
        <f t="shared" si="94"/>
        <v>0</v>
      </c>
      <c r="EA97" s="63">
        <f t="shared" ref="EA97:FF97" si="95">IF(EA$94&gt;0,(EA$72*EA76+DZ89-EA89)/EA$94,0)</f>
        <v>0</v>
      </c>
      <c r="EB97" s="63">
        <f t="shared" si="95"/>
        <v>0</v>
      </c>
      <c r="EC97" s="63">
        <f t="shared" si="95"/>
        <v>0</v>
      </c>
      <c r="ED97" s="63">
        <f t="shared" si="95"/>
        <v>0</v>
      </c>
      <c r="EE97" s="63">
        <f t="shared" si="95"/>
        <v>0</v>
      </c>
      <c r="EF97" s="63">
        <f t="shared" si="95"/>
        <v>0</v>
      </c>
      <c r="EG97" s="63">
        <f t="shared" si="95"/>
        <v>0</v>
      </c>
      <c r="EH97" s="63">
        <f t="shared" si="95"/>
        <v>0</v>
      </c>
      <c r="EI97" s="63">
        <f t="shared" si="95"/>
        <v>0</v>
      </c>
      <c r="EJ97" s="63">
        <f t="shared" si="95"/>
        <v>0</v>
      </c>
      <c r="EK97" s="63">
        <f t="shared" si="95"/>
        <v>0</v>
      </c>
      <c r="EL97" s="63">
        <f t="shared" si="95"/>
        <v>0</v>
      </c>
      <c r="EM97" s="63">
        <f t="shared" si="95"/>
        <v>0</v>
      </c>
      <c r="EN97" s="63">
        <f t="shared" si="95"/>
        <v>0</v>
      </c>
      <c r="EO97" s="63">
        <f t="shared" si="95"/>
        <v>0</v>
      </c>
      <c r="EP97" s="63">
        <f t="shared" si="95"/>
        <v>0</v>
      </c>
      <c r="EQ97" s="63">
        <f t="shared" si="95"/>
        <v>0</v>
      </c>
      <c r="ER97" s="63">
        <f t="shared" si="95"/>
        <v>0</v>
      </c>
      <c r="ES97" s="63">
        <f t="shared" si="95"/>
        <v>0</v>
      </c>
      <c r="ET97" s="63">
        <f t="shared" si="95"/>
        <v>0</v>
      </c>
      <c r="EU97" s="63">
        <f t="shared" si="95"/>
        <v>0</v>
      </c>
      <c r="EV97" s="63">
        <f t="shared" si="95"/>
        <v>0</v>
      </c>
      <c r="EW97" s="63">
        <f t="shared" si="95"/>
        <v>0</v>
      </c>
      <c r="EX97" s="63">
        <f t="shared" si="95"/>
        <v>0</v>
      </c>
      <c r="EY97" s="63">
        <f t="shared" si="95"/>
        <v>0</v>
      </c>
      <c r="EZ97" s="63">
        <f t="shared" si="95"/>
        <v>0</v>
      </c>
      <c r="FA97" s="63">
        <f t="shared" si="95"/>
        <v>0</v>
      </c>
      <c r="FB97" s="63">
        <f t="shared" si="95"/>
        <v>0</v>
      </c>
      <c r="FC97" s="63">
        <f t="shared" si="95"/>
        <v>0</v>
      </c>
      <c r="FD97" s="63">
        <f t="shared" si="95"/>
        <v>0</v>
      </c>
      <c r="FE97" s="63">
        <f t="shared" si="95"/>
        <v>0</v>
      </c>
      <c r="FF97" s="63">
        <f t="shared" si="95"/>
        <v>0</v>
      </c>
      <c r="FG97" s="63">
        <f t="shared" ref="FG97:GL97" si="96">IF(FG$94&gt;0,(FG$72*FG76+FF89-FG89)/FG$94,0)</f>
        <v>0</v>
      </c>
      <c r="FH97" s="63">
        <f t="shared" si="96"/>
        <v>0</v>
      </c>
      <c r="FI97" s="63">
        <f t="shared" si="96"/>
        <v>0</v>
      </c>
      <c r="FJ97" s="63">
        <f t="shared" si="96"/>
        <v>0</v>
      </c>
      <c r="FK97" s="63">
        <f t="shared" si="96"/>
        <v>0</v>
      </c>
      <c r="FL97" s="63">
        <f t="shared" si="96"/>
        <v>0</v>
      </c>
      <c r="FM97" s="63">
        <f t="shared" si="96"/>
        <v>0</v>
      </c>
      <c r="FN97" s="63">
        <f t="shared" si="96"/>
        <v>0</v>
      </c>
      <c r="FO97" s="63">
        <f t="shared" si="96"/>
        <v>0</v>
      </c>
      <c r="FP97" s="63">
        <f t="shared" si="96"/>
        <v>0</v>
      </c>
      <c r="FQ97" s="63">
        <f t="shared" si="96"/>
        <v>0</v>
      </c>
      <c r="FR97" s="63">
        <f t="shared" si="96"/>
        <v>0</v>
      </c>
      <c r="FS97" s="63">
        <f t="shared" si="96"/>
        <v>0</v>
      </c>
      <c r="FT97" s="63">
        <f t="shared" si="96"/>
        <v>0</v>
      </c>
      <c r="FU97" s="63">
        <f t="shared" si="96"/>
        <v>0</v>
      </c>
      <c r="FV97" s="63">
        <f t="shared" si="96"/>
        <v>0</v>
      </c>
      <c r="FW97" s="63">
        <f t="shared" si="96"/>
        <v>0</v>
      </c>
      <c r="FX97" s="63">
        <f t="shared" si="96"/>
        <v>0</v>
      </c>
      <c r="FY97" s="63">
        <f t="shared" si="96"/>
        <v>0</v>
      </c>
      <c r="FZ97" s="63">
        <f t="shared" si="96"/>
        <v>0</v>
      </c>
      <c r="GA97" s="63">
        <f t="shared" si="96"/>
        <v>0</v>
      </c>
      <c r="GB97" s="63">
        <f t="shared" si="96"/>
        <v>0</v>
      </c>
      <c r="GC97" s="63">
        <f t="shared" si="96"/>
        <v>0</v>
      </c>
      <c r="GD97" s="63">
        <f t="shared" si="96"/>
        <v>0</v>
      </c>
      <c r="GE97" s="63">
        <f t="shared" si="96"/>
        <v>0</v>
      </c>
      <c r="GF97" s="63">
        <f t="shared" si="96"/>
        <v>0</v>
      </c>
      <c r="GG97" s="63">
        <f t="shared" si="96"/>
        <v>0</v>
      </c>
      <c r="GH97" s="63">
        <f t="shared" si="96"/>
        <v>0</v>
      </c>
      <c r="GI97" s="63">
        <f t="shared" si="96"/>
        <v>0</v>
      </c>
      <c r="GJ97" s="63">
        <f t="shared" si="96"/>
        <v>0</v>
      </c>
      <c r="GK97" s="63">
        <f t="shared" si="96"/>
        <v>0</v>
      </c>
      <c r="GL97" s="63">
        <f t="shared" si="96"/>
        <v>0</v>
      </c>
      <c r="GM97" s="63">
        <f t="shared" ref="GM97:GT97" si="97">IF(GM$94&gt;0,(GM$72*GM76+GL89-GM89)/GM$94,0)</f>
        <v>0</v>
      </c>
      <c r="GN97" s="63">
        <f t="shared" si="97"/>
        <v>0</v>
      </c>
      <c r="GO97" s="63">
        <f t="shared" si="97"/>
        <v>0</v>
      </c>
      <c r="GP97" s="63">
        <f t="shared" si="97"/>
        <v>0</v>
      </c>
      <c r="GQ97" s="63">
        <f t="shared" si="97"/>
        <v>0</v>
      </c>
      <c r="GR97" s="63">
        <f t="shared" si="97"/>
        <v>0</v>
      </c>
      <c r="GS97" s="63">
        <f t="shared" si="97"/>
        <v>0</v>
      </c>
      <c r="GT97" s="63">
        <f t="shared" si="97"/>
        <v>0</v>
      </c>
      <c r="GU97" s="63"/>
    </row>
    <row r="98" spans="1:207" s="64" customFormat="1" ht="13.5" customHeight="1" x14ac:dyDescent="0.3">
      <c r="A98" s="61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  <c r="DY98" s="63"/>
      <c r="DZ98" s="63"/>
      <c r="EA98" s="63"/>
      <c r="EB98" s="63"/>
      <c r="EC98" s="63"/>
      <c r="ED98" s="63"/>
      <c r="EE98" s="63"/>
      <c r="EF98" s="63"/>
      <c r="EG98" s="63"/>
      <c r="EH98" s="63"/>
      <c r="EI98" s="63"/>
      <c r="EJ98" s="63"/>
      <c r="EK98" s="63"/>
      <c r="EL98" s="63"/>
      <c r="EM98" s="63"/>
      <c r="EN98" s="63"/>
      <c r="EO98" s="63"/>
      <c r="EP98" s="63"/>
      <c r="EQ98" s="63"/>
      <c r="ER98" s="63"/>
      <c r="ES98" s="63"/>
      <c r="ET98" s="63"/>
      <c r="EU98" s="63"/>
      <c r="EV98" s="63"/>
      <c r="EW98" s="63"/>
      <c r="EX98" s="63"/>
      <c r="EY98" s="63"/>
      <c r="EZ98" s="63"/>
      <c r="FA98" s="63"/>
      <c r="FB98" s="63"/>
      <c r="FC98" s="63"/>
      <c r="FD98" s="63"/>
      <c r="FE98" s="63"/>
      <c r="FF98" s="63"/>
      <c r="FG98" s="63"/>
      <c r="FH98" s="63"/>
      <c r="FI98" s="63"/>
      <c r="FJ98" s="63"/>
      <c r="FK98" s="63"/>
      <c r="FL98" s="63"/>
      <c r="FM98" s="63"/>
      <c r="FN98" s="63"/>
      <c r="FO98" s="63"/>
      <c r="FP98" s="63"/>
      <c r="FQ98" s="63"/>
      <c r="FR98" s="63"/>
      <c r="FS98" s="63"/>
      <c r="FT98" s="63"/>
      <c r="FU98" s="63"/>
      <c r="FV98" s="63"/>
      <c r="FW98" s="63"/>
      <c r="FX98" s="63"/>
      <c r="FY98" s="63"/>
      <c r="FZ98" s="63"/>
      <c r="GA98" s="63"/>
      <c r="GB98" s="63"/>
      <c r="GC98" s="63"/>
      <c r="GD98" s="63"/>
      <c r="GE98" s="63"/>
      <c r="GF98" s="63"/>
      <c r="GG98" s="63"/>
      <c r="GH98" s="63"/>
      <c r="GI98" s="63"/>
      <c r="GJ98" s="63"/>
      <c r="GK98" s="63"/>
      <c r="GL98" s="63"/>
      <c r="GM98" s="63"/>
      <c r="GN98" s="63"/>
      <c r="GO98" s="63"/>
      <c r="GP98" s="63"/>
      <c r="GQ98" s="63"/>
      <c r="GR98" s="63"/>
      <c r="GS98" s="63"/>
      <c r="GT98" s="63"/>
      <c r="GU98" s="63"/>
    </row>
    <row r="99" spans="1:207" s="60" customFormat="1" ht="13.5" customHeight="1" x14ac:dyDescent="0.3">
      <c r="A99" s="61"/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  <c r="AW99" s="65"/>
      <c r="AX99" s="65"/>
      <c r="AY99" s="65"/>
      <c r="AZ99" s="65"/>
      <c r="BA99" s="65"/>
      <c r="BB99" s="65"/>
      <c r="BC99" s="65"/>
      <c r="BD99" s="65"/>
      <c r="BE99" s="65"/>
      <c r="BF99" s="65"/>
      <c r="BG99" s="65"/>
      <c r="BH99" s="65"/>
      <c r="BI99" s="65"/>
      <c r="BJ99" s="65"/>
      <c r="BK99" s="65"/>
      <c r="BL99" s="65"/>
      <c r="BM99" s="65"/>
      <c r="BN99" s="65"/>
      <c r="BO99" s="65"/>
      <c r="BP99" s="65"/>
      <c r="BQ99" s="65"/>
      <c r="BR99" s="65"/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  <c r="CG99" s="65"/>
      <c r="CH99" s="65"/>
      <c r="CI99" s="65"/>
      <c r="CJ99" s="65"/>
      <c r="CK99" s="65"/>
      <c r="CL99" s="65"/>
      <c r="CM99" s="65"/>
      <c r="CN99" s="65"/>
      <c r="CO99" s="65"/>
      <c r="CP99" s="65"/>
      <c r="CQ99" s="65"/>
      <c r="CR99" s="65"/>
      <c r="CS99" s="65"/>
      <c r="CT99" s="65"/>
      <c r="CU99" s="65"/>
      <c r="CV99" s="65"/>
      <c r="CW99" s="65"/>
      <c r="CX99" s="65"/>
      <c r="CY99" s="65"/>
      <c r="CZ99" s="65"/>
      <c r="DA99" s="65"/>
      <c r="DB99" s="65"/>
      <c r="DC99" s="65"/>
      <c r="DD99" s="65"/>
      <c r="DE99" s="65"/>
      <c r="DF99" s="65"/>
      <c r="DG99" s="65"/>
      <c r="DH99" s="65"/>
      <c r="DI99" s="65"/>
      <c r="DJ99" s="65"/>
      <c r="DK99" s="65"/>
      <c r="DL99" s="65"/>
      <c r="DM99" s="65"/>
      <c r="DN99" s="65"/>
      <c r="DO99" s="65"/>
      <c r="DP99" s="65"/>
      <c r="DQ99" s="65"/>
      <c r="DR99" s="65"/>
      <c r="DS99" s="65"/>
      <c r="DT99" s="65"/>
      <c r="DU99" s="65"/>
      <c r="DV99" s="65"/>
      <c r="DW99" s="65"/>
      <c r="DX99" s="65"/>
      <c r="DY99" s="65"/>
      <c r="DZ99" s="65"/>
      <c r="EA99" s="65"/>
      <c r="EB99" s="65"/>
      <c r="EC99" s="65"/>
      <c r="ED99" s="65"/>
      <c r="EE99" s="65"/>
      <c r="EF99" s="65"/>
      <c r="EG99" s="65"/>
      <c r="EH99" s="65"/>
      <c r="EI99" s="65"/>
      <c r="EJ99" s="65"/>
      <c r="EK99" s="65"/>
      <c r="EL99" s="65"/>
      <c r="EM99" s="65"/>
      <c r="EN99" s="65"/>
      <c r="EO99" s="65"/>
      <c r="EP99" s="65"/>
      <c r="EQ99" s="65"/>
      <c r="ER99" s="65"/>
      <c r="ES99" s="65"/>
      <c r="ET99" s="65"/>
      <c r="EU99" s="65"/>
      <c r="EV99" s="65"/>
      <c r="EW99" s="65"/>
      <c r="EX99" s="65"/>
      <c r="EY99" s="65"/>
      <c r="EZ99" s="65"/>
      <c r="FA99" s="65"/>
      <c r="FB99" s="65"/>
      <c r="FC99" s="65"/>
      <c r="FD99" s="65"/>
      <c r="FE99" s="65"/>
      <c r="FF99" s="65"/>
      <c r="FG99" s="65"/>
      <c r="FH99" s="65"/>
      <c r="FI99" s="65"/>
      <c r="FJ99" s="65"/>
      <c r="FK99" s="65"/>
      <c r="FL99" s="65"/>
      <c r="FM99" s="65"/>
      <c r="FN99" s="65"/>
      <c r="FO99" s="65"/>
      <c r="FP99" s="65"/>
      <c r="FQ99" s="65"/>
      <c r="FR99" s="65"/>
      <c r="FS99" s="65"/>
      <c r="FT99" s="65"/>
      <c r="FU99" s="65"/>
      <c r="FV99" s="65"/>
      <c r="FW99" s="65"/>
      <c r="FX99" s="65"/>
      <c r="FY99" s="65"/>
      <c r="FZ99" s="65"/>
      <c r="GA99" s="65"/>
      <c r="GB99" s="65"/>
      <c r="GC99" s="65"/>
      <c r="GD99" s="65"/>
      <c r="GE99" s="65"/>
      <c r="GF99" s="65"/>
      <c r="GG99" s="65"/>
      <c r="GH99" s="65"/>
      <c r="GI99" s="65"/>
      <c r="GJ99" s="65"/>
      <c r="GK99" s="65"/>
      <c r="GL99" s="65"/>
      <c r="GM99" s="65"/>
      <c r="GN99" s="65"/>
      <c r="GO99" s="65"/>
      <c r="GP99" s="65"/>
      <c r="GQ99" s="65"/>
      <c r="GR99" s="65"/>
      <c r="GS99" s="65"/>
      <c r="GT99" s="65"/>
      <c r="GU99" s="65"/>
      <c r="GV99" s="66"/>
      <c r="GX99" s="37"/>
      <c r="GY99" s="37"/>
    </row>
    <row r="100" spans="1:207" s="60" customFormat="1" ht="13.5" customHeight="1" x14ac:dyDescent="0.3"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/>
      <c r="BY100" s="66"/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6"/>
      <c r="CV100" s="66"/>
      <c r="CW100" s="66"/>
      <c r="CX100" s="66"/>
      <c r="CY100" s="66"/>
      <c r="CZ100" s="66"/>
      <c r="DA100" s="66"/>
      <c r="DB100" s="66"/>
      <c r="DC100" s="66"/>
      <c r="DD100" s="66"/>
      <c r="DE100" s="66"/>
      <c r="DF100" s="66"/>
      <c r="DG100" s="66"/>
      <c r="DH100" s="66"/>
      <c r="DI100" s="66"/>
      <c r="DJ100" s="66"/>
      <c r="DK100" s="66"/>
      <c r="DL100" s="66"/>
      <c r="DM100" s="66"/>
      <c r="DN100" s="66"/>
      <c r="DO100" s="66"/>
      <c r="DP100" s="66"/>
      <c r="DQ100" s="66"/>
      <c r="DR100" s="66"/>
      <c r="DS100" s="66"/>
      <c r="DT100" s="66"/>
      <c r="DU100" s="66"/>
      <c r="DV100" s="66"/>
      <c r="DW100" s="66"/>
      <c r="DX100" s="66"/>
      <c r="DY100" s="66"/>
      <c r="DZ100" s="66"/>
      <c r="EA100" s="66"/>
      <c r="EB100" s="66"/>
      <c r="EC100" s="66"/>
      <c r="ED100" s="66"/>
      <c r="EE100" s="66"/>
      <c r="EF100" s="66"/>
      <c r="EG100" s="66"/>
      <c r="EH100" s="66"/>
      <c r="EI100" s="66"/>
      <c r="EJ100" s="66"/>
      <c r="EK100" s="66"/>
      <c r="EL100" s="66"/>
      <c r="EM100" s="66"/>
      <c r="EN100" s="66"/>
      <c r="EO100" s="66"/>
      <c r="EP100" s="66"/>
      <c r="EQ100" s="66"/>
      <c r="ER100" s="66"/>
      <c r="ES100" s="66"/>
      <c r="ET100" s="66"/>
      <c r="EU100" s="66"/>
      <c r="EV100" s="66"/>
      <c r="EW100" s="66"/>
      <c r="EX100" s="66"/>
      <c r="EY100" s="66"/>
      <c r="EZ100" s="66"/>
      <c r="FA100" s="66"/>
      <c r="FB100" s="66"/>
      <c r="FC100" s="66"/>
      <c r="FD100" s="66"/>
      <c r="FE100" s="66"/>
      <c r="FF100" s="66"/>
      <c r="FG100" s="66"/>
      <c r="FH100" s="66"/>
      <c r="FI100" s="66"/>
      <c r="FJ100" s="66"/>
      <c r="FK100" s="66"/>
      <c r="FL100" s="66"/>
      <c r="FM100" s="66"/>
      <c r="FN100" s="66"/>
      <c r="FO100" s="66"/>
      <c r="FP100" s="66"/>
      <c r="FQ100" s="66"/>
      <c r="FR100" s="66"/>
      <c r="FS100" s="66"/>
      <c r="FT100" s="66"/>
      <c r="FU100" s="66"/>
      <c r="FV100" s="66"/>
      <c r="FW100" s="66"/>
      <c r="FX100" s="66"/>
      <c r="FY100" s="66"/>
      <c r="FZ100" s="66"/>
      <c r="GA100" s="66"/>
      <c r="GB100" s="66"/>
      <c r="GC100" s="66"/>
      <c r="GD100" s="66"/>
      <c r="GE100" s="66"/>
      <c r="GF100" s="66"/>
      <c r="GG100" s="66"/>
      <c r="GH100" s="66"/>
      <c r="GI100" s="66"/>
      <c r="GJ100" s="66"/>
      <c r="GK100" s="66"/>
      <c r="GL100" s="66"/>
      <c r="GM100" s="66"/>
      <c r="GN100" s="66"/>
      <c r="GO100" s="66"/>
      <c r="GP100" s="66"/>
      <c r="GQ100" s="66"/>
      <c r="GR100" s="66"/>
      <c r="GS100" s="66"/>
      <c r="GT100" s="66"/>
      <c r="GU100" s="66"/>
      <c r="GV100" s="66"/>
      <c r="GX100" s="37"/>
      <c r="GY100" s="37"/>
    </row>
    <row r="101" spans="1:207" s="60" customFormat="1" ht="13.5" customHeight="1" x14ac:dyDescent="0.3">
      <c r="A101" s="57" t="s">
        <v>30</v>
      </c>
      <c r="B101" s="63"/>
      <c r="C101" s="59">
        <f>C$25</f>
        <v>1</v>
      </c>
      <c r="D101" s="59">
        <f t="shared" ref="D101:GT101" si="98">D$25</f>
        <v>2</v>
      </c>
      <c r="E101" s="59">
        <f t="shared" si="98"/>
        <v>3</v>
      </c>
      <c r="F101" s="59">
        <f t="shared" si="98"/>
        <v>4</v>
      </c>
      <c r="G101" s="59">
        <f t="shared" si="98"/>
        <v>5</v>
      </c>
      <c r="H101" s="59">
        <f t="shared" si="98"/>
        <v>6</v>
      </c>
      <c r="I101" s="59">
        <f t="shared" si="98"/>
        <v>7</v>
      </c>
      <c r="J101" s="59">
        <f t="shared" si="98"/>
        <v>8</v>
      </c>
      <c r="K101" s="59">
        <f t="shared" si="98"/>
        <v>9</v>
      </c>
      <c r="L101" s="59">
        <f t="shared" si="98"/>
        <v>10</v>
      </c>
      <c r="M101" s="59">
        <f t="shared" si="98"/>
        <v>11</v>
      </c>
      <c r="N101" s="59">
        <f t="shared" si="98"/>
        <v>12</v>
      </c>
      <c r="O101" s="59">
        <f t="shared" si="98"/>
        <v>13</v>
      </c>
      <c r="P101" s="59">
        <f t="shared" si="98"/>
        <v>14</v>
      </c>
      <c r="Q101" s="59">
        <f t="shared" si="98"/>
        <v>15</v>
      </c>
      <c r="R101" s="59">
        <f t="shared" si="98"/>
        <v>16</v>
      </c>
      <c r="S101" s="59">
        <f t="shared" si="98"/>
        <v>17</v>
      </c>
      <c r="T101" s="59">
        <f t="shared" si="98"/>
        <v>18</v>
      </c>
      <c r="U101" s="59">
        <f t="shared" si="98"/>
        <v>19</v>
      </c>
      <c r="V101" s="59">
        <f t="shared" si="98"/>
        <v>20</v>
      </c>
      <c r="W101" s="59">
        <f t="shared" si="98"/>
        <v>21</v>
      </c>
      <c r="X101" s="59">
        <f t="shared" si="98"/>
        <v>22</v>
      </c>
      <c r="Y101" s="59">
        <f t="shared" si="98"/>
        <v>23</v>
      </c>
      <c r="Z101" s="59">
        <f t="shared" si="98"/>
        <v>24</v>
      </c>
      <c r="AA101" s="59">
        <f t="shared" si="98"/>
        <v>25</v>
      </c>
      <c r="AB101" s="59">
        <f t="shared" si="98"/>
        <v>26</v>
      </c>
      <c r="AC101" s="59">
        <f t="shared" si="98"/>
        <v>27</v>
      </c>
      <c r="AD101" s="59">
        <f t="shared" si="98"/>
        <v>28</v>
      </c>
      <c r="AE101" s="59">
        <f t="shared" si="98"/>
        <v>29</v>
      </c>
      <c r="AF101" s="59">
        <f t="shared" si="98"/>
        <v>30</v>
      </c>
      <c r="AG101" s="59">
        <f t="shared" si="98"/>
        <v>31</v>
      </c>
      <c r="AH101" s="59">
        <f t="shared" si="98"/>
        <v>32</v>
      </c>
      <c r="AI101" s="59">
        <f t="shared" si="98"/>
        <v>33</v>
      </c>
      <c r="AJ101" s="59">
        <f t="shared" si="98"/>
        <v>34</v>
      </c>
      <c r="AK101" s="59">
        <f t="shared" si="98"/>
        <v>35</v>
      </c>
      <c r="AL101" s="59">
        <f t="shared" si="98"/>
        <v>36</v>
      </c>
      <c r="AM101" s="59">
        <f t="shared" si="98"/>
        <v>37</v>
      </c>
      <c r="AN101" s="59">
        <f t="shared" si="98"/>
        <v>38</v>
      </c>
      <c r="AO101" s="59">
        <f t="shared" si="98"/>
        <v>39</v>
      </c>
      <c r="AP101" s="59">
        <f t="shared" si="98"/>
        <v>40</v>
      </c>
      <c r="AQ101" s="59">
        <f t="shared" si="98"/>
        <v>41</v>
      </c>
      <c r="AR101" s="59">
        <f t="shared" si="98"/>
        <v>42</v>
      </c>
      <c r="AS101" s="59">
        <f t="shared" si="98"/>
        <v>43</v>
      </c>
      <c r="AT101" s="59">
        <f t="shared" si="98"/>
        <v>44</v>
      </c>
      <c r="AU101" s="59">
        <f t="shared" si="98"/>
        <v>45</v>
      </c>
      <c r="AV101" s="59">
        <f t="shared" si="98"/>
        <v>46</v>
      </c>
      <c r="AW101" s="59">
        <f t="shared" si="98"/>
        <v>47</v>
      </c>
      <c r="AX101" s="59">
        <f t="shared" si="98"/>
        <v>48</v>
      </c>
      <c r="AY101" s="59">
        <f t="shared" si="98"/>
        <v>49</v>
      </c>
      <c r="AZ101" s="59">
        <f t="shared" si="98"/>
        <v>50</v>
      </c>
      <c r="BA101" s="59">
        <f t="shared" si="98"/>
        <v>51</v>
      </c>
      <c r="BB101" s="59">
        <f t="shared" si="98"/>
        <v>52</v>
      </c>
      <c r="BC101" s="59">
        <f t="shared" si="98"/>
        <v>53</v>
      </c>
      <c r="BD101" s="59">
        <f t="shared" si="98"/>
        <v>54</v>
      </c>
      <c r="BE101" s="59">
        <f t="shared" si="98"/>
        <v>55</v>
      </c>
      <c r="BF101" s="59">
        <f t="shared" si="98"/>
        <v>56</v>
      </c>
      <c r="BG101" s="59">
        <f t="shared" si="98"/>
        <v>57</v>
      </c>
      <c r="BH101" s="59">
        <f t="shared" si="98"/>
        <v>58</v>
      </c>
      <c r="BI101" s="59">
        <f t="shared" si="98"/>
        <v>59</v>
      </c>
      <c r="BJ101" s="59">
        <f t="shared" si="98"/>
        <v>60</v>
      </c>
      <c r="BK101" s="59">
        <f t="shared" si="98"/>
        <v>61</v>
      </c>
      <c r="BL101" s="59">
        <f t="shared" si="98"/>
        <v>62</v>
      </c>
      <c r="BM101" s="59">
        <f t="shared" si="98"/>
        <v>63</v>
      </c>
      <c r="BN101" s="59">
        <f t="shared" si="98"/>
        <v>64</v>
      </c>
      <c r="BO101" s="59">
        <f t="shared" si="98"/>
        <v>65</v>
      </c>
      <c r="BP101" s="59">
        <f t="shared" si="98"/>
        <v>66</v>
      </c>
      <c r="BQ101" s="59">
        <f t="shared" si="98"/>
        <v>67</v>
      </c>
      <c r="BR101" s="59">
        <f t="shared" si="98"/>
        <v>68</v>
      </c>
      <c r="BS101" s="59">
        <f t="shared" si="98"/>
        <v>69</v>
      </c>
      <c r="BT101" s="59">
        <f t="shared" si="98"/>
        <v>70</v>
      </c>
      <c r="BU101" s="59">
        <f t="shared" si="98"/>
        <v>71</v>
      </c>
      <c r="BV101" s="59">
        <f t="shared" si="98"/>
        <v>72</v>
      </c>
      <c r="BW101" s="59">
        <f t="shared" si="98"/>
        <v>73</v>
      </c>
      <c r="BX101" s="59">
        <f t="shared" si="98"/>
        <v>74</v>
      </c>
      <c r="BY101" s="59">
        <f t="shared" si="98"/>
        <v>75</v>
      </c>
      <c r="BZ101" s="59">
        <f t="shared" si="98"/>
        <v>76</v>
      </c>
      <c r="CA101" s="59">
        <f t="shared" si="98"/>
        <v>77</v>
      </c>
      <c r="CB101" s="59">
        <f t="shared" si="98"/>
        <v>78</v>
      </c>
      <c r="CC101" s="59">
        <f t="shared" si="98"/>
        <v>79</v>
      </c>
      <c r="CD101" s="59">
        <f t="shared" si="98"/>
        <v>80</v>
      </c>
      <c r="CE101" s="59">
        <f t="shared" si="98"/>
        <v>81</v>
      </c>
      <c r="CF101" s="59">
        <f t="shared" si="98"/>
        <v>82</v>
      </c>
      <c r="CG101" s="59">
        <f t="shared" si="98"/>
        <v>83</v>
      </c>
      <c r="CH101" s="59">
        <f t="shared" si="98"/>
        <v>84</v>
      </c>
      <c r="CI101" s="59">
        <f t="shared" si="98"/>
        <v>85</v>
      </c>
      <c r="CJ101" s="59">
        <f t="shared" si="98"/>
        <v>86</v>
      </c>
      <c r="CK101" s="59">
        <f t="shared" si="98"/>
        <v>87</v>
      </c>
      <c r="CL101" s="59">
        <f t="shared" si="98"/>
        <v>88</v>
      </c>
      <c r="CM101" s="59">
        <f t="shared" si="98"/>
        <v>89</v>
      </c>
      <c r="CN101" s="59">
        <f t="shared" si="98"/>
        <v>90</v>
      </c>
      <c r="CO101" s="59">
        <f t="shared" si="98"/>
        <v>91</v>
      </c>
      <c r="CP101" s="59">
        <f t="shared" si="98"/>
        <v>92</v>
      </c>
      <c r="CQ101" s="59">
        <f t="shared" si="98"/>
        <v>93</v>
      </c>
      <c r="CR101" s="59">
        <f t="shared" si="98"/>
        <v>94</v>
      </c>
      <c r="CS101" s="59">
        <f t="shared" si="98"/>
        <v>95</v>
      </c>
      <c r="CT101" s="59">
        <f t="shared" si="98"/>
        <v>96</v>
      </c>
      <c r="CU101" s="59">
        <f t="shared" si="98"/>
        <v>97</v>
      </c>
      <c r="CV101" s="59">
        <f t="shared" si="98"/>
        <v>98</v>
      </c>
      <c r="CW101" s="59">
        <f t="shared" si="98"/>
        <v>99</v>
      </c>
      <c r="CX101" s="59">
        <f t="shared" si="98"/>
        <v>100</v>
      </c>
      <c r="CY101" s="59">
        <f t="shared" si="98"/>
        <v>101</v>
      </c>
      <c r="CZ101" s="59">
        <f t="shared" si="98"/>
        <v>102</v>
      </c>
      <c r="DA101" s="59">
        <f t="shared" si="98"/>
        <v>103</v>
      </c>
      <c r="DB101" s="59">
        <f t="shared" si="98"/>
        <v>104</v>
      </c>
      <c r="DC101" s="59">
        <f t="shared" si="98"/>
        <v>105</v>
      </c>
      <c r="DD101" s="59">
        <f t="shared" si="98"/>
        <v>106</v>
      </c>
      <c r="DE101" s="59">
        <f t="shared" si="98"/>
        <v>107</v>
      </c>
      <c r="DF101" s="59">
        <f t="shared" si="98"/>
        <v>108</v>
      </c>
      <c r="DG101" s="59">
        <f t="shared" si="98"/>
        <v>109</v>
      </c>
      <c r="DH101" s="59">
        <f t="shared" si="98"/>
        <v>110</v>
      </c>
      <c r="DI101" s="59">
        <f t="shared" si="98"/>
        <v>111</v>
      </c>
      <c r="DJ101" s="59">
        <f t="shared" si="98"/>
        <v>112</v>
      </c>
      <c r="DK101" s="59">
        <f t="shared" si="98"/>
        <v>113</v>
      </c>
      <c r="DL101" s="59">
        <f t="shared" si="98"/>
        <v>114</v>
      </c>
      <c r="DM101" s="59">
        <f t="shared" si="98"/>
        <v>115</v>
      </c>
      <c r="DN101" s="59">
        <f t="shared" si="98"/>
        <v>116</v>
      </c>
      <c r="DO101" s="59">
        <f t="shared" si="98"/>
        <v>117</v>
      </c>
      <c r="DP101" s="59">
        <f t="shared" si="98"/>
        <v>118</v>
      </c>
      <c r="DQ101" s="59">
        <f t="shared" si="98"/>
        <v>119</v>
      </c>
      <c r="DR101" s="59">
        <f t="shared" si="98"/>
        <v>120</v>
      </c>
      <c r="DS101" s="59">
        <f t="shared" si="98"/>
        <v>121</v>
      </c>
      <c r="DT101" s="59">
        <f t="shared" si="98"/>
        <v>122</v>
      </c>
      <c r="DU101" s="59">
        <f t="shared" si="98"/>
        <v>123</v>
      </c>
      <c r="DV101" s="59">
        <f t="shared" si="98"/>
        <v>124</v>
      </c>
      <c r="DW101" s="59">
        <f t="shared" si="98"/>
        <v>125</v>
      </c>
      <c r="DX101" s="59">
        <f t="shared" si="98"/>
        <v>126</v>
      </c>
      <c r="DY101" s="59">
        <f t="shared" si="98"/>
        <v>127</v>
      </c>
      <c r="DZ101" s="59">
        <f t="shared" si="98"/>
        <v>128</v>
      </c>
      <c r="EA101" s="59">
        <f t="shared" si="98"/>
        <v>129</v>
      </c>
      <c r="EB101" s="59">
        <f t="shared" si="98"/>
        <v>130</v>
      </c>
      <c r="EC101" s="59">
        <f t="shared" si="98"/>
        <v>131</v>
      </c>
      <c r="ED101" s="59">
        <f t="shared" si="98"/>
        <v>132</v>
      </c>
      <c r="EE101" s="59">
        <f t="shared" si="98"/>
        <v>133</v>
      </c>
      <c r="EF101" s="59">
        <f t="shared" si="98"/>
        <v>134</v>
      </c>
      <c r="EG101" s="59">
        <f t="shared" si="98"/>
        <v>135</v>
      </c>
      <c r="EH101" s="59">
        <f t="shared" si="98"/>
        <v>136</v>
      </c>
      <c r="EI101" s="59">
        <f t="shared" si="98"/>
        <v>137</v>
      </c>
      <c r="EJ101" s="59">
        <f t="shared" si="98"/>
        <v>138</v>
      </c>
      <c r="EK101" s="59">
        <f t="shared" si="98"/>
        <v>139</v>
      </c>
      <c r="EL101" s="59">
        <f t="shared" si="98"/>
        <v>140</v>
      </c>
      <c r="EM101" s="59">
        <f t="shared" si="98"/>
        <v>141</v>
      </c>
      <c r="EN101" s="59">
        <f t="shared" si="98"/>
        <v>142</v>
      </c>
      <c r="EO101" s="59">
        <f t="shared" si="98"/>
        <v>143</v>
      </c>
      <c r="EP101" s="59">
        <f t="shared" si="98"/>
        <v>144</v>
      </c>
      <c r="EQ101" s="59">
        <f t="shared" si="98"/>
        <v>145</v>
      </c>
      <c r="ER101" s="59">
        <f t="shared" si="98"/>
        <v>146</v>
      </c>
      <c r="ES101" s="59">
        <f t="shared" si="98"/>
        <v>147</v>
      </c>
      <c r="ET101" s="59">
        <f t="shared" si="98"/>
        <v>148</v>
      </c>
      <c r="EU101" s="59">
        <f t="shared" si="98"/>
        <v>149</v>
      </c>
      <c r="EV101" s="59">
        <f t="shared" si="98"/>
        <v>150</v>
      </c>
      <c r="EW101" s="59">
        <f t="shared" si="98"/>
        <v>151</v>
      </c>
      <c r="EX101" s="59">
        <f t="shared" si="98"/>
        <v>152</v>
      </c>
      <c r="EY101" s="59">
        <f t="shared" si="98"/>
        <v>153</v>
      </c>
      <c r="EZ101" s="59">
        <f t="shared" si="98"/>
        <v>154</v>
      </c>
      <c r="FA101" s="59">
        <f t="shared" si="98"/>
        <v>155</v>
      </c>
      <c r="FB101" s="59">
        <f t="shared" si="98"/>
        <v>156</v>
      </c>
      <c r="FC101" s="59">
        <f t="shared" si="98"/>
        <v>157</v>
      </c>
      <c r="FD101" s="59">
        <f t="shared" si="98"/>
        <v>158</v>
      </c>
      <c r="FE101" s="59">
        <f t="shared" si="98"/>
        <v>159</v>
      </c>
      <c r="FF101" s="59">
        <f t="shared" si="98"/>
        <v>160</v>
      </c>
      <c r="FG101" s="59">
        <f t="shared" si="98"/>
        <v>161</v>
      </c>
      <c r="FH101" s="59">
        <f t="shared" si="98"/>
        <v>162</v>
      </c>
      <c r="FI101" s="59">
        <f t="shared" si="98"/>
        <v>163</v>
      </c>
      <c r="FJ101" s="59">
        <f t="shared" si="98"/>
        <v>164</v>
      </c>
      <c r="FK101" s="59">
        <f t="shared" si="98"/>
        <v>165</v>
      </c>
      <c r="FL101" s="59">
        <f t="shared" si="98"/>
        <v>166</v>
      </c>
      <c r="FM101" s="59">
        <f t="shared" si="98"/>
        <v>167</v>
      </c>
      <c r="FN101" s="59">
        <f t="shared" si="98"/>
        <v>168</v>
      </c>
      <c r="FO101" s="59">
        <f t="shared" si="98"/>
        <v>169</v>
      </c>
      <c r="FP101" s="59">
        <f t="shared" si="98"/>
        <v>170</v>
      </c>
      <c r="FQ101" s="59">
        <f t="shared" si="98"/>
        <v>171</v>
      </c>
      <c r="FR101" s="59">
        <f t="shared" si="98"/>
        <v>172</v>
      </c>
      <c r="FS101" s="59">
        <f t="shared" si="98"/>
        <v>173</v>
      </c>
      <c r="FT101" s="59">
        <f t="shared" si="98"/>
        <v>174</v>
      </c>
      <c r="FU101" s="59">
        <f t="shared" si="98"/>
        <v>175</v>
      </c>
      <c r="FV101" s="59">
        <f t="shared" si="98"/>
        <v>176</v>
      </c>
      <c r="FW101" s="59">
        <f t="shared" si="98"/>
        <v>177</v>
      </c>
      <c r="FX101" s="59">
        <f t="shared" si="98"/>
        <v>178</v>
      </c>
      <c r="FY101" s="59">
        <f t="shared" si="98"/>
        <v>179</v>
      </c>
      <c r="FZ101" s="59">
        <f t="shared" si="98"/>
        <v>180</v>
      </c>
      <c r="GA101" s="59">
        <f t="shared" si="98"/>
        <v>181</v>
      </c>
      <c r="GB101" s="59">
        <f t="shared" si="98"/>
        <v>182</v>
      </c>
      <c r="GC101" s="59">
        <f t="shared" si="98"/>
        <v>183</v>
      </c>
      <c r="GD101" s="59">
        <f t="shared" si="98"/>
        <v>184</v>
      </c>
      <c r="GE101" s="59">
        <f t="shared" si="98"/>
        <v>185</v>
      </c>
      <c r="GF101" s="59">
        <f t="shared" si="98"/>
        <v>186</v>
      </c>
      <c r="GG101" s="59">
        <f t="shared" si="98"/>
        <v>187</v>
      </c>
      <c r="GH101" s="59">
        <f t="shared" si="98"/>
        <v>188</v>
      </c>
      <c r="GI101" s="59">
        <f t="shared" si="98"/>
        <v>189</v>
      </c>
      <c r="GJ101" s="59">
        <f t="shared" si="98"/>
        <v>190</v>
      </c>
      <c r="GK101" s="59">
        <f t="shared" si="98"/>
        <v>191</v>
      </c>
      <c r="GL101" s="59">
        <f t="shared" si="98"/>
        <v>192</v>
      </c>
      <c r="GM101" s="59">
        <f t="shared" si="98"/>
        <v>193</v>
      </c>
      <c r="GN101" s="59">
        <f t="shared" si="98"/>
        <v>194</v>
      </c>
      <c r="GO101" s="59">
        <f t="shared" si="98"/>
        <v>195</v>
      </c>
      <c r="GP101" s="59">
        <f t="shared" si="98"/>
        <v>196</v>
      </c>
      <c r="GQ101" s="59">
        <f t="shared" si="98"/>
        <v>197</v>
      </c>
      <c r="GR101" s="59">
        <f t="shared" si="98"/>
        <v>198</v>
      </c>
      <c r="GS101" s="59">
        <f t="shared" si="98"/>
        <v>199</v>
      </c>
      <c r="GT101" s="59">
        <f t="shared" si="98"/>
        <v>200</v>
      </c>
      <c r="GU101" s="24"/>
      <c r="GX101" s="37"/>
      <c r="GY101" s="37"/>
    </row>
    <row r="102" spans="1:207" s="60" customFormat="1" ht="13.5" customHeight="1" x14ac:dyDescent="0.3">
      <c r="A102" s="61" t="s">
        <v>31</v>
      </c>
      <c r="B102" s="63"/>
      <c r="C102" s="63">
        <f t="shared" ref="C102:AH102" si="99">MAX(C86-B86,0)</f>
        <v>3.5004</v>
      </c>
      <c r="D102" s="63">
        <f t="shared" si="99"/>
        <v>0</v>
      </c>
      <c r="E102" s="63">
        <f t="shared" si="99"/>
        <v>1.9599999999996953E-2</v>
      </c>
      <c r="F102" s="63">
        <f t="shared" si="99"/>
        <v>2.899999999996794E-3</v>
      </c>
      <c r="G102" s="63">
        <f t="shared" si="99"/>
        <v>0</v>
      </c>
      <c r="H102" s="63">
        <f t="shared" si="99"/>
        <v>0</v>
      </c>
      <c r="I102" s="63">
        <f t="shared" si="99"/>
        <v>0</v>
      </c>
      <c r="J102" s="63">
        <f t="shared" si="99"/>
        <v>0</v>
      </c>
      <c r="K102" s="63">
        <f t="shared" si="99"/>
        <v>0</v>
      </c>
      <c r="L102" s="63">
        <f t="shared" si="99"/>
        <v>0</v>
      </c>
      <c r="M102" s="63">
        <f t="shared" si="99"/>
        <v>0</v>
      </c>
      <c r="N102" s="63">
        <f t="shared" si="99"/>
        <v>0</v>
      </c>
      <c r="O102" s="63">
        <f t="shared" si="99"/>
        <v>0</v>
      </c>
      <c r="P102" s="63">
        <f t="shared" si="99"/>
        <v>0</v>
      </c>
      <c r="Q102" s="63">
        <f t="shared" si="99"/>
        <v>0</v>
      </c>
      <c r="R102" s="63">
        <f t="shared" si="99"/>
        <v>0</v>
      </c>
      <c r="S102" s="63">
        <f t="shared" si="99"/>
        <v>0</v>
      </c>
      <c r="T102" s="63">
        <f t="shared" si="99"/>
        <v>0</v>
      </c>
      <c r="U102" s="63">
        <f t="shared" si="99"/>
        <v>0</v>
      </c>
      <c r="V102" s="63">
        <f t="shared" si="99"/>
        <v>0</v>
      </c>
      <c r="W102" s="63">
        <f t="shared" si="99"/>
        <v>0</v>
      </c>
      <c r="X102" s="63">
        <f t="shared" si="99"/>
        <v>0</v>
      </c>
      <c r="Y102" s="63">
        <f t="shared" si="99"/>
        <v>0</v>
      </c>
      <c r="Z102" s="63">
        <f t="shared" si="99"/>
        <v>0</v>
      </c>
      <c r="AA102" s="63">
        <f t="shared" si="99"/>
        <v>0</v>
      </c>
      <c r="AB102" s="63">
        <f t="shared" si="99"/>
        <v>0</v>
      </c>
      <c r="AC102" s="63">
        <f t="shared" si="99"/>
        <v>0</v>
      </c>
      <c r="AD102" s="63">
        <f t="shared" si="99"/>
        <v>0</v>
      </c>
      <c r="AE102" s="63">
        <f t="shared" si="99"/>
        <v>0</v>
      </c>
      <c r="AF102" s="63">
        <f t="shared" si="99"/>
        <v>0</v>
      </c>
      <c r="AG102" s="63">
        <f t="shared" si="99"/>
        <v>0</v>
      </c>
      <c r="AH102" s="63">
        <f t="shared" si="99"/>
        <v>0</v>
      </c>
      <c r="AI102" s="63">
        <f t="shared" ref="AI102:AZ102" si="100">MAX(AI86-AH86,0)</f>
        <v>0</v>
      </c>
      <c r="AJ102" s="63">
        <f t="shared" si="100"/>
        <v>0</v>
      </c>
      <c r="AK102" s="63">
        <f t="shared" si="100"/>
        <v>0</v>
      </c>
      <c r="AL102" s="63">
        <f t="shared" si="100"/>
        <v>0</v>
      </c>
      <c r="AM102" s="63">
        <f t="shared" si="100"/>
        <v>0</v>
      </c>
      <c r="AN102" s="63">
        <f t="shared" si="100"/>
        <v>0</v>
      </c>
      <c r="AO102" s="63">
        <f t="shared" si="100"/>
        <v>0</v>
      </c>
      <c r="AP102" s="63">
        <f t="shared" si="100"/>
        <v>0</v>
      </c>
      <c r="AQ102" s="63">
        <f>MAX(AQ86-AP86,0)</f>
        <v>0</v>
      </c>
      <c r="AR102" s="63">
        <f t="shared" si="100"/>
        <v>0</v>
      </c>
      <c r="AS102" s="63">
        <f t="shared" si="100"/>
        <v>0</v>
      </c>
      <c r="AT102" s="63">
        <f t="shared" si="100"/>
        <v>0</v>
      </c>
      <c r="AU102" s="63">
        <f t="shared" si="100"/>
        <v>0</v>
      </c>
      <c r="AV102" s="63">
        <f t="shared" si="100"/>
        <v>0</v>
      </c>
      <c r="AW102" s="63">
        <f t="shared" si="100"/>
        <v>0</v>
      </c>
      <c r="AX102" s="63">
        <f t="shared" si="100"/>
        <v>0</v>
      </c>
      <c r="AY102" s="63">
        <f t="shared" si="100"/>
        <v>0</v>
      </c>
      <c r="AZ102" s="63">
        <f t="shared" si="100"/>
        <v>0</v>
      </c>
      <c r="BA102" s="63">
        <f t="shared" ref="BA102:BB102" si="101">MAX(BA86-AZ86,0)</f>
        <v>0</v>
      </c>
      <c r="BB102" s="63">
        <f t="shared" si="101"/>
        <v>0</v>
      </c>
      <c r="BC102" s="63">
        <f t="shared" ref="BC102:BF102" si="102">MAX(BC86-BB86,0)</f>
        <v>0</v>
      </c>
      <c r="BD102" s="63">
        <f t="shared" si="102"/>
        <v>0</v>
      </c>
      <c r="BE102" s="63">
        <f t="shared" si="102"/>
        <v>0</v>
      </c>
      <c r="BF102" s="63">
        <f t="shared" si="102"/>
        <v>0</v>
      </c>
      <c r="BG102" s="63">
        <f t="shared" ref="BG102:DR102" si="103">MAX(BG86-BF86,0)</f>
        <v>0</v>
      </c>
      <c r="BH102" s="63">
        <f t="shared" si="103"/>
        <v>0</v>
      </c>
      <c r="BI102" s="63">
        <f t="shared" si="103"/>
        <v>0</v>
      </c>
      <c r="BJ102" s="63">
        <f t="shared" si="103"/>
        <v>0</v>
      </c>
      <c r="BK102" s="63">
        <f t="shared" si="103"/>
        <v>0</v>
      </c>
      <c r="BL102" s="63">
        <f t="shared" si="103"/>
        <v>0</v>
      </c>
      <c r="BM102" s="63">
        <f t="shared" si="103"/>
        <v>0</v>
      </c>
      <c r="BN102" s="63">
        <f t="shared" si="103"/>
        <v>0</v>
      </c>
      <c r="BO102" s="63">
        <f t="shared" si="103"/>
        <v>0</v>
      </c>
      <c r="BP102" s="63">
        <f t="shared" si="103"/>
        <v>0</v>
      </c>
      <c r="BQ102" s="63">
        <f t="shared" si="103"/>
        <v>0</v>
      </c>
      <c r="BR102" s="63">
        <f t="shared" si="103"/>
        <v>0</v>
      </c>
      <c r="BS102" s="63">
        <f t="shared" si="103"/>
        <v>0</v>
      </c>
      <c r="BT102" s="63">
        <f t="shared" si="103"/>
        <v>0</v>
      </c>
      <c r="BU102" s="63">
        <f t="shared" si="103"/>
        <v>0</v>
      </c>
      <c r="BV102" s="63">
        <f t="shared" si="103"/>
        <v>0</v>
      </c>
      <c r="BW102" s="63">
        <f t="shared" si="103"/>
        <v>0</v>
      </c>
      <c r="BX102" s="63">
        <f t="shared" si="103"/>
        <v>0</v>
      </c>
      <c r="BY102" s="63">
        <f t="shared" si="103"/>
        <v>0</v>
      </c>
      <c r="BZ102" s="63">
        <f t="shared" si="103"/>
        <v>0</v>
      </c>
      <c r="CA102" s="63">
        <f t="shared" si="103"/>
        <v>0</v>
      </c>
      <c r="CB102" s="63">
        <f t="shared" si="103"/>
        <v>0</v>
      </c>
      <c r="CC102" s="63">
        <f t="shared" si="103"/>
        <v>0</v>
      </c>
      <c r="CD102" s="63">
        <f t="shared" si="103"/>
        <v>0</v>
      </c>
      <c r="CE102" s="63">
        <f t="shared" si="103"/>
        <v>0</v>
      </c>
      <c r="CF102" s="63">
        <f t="shared" si="103"/>
        <v>0</v>
      </c>
      <c r="CG102" s="63">
        <f t="shared" si="103"/>
        <v>0</v>
      </c>
      <c r="CH102" s="63">
        <f t="shared" si="103"/>
        <v>0</v>
      </c>
      <c r="CI102" s="63">
        <f t="shared" si="103"/>
        <v>0</v>
      </c>
      <c r="CJ102" s="63">
        <f t="shared" si="103"/>
        <v>0</v>
      </c>
      <c r="CK102" s="63">
        <f t="shared" si="103"/>
        <v>0</v>
      </c>
      <c r="CL102" s="63">
        <f t="shared" si="103"/>
        <v>0</v>
      </c>
      <c r="CM102" s="63">
        <f t="shared" si="103"/>
        <v>0</v>
      </c>
      <c r="CN102" s="63">
        <f t="shared" si="103"/>
        <v>0</v>
      </c>
      <c r="CO102" s="63">
        <f t="shared" si="103"/>
        <v>0</v>
      </c>
      <c r="CP102" s="63">
        <f t="shared" si="103"/>
        <v>0</v>
      </c>
      <c r="CQ102" s="63">
        <f t="shared" si="103"/>
        <v>0</v>
      </c>
      <c r="CR102" s="63">
        <f t="shared" si="103"/>
        <v>0</v>
      </c>
      <c r="CS102" s="63">
        <f t="shared" si="103"/>
        <v>0</v>
      </c>
      <c r="CT102" s="63">
        <f t="shared" si="103"/>
        <v>0</v>
      </c>
      <c r="CU102" s="63">
        <f t="shared" si="103"/>
        <v>0</v>
      </c>
      <c r="CV102" s="63">
        <f t="shared" si="103"/>
        <v>0</v>
      </c>
      <c r="CW102" s="63">
        <f t="shared" si="103"/>
        <v>0</v>
      </c>
      <c r="CX102" s="63">
        <f t="shared" si="103"/>
        <v>0</v>
      </c>
      <c r="CY102" s="63">
        <f t="shared" si="103"/>
        <v>0</v>
      </c>
      <c r="CZ102" s="63">
        <f t="shared" si="103"/>
        <v>0</v>
      </c>
      <c r="DA102" s="63">
        <f t="shared" si="103"/>
        <v>0</v>
      </c>
      <c r="DB102" s="63">
        <f t="shared" si="103"/>
        <v>0</v>
      </c>
      <c r="DC102" s="63">
        <f t="shared" si="103"/>
        <v>0</v>
      </c>
      <c r="DD102" s="63">
        <f t="shared" si="103"/>
        <v>0</v>
      </c>
      <c r="DE102" s="63">
        <f t="shared" si="103"/>
        <v>0</v>
      </c>
      <c r="DF102" s="63">
        <f t="shared" si="103"/>
        <v>0</v>
      </c>
      <c r="DG102" s="63">
        <f t="shared" si="103"/>
        <v>0</v>
      </c>
      <c r="DH102" s="63">
        <f t="shared" si="103"/>
        <v>0</v>
      </c>
      <c r="DI102" s="63">
        <f t="shared" si="103"/>
        <v>0</v>
      </c>
      <c r="DJ102" s="63">
        <f t="shared" si="103"/>
        <v>0</v>
      </c>
      <c r="DK102" s="63">
        <f t="shared" si="103"/>
        <v>0</v>
      </c>
      <c r="DL102" s="63">
        <f t="shared" si="103"/>
        <v>0</v>
      </c>
      <c r="DM102" s="63">
        <f t="shared" si="103"/>
        <v>0</v>
      </c>
      <c r="DN102" s="63">
        <f t="shared" si="103"/>
        <v>0</v>
      </c>
      <c r="DO102" s="63">
        <f t="shared" si="103"/>
        <v>0</v>
      </c>
      <c r="DP102" s="63">
        <f t="shared" si="103"/>
        <v>0</v>
      </c>
      <c r="DQ102" s="63">
        <f t="shared" si="103"/>
        <v>0</v>
      </c>
      <c r="DR102" s="63">
        <f t="shared" si="103"/>
        <v>0</v>
      </c>
      <c r="DS102" s="63">
        <f t="shared" ref="DS102:GD102" si="104">MAX(DS86-DR86,0)</f>
        <v>0</v>
      </c>
      <c r="DT102" s="63">
        <f t="shared" si="104"/>
        <v>0</v>
      </c>
      <c r="DU102" s="63">
        <f t="shared" si="104"/>
        <v>0</v>
      </c>
      <c r="DV102" s="63">
        <f t="shared" si="104"/>
        <v>0</v>
      </c>
      <c r="DW102" s="63">
        <f t="shared" si="104"/>
        <v>0</v>
      </c>
      <c r="DX102" s="63">
        <f t="shared" si="104"/>
        <v>0</v>
      </c>
      <c r="DY102" s="63">
        <f t="shared" si="104"/>
        <v>0</v>
      </c>
      <c r="DZ102" s="63">
        <f t="shared" si="104"/>
        <v>0</v>
      </c>
      <c r="EA102" s="63">
        <f t="shared" si="104"/>
        <v>0</v>
      </c>
      <c r="EB102" s="63">
        <f t="shared" si="104"/>
        <v>0</v>
      </c>
      <c r="EC102" s="63">
        <f t="shared" si="104"/>
        <v>0</v>
      </c>
      <c r="ED102" s="63">
        <f t="shared" si="104"/>
        <v>0</v>
      </c>
      <c r="EE102" s="63">
        <f t="shared" si="104"/>
        <v>0</v>
      </c>
      <c r="EF102" s="63">
        <f t="shared" si="104"/>
        <v>0</v>
      </c>
      <c r="EG102" s="63">
        <f t="shared" si="104"/>
        <v>0</v>
      </c>
      <c r="EH102" s="63">
        <f t="shared" si="104"/>
        <v>0</v>
      </c>
      <c r="EI102" s="63">
        <f t="shared" si="104"/>
        <v>0</v>
      </c>
      <c r="EJ102" s="63">
        <f t="shared" si="104"/>
        <v>0</v>
      </c>
      <c r="EK102" s="63">
        <f t="shared" si="104"/>
        <v>0</v>
      </c>
      <c r="EL102" s="63">
        <f t="shared" si="104"/>
        <v>0</v>
      </c>
      <c r="EM102" s="63">
        <f t="shared" si="104"/>
        <v>0</v>
      </c>
      <c r="EN102" s="63">
        <f t="shared" si="104"/>
        <v>0</v>
      </c>
      <c r="EO102" s="63">
        <f t="shared" si="104"/>
        <v>0</v>
      </c>
      <c r="EP102" s="63">
        <f t="shared" si="104"/>
        <v>0</v>
      </c>
      <c r="EQ102" s="63">
        <f t="shared" si="104"/>
        <v>0</v>
      </c>
      <c r="ER102" s="63">
        <f t="shared" si="104"/>
        <v>0</v>
      </c>
      <c r="ES102" s="63">
        <f t="shared" si="104"/>
        <v>0</v>
      </c>
      <c r="ET102" s="63">
        <f t="shared" si="104"/>
        <v>0</v>
      </c>
      <c r="EU102" s="63">
        <f t="shared" si="104"/>
        <v>0</v>
      </c>
      <c r="EV102" s="63">
        <f t="shared" si="104"/>
        <v>0</v>
      </c>
      <c r="EW102" s="63">
        <f t="shared" si="104"/>
        <v>0</v>
      </c>
      <c r="EX102" s="63">
        <f t="shared" si="104"/>
        <v>0</v>
      </c>
      <c r="EY102" s="63">
        <f t="shared" si="104"/>
        <v>0</v>
      </c>
      <c r="EZ102" s="63">
        <f t="shared" si="104"/>
        <v>0</v>
      </c>
      <c r="FA102" s="63">
        <f t="shared" si="104"/>
        <v>0</v>
      </c>
      <c r="FB102" s="63">
        <f t="shared" si="104"/>
        <v>0</v>
      </c>
      <c r="FC102" s="63">
        <f t="shared" si="104"/>
        <v>0</v>
      </c>
      <c r="FD102" s="63">
        <f t="shared" si="104"/>
        <v>0</v>
      </c>
      <c r="FE102" s="63">
        <f t="shared" si="104"/>
        <v>0</v>
      </c>
      <c r="FF102" s="63">
        <f t="shared" si="104"/>
        <v>0</v>
      </c>
      <c r="FG102" s="63">
        <f t="shared" si="104"/>
        <v>0</v>
      </c>
      <c r="FH102" s="63">
        <f t="shared" si="104"/>
        <v>0</v>
      </c>
      <c r="FI102" s="63">
        <f t="shared" si="104"/>
        <v>0</v>
      </c>
      <c r="FJ102" s="63">
        <f t="shared" si="104"/>
        <v>0</v>
      </c>
      <c r="FK102" s="63">
        <f t="shared" si="104"/>
        <v>0</v>
      </c>
      <c r="FL102" s="63">
        <f t="shared" si="104"/>
        <v>0</v>
      </c>
      <c r="FM102" s="63">
        <f t="shared" si="104"/>
        <v>0</v>
      </c>
      <c r="FN102" s="63">
        <f t="shared" si="104"/>
        <v>0</v>
      </c>
      <c r="FO102" s="63">
        <f t="shared" si="104"/>
        <v>0</v>
      </c>
      <c r="FP102" s="63">
        <f t="shared" si="104"/>
        <v>0</v>
      </c>
      <c r="FQ102" s="63">
        <f t="shared" si="104"/>
        <v>0</v>
      </c>
      <c r="FR102" s="63">
        <f t="shared" si="104"/>
        <v>0</v>
      </c>
      <c r="FS102" s="63">
        <f t="shared" si="104"/>
        <v>0</v>
      </c>
      <c r="FT102" s="63">
        <f t="shared" si="104"/>
        <v>0</v>
      </c>
      <c r="FU102" s="63">
        <f t="shared" si="104"/>
        <v>0</v>
      </c>
      <c r="FV102" s="63">
        <f t="shared" si="104"/>
        <v>0</v>
      </c>
      <c r="FW102" s="63">
        <f t="shared" si="104"/>
        <v>0</v>
      </c>
      <c r="FX102" s="63">
        <f t="shared" si="104"/>
        <v>0</v>
      </c>
      <c r="FY102" s="63">
        <f t="shared" si="104"/>
        <v>0</v>
      </c>
      <c r="FZ102" s="63">
        <f t="shared" si="104"/>
        <v>0</v>
      </c>
      <c r="GA102" s="63">
        <f t="shared" si="104"/>
        <v>0</v>
      </c>
      <c r="GB102" s="63">
        <f t="shared" si="104"/>
        <v>0</v>
      </c>
      <c r="GC102" s="63">
        <f t="shared" si="104"/>
        <v>0</v>
      </c>
      <c r="GD102" s="63">
        <f t="shared" si="104"/>
        <v>0</v>
      </c>
      <c r="GE102" s="63">
        <f t="shared" ref="GE102:GT102" si="105">MAX(GE86-GD86,0)</f>
        <v>0</v>
      </c>
      <c r="GF102" s="63">
        <f t="shared" si="105"/>
        <v>0</v>
      </c>
      <c r="GG102" s="63">
        <f t="shared" si="105"/>
        <v>0</v>
      </c>
      <c r="GH102" s="63">
        <f t="shared" si="105"/>
        <v>0</v>
      </c>
      <c r="GI102" s="63">
        <f t="shared" si="105"/>
        <v>0</v>
      </c>
      <c r="GJ102" s="63">
        <f t="shared" si="105"/>
        <v>0</v>
      </c>
      <c r="GK102" s="63">
        <f t="shared" si="105"/>
        <v>0</v>
      </c>
      <c r="GL102" s="63">
        <f t="shared" si="105"/>
        <v>0</v>
      </c>
      <c r="GM102" s="63">
        <f t="shared" si="105"/>
        <v>0</v>
      </c>
      <c r="GN102" s="63">
        <f t="shared" si="105"/>
        <v>0</v>
      </c>
      <c r="GO102" s="63">
        <f t="shared" si="105"/>
        <v>0</v>
      </c>
      <c r="GP102" s="63">
        <f t="shared" si="105"/>
        <v>0</v>
      </c>
      <c r="GQ102" s="63">
        <f t="shared" si="105"/>
        <v>0</v>
      </c>
      <c r="GR102" s="63">
        <f t="shared" si="105"/>
        <v>0</v>
      </c>
      <c r="GS102" s="63">
        <f t="shared" si="105"/>
        <v>0</v>
      </c>
      <c r="GT102" s="63">
        <f t="shared" si="105"/>
        <v>0</v>
      </c>
      <c r="GU102" s="63"/>
      <c r="GX102" s="37"/>
      <c r="GY102" s="37"/>
    </row>
    <row r="103" spans="1:207" s="60" customFormat="1" ht="13.5" customHeight="1" x14ac:dyDescent="0.3">
      <c r="A103" s="61" t="s">
        <v>32</v>
      </c>
      <c r="B103" s="63"/>
      <c r="C103" s="63">
        <f t="shared" ref="C103:AH103" si="106">MAX(B86-C86,0)</f>
        <v>0</v>
      </c>
      <c r="D103" s="63">
        <f t="shared" si="106"/>
        <v>2.2900000000000809E-2</v>
      </c>
      <c r="E103" s="63">
        <f t="shared" si="106"/>
        <v>0</v>
      </c>
      <c r="F103" s="63">
        <f t="shared" si="106"/>
        <v>0</v>
      </c>
      <c r="G103" s="63">
        <f t="shared" si="106"/>
        <v>3.2925999999999984</v>
      </c>
      <c r="H103" s="63">
        <f t="shared" si="106"/>
        <v>0.20739999999999448</v>
      </c>
      <c r="I103" s="63">
        <f t="shared" si="106"/>
        <v>0</v>
      </c>
      <c r="J103" s="63">
        <f t="shared" si="106"/>
        <v>0</v>
      </c>
      <c r="K103" s="63">
        <f t="shared" si="106"/>
        <v>0</v>
      </c>
      <c r="L103" s="63">
        <f t="shared" si="106"/>
        <v>0</v>
      </c>
      <c r="M103" s="63">
        <f t="shared" si="106"/>
        <v>0</v>
      </c>
      <c r="N103" s="63">
        <f t="shared" si="106"/>
        <v>0</v>
      </c>
      <c r="O103" s="63">
        <f t="shared" si="106"/>
        <v>0</v>
      </c>
      <c r="P103" s="63">
        <f t="shared" si="106"/>
        <v>0</v>
      </c>
      <c r="Q103" s="63">
        <f t="shared" si="106"/>
        <v>0</v>
      </c>
      <c r="R103" s="63">
        <f t="shared" si="106"/>
        <v>0</v>
      </c>
      <c r="S103" s="63">
        <f t="shared" si="106"/>
        <v>0</v>
      </c>
      <c r="T103" s="63">
        <f t="shared" si="106"/>
        <v>0</v>
      </c>
      <c r="U103" s="63">
        <f t="shared" si="106"/>
        <v>0</v>
      </c>
      <c r="V103" s="63">
        <f t="shared" si="106"/>
        <v>0</v>
      </c>
      <c r="W103" s="63">
        <f t="shared" si="106"/>
        <v>0</v>
      </c>
      <c r="X103" s="63">
        <f t="shared" si="106"/>
        <v>0</v>
      </c>
      <c r="Y103" s="63">
        <f t="shared" si="106"/>
        <v>0</v>
      </c>
      <c r="Z103" s="63">
        <f t="shared" si="106"/>
        <v>0</v>
      </c>
      <c r="AA103" s="63">
        <f t="shared" si="106"/>
        <v>0</v>
      </c>
      <c r="AB103" s="63">
        <f t="shared" si="106"/>
        <v>0</v>
      </c>
      <c r="AC103" s="63">
        <f t="shared" si="106"/>
        <v>0</v>
      </c>
      <c r="AD103" s="63">
        <f t="shared" si="106"/>
        <v>0</v>
      </c>
      <c r="AE103" s="63">
        <f t="shared" si="106"/>
        <v>0</v>
      </c>
      <c r="AF103" s="63">
        <f t="shared" si="106"/>
        <v>0</v>
      </c>
      <c r="AG103" s="63">
        <f t="shared" si="106"/>
        <v>0</v>
      </c>
      <c r="AH103" s="63">
        <f t="shared" si="106"/>
        <v>0</v>
      </c>
      <c r="AI103" s="63">
        <f t="shared" ref="AI103:BF103" si="107">MAX(AH86-AI86,0)</f>
        <v>0</v>
      </c>
      <c r="AJ103" s="63">
        <f t="shared" si="107"/>
        <v>0</v>
      </c>
      <c r="AK103" s="63">
        <f t="shared" si="107"/>
        <v>0</v>
      </c>
      <c r="AL103" s="63">
        <f t="shared" si="107"/>
        <v>0</v>
      </c>
      <c r="AM103" s="63">
        <f t="shared" si="107"/>
        <v>0</v>
      </c>
      <c r="AN103" s="63">
        <f t="shared" si="107"/>
        <v>0</v>
      </c>
      <c r="AO103" s="63">
        <f t="shared" si="107"/>
        <v>0</v>
      </c>
      <c r="AP103" s="63">
        <f t="shared" si="107"/>
        <v>0</v>
      </c>
      <c r="AQ103" s="63">
        <f>MAX(AP86-AQ86,0)</f>
        <v>0</v>
      </c>
      <c r="AR103" s="63">
        <f t="shared" si="107"/>
        <v>0</v>
      </c>
      <c r="AS103" s="63">
        <f t="shared" si="107"/>
        <v>0</v>
      </c>
      <c r="AT103" s="63">
        <f t="shared" si="107"/>
        <v>0</v>
      </c>
      <c r="AU103" s="63">
        <f t="shared" si="107"/>
        <v>0</v>
      </c>
      <c r="AV103" s="63">
        <f t="shared" si="107"/>
        <v>0</v>
      </c>
      <c r="AW103" s="63">
        <f t="shared" si="107"/>
        <v>0</v>
      </c>
      <c r="AX103" s="63">
        <f t="shared" si="107"/>
        <v>0</v>
      </c>
      <c r="AY103" s="63">
        <f t="shared" si="107"/>
        <v>0</v>
      </c>
      <c r="AZ103" s="63">
        <f t="shared" si="107"/>
        <v>0</v>
      </c>
      <c r="BA103" s="63">
        <f t="shared" si="107"/>
        <v>0</v>
      </c>
      <c r="BB103" s="63">
        <f t="shared" si="107"/>
        <v>0</v>
      </c>
      <c r="BC103" s="63">
        <f t="shared" si="107"/>
        <v>0</v>
      </c>
      <c r="BD103" s="63">
        <f t="shared" si="107"/>
        <v>0</v>
      </c>
      <c r="BE103" s="63">
        <f t="shared" si="107"/>
        <v>0</v>
      </c>
      <c r="BF103" s="63">
        <f t="shared" si="107"/>
        <v>0</v>
      </c>
      <c r="BG103" s="63">
        <f t="shared" ref="BG103:DR103" si="108">MAX(BF86-BG86,0)</f>
        <v>0</v>
      </c>
      <c r="BH103" s="63">
        <f t="shared" si="108"/>
        <v>0</v>
      </c>
      <c r="BI103" s="63">
        <f t="shared" si="108"/>
        <v>0</v>
      </c>
      <c r="BJ103" s="63">
        <f t="shared" si="108"/>
        <v>0</v>
      </c>
      <c r="BK103" s="63">
        <f t="shared" si="108"/>
        <v>0</v>
      </c>
      <c r="BL103" s="63">
        <f t="shared" si="108"/>
        <v>0</v>
      </c>
      <c r="BM103" s="63">
        <f t="shared" si="108"/>
        <v>0</v>
      </c>
      <c r="BN103" s="63">
        <f t="shared" si="108"/>
        <v>0</v>
      </c>
      <c r="BO103" s="63">
        <f t="shared" si="108"/>
        <v>0</v>
      </c>
      <c r="BP103" s="63">
        <f t="shared" si="108"/>
        <v>0</v>
      </c>
      <c r="BQ103" s="63">
        <f t="shared" si="108"/>
        <v>0</v>
      </c>
      <c r="BR103" s="63">
        <f t="shared" si="108"/>
        <v>0</v>
      </c>
      <c r="BS103" s="63">
        <f t="shared" si="108"/>
        <v>0</v>
      </c>
      <c r="BT103" s="63">
        <f t="shared" si="108"/>
        <v>0</v>
      </c>
      <c r="BU103" s="63">
        <f t="shared" si="108"/>
        <v>0</v>
      </c>
      <c r="BV103" s="63">
        <f t="shared" si="108"/>
        <v>0</v>
      </c>
      <c r="BW103" s="63">
        <f t="shared" si="108"/>
        <v>0</v>
      </c>
      <c r="BX103" s="63">
        <f t="shared" si="108"/>
        <v>0</v>
      </c>
      <c r="BY103" s="63">
        <f t="shared" si="108"/>
        <v>0</v>
      </c>
      <c r="BZ103" s="63">
        <f t="shared" si="108"/>
        <v>0</v>
      </c>
      <c r="CA103" s="63">
        <f t="shared" si="108"/>
        <v>0</v>
      </c>
      <c r="CB103" s="63">
        <f t="shared" si="108"/>
        <v>0</v>
      </c>
      <c r="CC103" s="63">
        <f t="shared" si="108"/>
        <v>0</v>
      </c>
      <c r="CD103" s="63">
        <f t="shared" si="108"/>
        <v>0</v>
      </c>
      <c r="CE103" s="63">
        <f t="shared" si="108"/>
        <v>0</v>
      </c>
      <c r="CF103" s="63">
        <f t="shared" si="108"/>
        <v>0</v>
      </c>
      <c r="CG103" s="63">
        <f t="shared" si="108"/>
        <v>0</v>
      </c>
      <c r="CH103" s="63">
        <f t="shared" si="108"/>
        <v>0</v>
      </c>
      <c r="CI103" s="63">
        <f t="shared" si="108"/>
        <v>0</v>
      </c>
      <c r="CJ103" s="63">
        <f t="shared" si="108"/>
        <v>0</v>
      </c>
      <c r="CK103" s="63">
        <f t="shared" si="108"/>
        <v>0</v>
      </c>
      <c r="CL103" s="63">
        <f t="shared" si="108"/>
        <v>0</v>
      </c>
      <c r="CM103" s="63">
        <f t="shared" si="108"/>
        <v>0</v>
      </c>
      <c r="CN103" s="63">
        <f t="shared" si="108"/>
        <v>0</v>
      </c>
      <c r="CO103" s="63">
        <f t="shared" si="108"/>
        <v>0</v>
      </c>
      <c r="CP103" s="63">
        <f t="shared" si="108"/>
        <v>0</v>
      </c>
      <c r="CQ103" s="63">
        <f t="shared" si="108"/>
        <v>0</v>
      </c>
      <c r="CR103" s="63">
        <f t="shared" si="108"/>
        <v>0</v>
      </c>
      <c r="CS103" s="63">
        <f t="shared" si="108"/>
        <v>0</v>
      </c>
      <c r="CT103" s="63">
        <f t="shared" si="108"/>
        <v>0</v>
      </c>
      <c r="CU103" s="63">
        <f t="shared" si="108"/>
        <v>0</v>
      </c>
      <c r="CV103" s="63">
        <f t="shared" si="108"/>
        <v>0</v>
      </c>
      <c r="CW103" s="63">
        <f t="shared" si="108"/>
        <v>0</v>
      </c>
      <c r="CX103" s="63">
        <f t="shared" si="108"/>
        <v>0</v>
      </c>
      <c r="CY103" s="63">
        <f t="shared" si="108"/>
        <v>0</v>
      </c>
      <c r="CZ103" s="63">
        <f t="shared" si="108"/>
        <v>0</v>
      </c>
      <c r="DA103" s="63">
        <f t="shared" si="108"/>
        <v>0</v>
      </c>
      <c r="DB103" s="63">
        <f t="shared" si="108"/>
        <v>0</v>
      </c>
      <c r="DC103" s="63">
        <f t="shared" si="108"/>
        <v>0</v>
      </c>
      <c r="DD103" s="63">
        <f t="shared" si="108"/>
        <v>0</v>
      </c>
      <c r="DE103" s="63">
        <f t="shared" si="108"/>
        <v>0</v>
      </c>
      <c r="DF103" s="63">
        <f t="shared" si="108"/>
        <v>0</v>
      </c>
      <c r="DG103" s="63">
        <f t="shared" si="108"/>
        <v>0</v>
      </c>
      <c r="DH103" s="63">
        <f t="shared" si="108"/>
        <v>0</v>
      </c>
      <c r="DI103" s="63">
        <f t="shared" si="108"/>
        <v>0</v>
      </c>
      <c r="DJ103" s="63">
        <f t="shared" si="108"/>
        <v>0</v>
      </c>
      <c r="DK103" s="63">
        <f t="shared" si="108"/>
        <v>0</v>
      </c>
      <c r="DL103" s="63">
        <f t="shared" si="108"/>
        <v>0</v>
      </c>
      <c r="DM103" s="63">
        <f t="shared" si="108"/>
        <v>0</v>
      </c>
      <c r="DN103" s="63">
        <f t="shared" si="108"/>
        <v>0</v>
      </c>
      <c r="DO103" s="63">
        <f t="shared" si="108"/>
        <v>0</v>
      </c>
      <c r="DP103" s="63">
        <f t="shared" si="108"/>
        <v>0</v>
      </c>
      <c r="DQ103" s="63">
        <f t="shared" si="108"/>
        <v>0</v>
      </c>
      <c r="DR103" s="63">
        <f t="shared" si="108"/>
        <v>0</v>
      </c>
      <c r="DS103" s="63">
        <f t="shared" ref="DS103:GD103" si="109">MAX(DR86-DS86,0)</f>
        <v>0</v>
      </c>
      <c r="DT103" s="63">
        <f t="shared" si="109"/>
        <v>0</v>
      </c>
      <c r="DU103" s="63">
        <f t="shared" si="109"/>
        <v>0</v>
      </c>
      <c r="DV103" s="63">
        <f t="shared" si="109"/>
        <v>0</v>
      </c>
      <c r="DW103" s="63">
        <f t="shared" si="109"/>
        <v>0</v>
      </c>
      <c r="DX103" s="63">
        <f t="shared" si="109"/>
        <v>0</v>
      </c>
      <c r="DY103" s="63">
        <f t="shared" si="109"/>
        <v>0</v>
      </c>
      <c r="DZ103" s="63">
        <f t="shared" si="109"/>
        <v>0</v>
      </c>
      <c r="EA103" s="63">
        <f t="shared" si="109"/>
        <v>0</v>
      </c>
      <c r="EB103" s="63">
        <f t="shared" si="109"/>
        <v>0</v>
      </c>
      <c r="EC103" s="63">
        <f t="shared" si="109"/>
        <v>0</v>
      </c>
      <c r="ED103" s="63">
        <f t="shared" si="109"/>
        <v>0</v>
      </c>
      <c r="EE103" s="63">
        <f t="shared" si="109"/>
        <v>0</v>
      </c>
      <c r="EF103" s="63">
        <f t="shared" si="109"/>
        <v>0</v>
      </c>
      <c r="EG103" s="63">
        <f t="shared" si="109"/>
        <v>0</v>
      </c>
      <c r="EH103" s="63">
        <f t="shared" si="109"/>
        <v>0</v>
      </c>
      <c r="EI103" s="63">
        <f t="shared" si="109"/>
        <v>0</v>
      </c>
      <c r="EJ103" s="63">
        <f t="shared" si="109"/>
        <v>0</v>
      </c>
      <c r="EK103" s="63">
        <f t="shared" si="109"/>
        <v>0</v>
      </c>
      <c r="EL103" s="63">
        <f t="shared" si="109"/>
        <v>0</v>
      </c>
      <c r="EM103" s="63">
        <f t="shared" si="109"/>
        <v>0</v>
      </c>
      <c r="EN103" s="63">
        <f t="shared" si="109"/>
        <v>0</v>
      </c>
      <c r="EO103" s="63">
        <f t="shared" si="109"/>
        <v>0</v>
      </c>
      <c r="EP103" s="63">
        <f t="shared" si="109"/>
        <v>0</v>
      </c>
      <c r="EQ103" s="63">
        <f t="shared" si="109"/>
        <v>0</v>
      </c>
      <c r="ER103" s="63">
        <f t="shared" si="109"/>
        <v>0</v>
      </c>
      <c r="ES103" s="63">
        <f t="shared" si="109"/>
        <v>0</v>
      </c>
      <c r="ET103" s="63">
        <f t="shared" si="109"/>
        <v>0</v>
      </c>
      <c r="EU103" s="63">
        <f t="shared" si="109"/>
        <v>0</v>
      </c>
      <c r="EV103" s="63">
        <f t="shared" si="109"/>
        <v>0</v>
      </c>
      <c r="EW103" s="63">
        <f t="shared" si="109"/>
        <v>0</v>
      </c>
      <c r="EX103" s="63">
        <f t="shared" si="109"/>
        <v>0</v>
      </c>
      <c r="EY103" s="63">
        <f t="shared" si="109"/>
        <v>0</v>
      </c>
      <c r="EZ103" s="63">
        <f t="shared" si="109"/>
        <v>0</v>
      </c>
      <c r="FA103" s="63">
        <f t="shared" si="109"/>
        <v>0</v>
      </c>
      <c r="FB103" s="63">
        <f t="shared" si="109"/>
        <v>0</v>
      </c>
      <c r="FC103" s="63">
        <f t="shared" si="109"/>
        <v>0</v>
      </c>
      <c r="FD103" s="63">
        <f t="shared" si="109"/>
        <v>0</v>
      </c>
      <c r="FE103" s="63">
        <f t="shared" si="109"/>
        <v>0</v>
      </c>
      <c r="FF103" s="63">
        <f t="shared" si="109"/>
        <v>0</v>
      </c>
      <c r="FG103" s="63">
        <f t="shared" si="109"/>
        <v>0</v>
      </c>
      <c r="FH103" s="63">
        <f t="shared" si="109"/>
        <v>0</v>
      </c>
      <c r="FI103" s="63">
        <f t="shared" si="109"/>
        <v>0</v>
      </c>
      <c r="FJ103" s="63">
        <f t="shared" si="109"/>
        <v>0</v>
      </c>
      <c r="FK103" s="63">
        <f t="shared" si="109"/>
        <v>0</v>
      </c>
      <c r="FL103" s="63">
        <f t="shared" si="109"/>
        <v>0</v>
      </c>
      <c r="FM103" s="63">
        <f t="shared" si="109"/>
        <v>0</v>
      </c>
      <c r="FN103" s="63">
        <f t="shared" si="109"/>
        <v>0</v>
      </c>
      <c r="FO103" s="63">
        <f t="shared" si="109"/>
        <v>0</v>
      </c>
      <c r="FP103" s="63">
        <f t="shared" si="109"/>
        <v>0</v>
      </c>
      <c r="FQ103" s="63">
        <f t="shared" si="109"/>
        <v>0</v>
      </c>
      <c r="FR103" s="63">
        <f t="shared" si="109"/>
        <v>0</v>
      </c>
      <c r="FS103" s="63">
        <f t="shared" si="109"/>
        <v>0</v>
      </c>
      <c r="FT103" s="63">
        <f t="shared" si="109"/>
        <v>0</v>
      </c>
      <c r="FU103" s="63">
        <f t="shared" si="109"/>
        <v>0</v>
      </c>
      <c r="FV103" s="63">
        <f t="shared" si="109"/>
        <v>0</v>
      </c>
      <c r="FW103" s="63">
        <f t="shared" si="109"/>
        <v>0</v>
      </c>
      <c r="FX103" s="63">
        <f t="shared" si="109"/>
        <v>0</v>
      </c>
      <c r="FY103" s="63">
        <f t="shared" si="109"/>
        <v>0</v>
      </c>
      <c r="FZ103" s="63">
        <f t="shared" si="109"/>
        <v>0</v>
      </c>
      <c r="GA103" s="63">
        <f t="shared" si="109"/>
        <v>0</v>
      </c>
      <c r="GB103" s="63">
        <f t="shared" si="109"/>
        <v>0</v>
      </c>
      <c r="GC103" s="63">
        <f t="shared" si="109"/>
        <v>0</v>
      </c>
      <c r="GD103" s="63">
        <f t="shared" si="109"/>
        <v>0</v>
      </c>
      <c r="GE103" s="63">
        <f t="shared" ref="GE103:GT103" si="110">MAX(GD86-GE86,0)</f>
        <v>0</v>
      </c>
      <c r="GF103" s="63">
        <f t="shared" si="110"/>
        <v>0</v>
      </c>
      <c r="GG103" s="63">
        <f t="shared" si="110"/>
        <v>0</v>
      </c>
      <c r="GH103" s="63">
        <f t="shared" si="110"/>
        <v>0</v>
      </c>
      <c r="GI103" s="63">
        <f t="shared" si="110"/>
        <v>0</v>
      </c>
      <c r="GJ103" s="63">
        <f t="shared" si="110"/>
        <v>0</v>
      </c>
      <c r="GK103" s="63">
        <f t="shared" si="110"/>
        <v>0</v>
      </c>
      <c r="GL103" s="63">
        <f t="shared" si="110"/>
        <v>0</v>
      </c>
      <c r="GM103" s="63">
        <f t="shared" si="110"/>
        <v>0</v>
      </c>
      <c r="GN103" s="63">
        <f t="shared" si="110"/>
        <v>0</v>
      </c>
      <c r="GO103" s="63">
        <f t="shared" si="110"/>
        <v>0</v>
      </c>
      <c r="GP103" s="63">
        <f t="shared" si="110"/>
        <v>0</v>
      </c>
      <c r="GQ103" s="63">
        <f t="shared" si="110"/>
        <v>0</v>
      </c>
      <c r="GR103" s="63">
        <f t="shared" si="110"/>
        <v>0</v>
      </c>
      <c r="GS103" s="63">
        <f t="shared" si="110"/>
        <v>0</v>
      </c>
      <c r="GT103" s="63">
        <f t="shared" si="110"/>
        <v>0</v>
      </c>
      <c r="GU103" s="63"/>
      <c r="GX103" s="37"/>
      <c r="GY103" s="37"/>
    </row>
    <row r="104" spans="1:207" s="60" customFormat="1" ht="13.5" customHeight="1" x14ac:dyDescent="0.3">
      <c r="A104" s="67" t="s">
        <v>29</v>
      </c>
      <c r="B104" s="68">
        <f>MAX(C104:GT104)</f>
        <v>3.5004</v>
      </c>
      <c r="C104" s="68">
        <f>SUM($C$102:C102)-SUM($C$103:C103)</f>
        <v>3.5004</v>
      </c>
      <c r="D104" s="68">
        <f>SUM($C$102:D102)-SUM($C$103:D103)</f>
        <v>3.4774999999999991</v>
      </c>
      <c r="E104" s="68">
        <f>SUM($C$102:E102)-SUM($C$103:E103)</f>
        <v>3.4970999999999961</v>
      </c>
      <c r="F104" s="68">
        <f>SUM($C$102:F102)-SUM($C$103:F103)</f>
        <v>3.4999999999999929</v>
      </c>
      <c r="G104" s="68">
        <f>SUM($C$102:G102)-SUM($C$103:G103)</f>
        <v>0.20739999999999448</v>
      </c>
      <c r="H104" s="68">
        <f>SUM($C$102:H102)-SUM($C$103:H103)</f>
        <v>0</v>
      </c>
      <c r="I104" s="68">
        <f>SUM($C$102:I102)-SUM($C$103:I103)</f>
        <v>0</v>
      </c>
      <c r="J104" s="68">
        <f>SUM($C$102:J102)-SUM($C$103:J103)</f>
        <v>0</v>
      </c>
      <c r="K104" s="68">
        <f>SUM($C$102:K102)-SUM($C$103:K103)</f>
        <v>0</v>
      </c>
      <c r="L104" s="68">
        <f>SUM($C$102:L102)-SUM($C$103:L103)</f>
        <v>0</v>
      </c>
      <c r="M104" s="68">
        <f>SUM($C$102:M102)-SUM($C$103:M103)</f>
        <v>0</v>
      </c>
      <c r="N104" s="68">
        <f>SUM($C$102:N102)-SUM($C$103:N103)</f>
        <v>0</v>
      </c>
      <c r="O104" s="68">
        <f>SUM($C$102:O102)-SUM($C$103:O103)</f>
        <v>0</v>
      </c>
      <c r="P104" s="68">
        <f>SUM($C$102:P102)-SUM($C$103:P103)</f>
        <v>0</v>
      </c>
      <c r="Q104" s="68">
        <f>SUM($C$102:Q102)-SUM($C$103:Q103)</f>
        <v>0</v>
      </c>
      <c r="R104" s="68">
        <f>SUM($C$102:R102)-SUM($C$103:R103)</f>
        <v>0</v>
      </c>
      <c r="S104" s="68">
        <f>SUM($C$102:S102)-SUM($C$103:S103)</f>
        <v>0</v>
      </c>
      <c r="T104" s="68">
        <f>SUM($C$102:T102)-SUM($C$103:T103)</f>
        <v>0</v>
      </c>
      <c r="U104" s="68">
        <f>SUM($C$102:U102)-SUM($C$103:U103)</f>
        <v>0</v>
      </c>
      <c r="V104" s="68">
        <f>SUM($C$102:V102)-SUM($C$103:V103)</f>
        <v>0</v>
      </c>
      <c r="W104" s="68">
        <f>SUM($C$102:W102)-SUM($C$103:W103)</f>
        <v>0</v>
      </c>
      <c r="X104" s="68">
        <f>SUM($C$102:X102)-SUM($C$103:X103)</f>
        <v>0</v>
      </c>
      <c r="Y104" s="68">
        <f>SUM($C$102:Y102)-SUM($C$103:Y103)</f>
        <v>0</v>
      </c>
      <c r="Z104" s="68">
        <f>SUM($C$102:Z102)-SUM($C$103:Z103)</f>
        <v>0</v>
      </c>
      <c r="AA104" s="68">
        <f>SUM($C$102:AA102)-SUM($C$103:AA103)</f>
        <v>0</v>
      </c>
      <c r="AB104" s="68">
        <f>SUM($C$102:AB102)-SUM($C$103:AB103)</f>
        <v>0</v>
      </c>
      <c r="AC104" s="68">
        <f>SUM($C$102:AC102)-SUM($C$103:AC103)</f>
        <v>0</v>
      </c>
      <c r="AD104" s="68">
        <f>SUM($C$102:AD102)-SUM($C$103:AD103)</f>
        <v>0</v>
      </c>
      <c r="AE104" s="68">
        <f>SUM($C$102:AE102)-SUM($C$103:AE103)</f>
        <v>0</v>
      </c>
      <c r="AF104" s="68">
        <f>SUM($C$102:AF102)-SUM($C$103:AF103)</f>
        <v>0</v>
      </c>
      <c r="AG104" s="68">
        <f>SUM($C$102:AG102)-SUM($C$103:AG103)</f>
        <v>0</v>
      </c>
      <c r="AH104" s="68">
        <f>SUM($C$102:AH102)-SUM($C$103:AH103)</f>
        <v>0</v>
      </c>
      <c r="AI104" s="68">
        <f>SUM($C$102:AI102)-SUM($C$103:AI103)</f>
        <v>0</v>
      </c>
      <c r="AJ104" s="68">
        <f>SUM($C$102:AJ102)-SUM($C$103:AJ103)</f>
        <v>0</v>
      </c>
      <c r="AK104" s="68">
        <f>SUM($C$102:AK102)-SUM($C$103:AK103)</f>
        <v>0</v>
      </c>
      <c r="AL104" s="68">
        <f>SUM($C$102:AL102)-SUM($C$103:AL103)</f>
        <v>0</v>
      </c>
      <c r="AM104" s="68">
        <f>SUM($C$102:AM102)-SUM($C$103:AM103)</f>
        <v>0</v>
      </c>
      <c r="AN104" s="68">
        <f>SUM($C$102:AN102)-SUM($C$103:AN103)</f>
        <v>0</v>
      </c>
      <c r="AO104" s="68">
        <f>SUM($C$102:AO102)-SUM($C$103:AO103)</f>
        <v>0</v>
      </c>
      <c r="AP104" s="68">
        <f>SUM($C$102:AP102)-SUM($C$103:AP103)</f>
        <v>0</v>
      </c>
      <c r="AQ104" s="68">
        <f>SUM($C$102:AQ102)-SUM($C$103:AQ103)</f>
        <v>0</v>
      </c>
      <c r="AR104" s="68">
        <f>SUM($C$102:AR102)-SUM($C$103:AR103)</f>
        <v>0</v>
      </c>
      <c r="AS104" s="68">
        <f>SUM($C$102:AS102)-SUM($C$103:AS103)</f>
        <v>0</v>
      </c>
      <c r="AT104" s="68">
        <f>SUM($C$102:AT102)-SUM($C$103:AT103)</f>
        <v>0</v>
      </c>
      <c r="AU104" s="68">
        <f>SUM($C$102:AU102)-SUM($C$103:AU103)</f>
        <v>0</v>
      </c>
      <c r="AV104" s="68">
        <f>SUM($C$102:AV102)-SUM($C$103:AV103)</f>
        <v>0</v>
      </c>
      <c r="AW104" s="68">
        <f>SUM($C$102:AW102)-SUM($C$103:AW103)</f>
        <v>0</v>
      </c>
      <c r="AX104" s="68">
        <f>SUM($C$102:AX102)-SUM($C$103:AX103)</f>
        <v>0</v>
      </c>
      <c r="AY104" s="68">
        <f>SUM($C$102:AY102)-SUM($C$103:AY103)</f>
        <v>0</v>
      </c>
      <c r="AZ104" s="68">
        <f>SUM($C$102:AZ102)-SUM($C$103:AZ103)</f>
        <v>0</v>
      </c>
      <c r="BA104" s="68">
        <f>SUM($C$102:BA102)-SUM($C$103:BA103)</f>
        <v>0</v>
      </c>
      <c r="BB104" s="68">
        <f>SUM($C$102:BB102)-SUM($C$103:BB103)</f>
        <v>0</v>
      </c>
      <c r="BC104" s="68">
        <f>SUM($C$102:BC102)-SUM($C$103:BC103)</f>
        <v>0</v>
      </c>
      <c r="BD104" s="68">
        <f>SUM($C$102:BD102)-SUM($C$103:BD103)</f>
        <v>0</v>
      </c>
      <c r="BE104" s="68">
        <f>SUM($C$102:BE102)-SUM($C$103:BE103)</f>
        <v>0</v>
      </c>
      <c r="BF104" s="68">
        <f>SUM($C$102:BF102)-SUM($C$103:BF103)</f>
        <v>0</v>
      </c>
      <c r="BG104" s="68">
        <f>SUM($C$102:BG102)-SUM($C$103:BG103)</f>
        <v>0</v>
      </c>
      <c r="BH104" s="68">
        <f>SUM($C$102:BH102)-SUM($C$103:BH103)</f>
        <v>0</v>
      </c>
      <c r="BI104" s="68">
        <f>SUM($C$102:BI102)-SUM($C$103:BI103)</f>
        <v>0</v>
      </c>
      <c r="BJ104" s="68">
        <f>SUM($C$102:BJ102)-SUM($C$103:BJ103)</f>
        <v>0</v>
      </c>
      <c r="BK104" s="68">
        <f>SUM($C$102:BK102)-SUM($C$103:BK103)</f>
        <v>0</v>
      </c>
      <c r="BL104" s="68">
        <f>SUM($C$102:BL102)-SUM($C$103:BL103)</f>
        <v>0</v>
      </c>
      <c r="BM104" s="68">
        <f>SUM($C$102:BM102)-SUM($C$103:BM103)</f>
        <v>0</v>
      </c>
      <c r="BN104" s="68">
        <f>SUM($C$102:BN102)-SUM($C$103:BN103)</f>
        <v>0</v>
      </c>
      <c r="BO104" s="68">
        <f>SUM($C$102:BO102)-SUM($C$103:BO103)</f>
        <v>0</v>
      </c>
      <c r="BP104" s="68">
        <f>SUM($C$102:BP102)-SUM($C$103:BP103)</f>
        <v>0</v>
      </c>
      <c r="BQ104" s="68">
        <f>SUM($C$102:BQ102)-SUM($C$103:BQ103)</f>
        <v>0</v>
      </c>
      <c r="BR104" s="68">
        <f>SUM($C$102:BR102)-SUM($C$103:BR103)</f>
        <v>0</v>
      </c>
      <c r="BS104" s="68">
        <f>SUM($C$102:BS102)-SUM($C$103:BS103)</f>
        <v>0</v>
      </c>
      <c r="BT104" s="68">
        <f>SUM($C$102:BT102)-SUM($C$103:BT103)</f>
        <v>0</v>
      </c>
      <c r="BU104" s="68">
        <f>SUM($C$102:BU102)-SUM($C$103:BU103)</f>
        <v>0</v>
      </c>
      <c r="BV104" s="68">
        <f>SUM($C$102:BV102)-SUM($C$103:BV103)</f>
        <v>0</v>
      </c>
      <c r="BW104" s="68">
        <f>SUM($C$102:BW102)-SUM($C$103:BW103)</f>
        <v>0</v>
      </c>
      <c r="BX104" s="68">
        <f>SUM($C$102:BX102)-SUM($C$103:BX103)</f>
        <v>0</v>
      </c>
      <c r="BY104" s="68">
        <f>SUM($C$102:BY102)-SUM($C$103:BY103)</f>
        <v>0</v>
      </c>
      <c r="BZ104" s="68">
        <f>SUM($C$102:BZ102)-SUM($C$103:BZ103)</f>
        <v>0</v>
      </c>
      <c r="CA104" s="68">
        <f>SUM($C$102:CA102)-SUM($C$103:CA103)</f>
        <v>0</v>
      </c>
      <c r="CB104" s="68">
        <f>SUM($C$102:CB102)-SUM($C$103:CB103)</f>
        <v>0</v>
      </c>
      <c r="CC104" s="68">
        <f>SUM($C$102:CC102)-SUM($C$103:CC103)</f>
        <v>0</v>
      </c>
      <c r="CD104" s="68">
        <f>SUM($C$102:CD102)-SUM($C$103:CD103)</f>
        <v>0</v>
      </c>
      <c r="CE104" s="68">
        <f>SUM($C$102:CE102)-SUM($C$103:CE103)</f>
        <v>0</v>
      </c>
      <c r="CF104" s="68">
        <f>SUM($C$102:CF102)-SUM($C$103:CF103)</f>
        <v>0</v>
      </c>
      <c r="CG104" s="68">
        <f>SUM($C$102:CG102)-SUM($C$103:CG103)</f>
        <v>0</v>
      </c>
      <c r="CH104" s="68">
        <f>SUM($C$102:CH102)-SUM($C$103:CH103)</f>
        <v>0</v>
      </c>
      <c r="CI104" s="68">
        <f>SUM($C$102:CI102)-SUM($C$103:CI103)</f>
        <v>0</v>
      </c>
      <c r="CJ104" s="68">
        <f>SUM($C$102:CJ102)-SUM($C$103:CJ103)</f>
        <v>0</v>
      </c>
      <c r="CK104" s="68">
        <f>SUM($C$102:CK102)-SUM($C$103:CK103)</f>
        <v>0</v>
      </c>
      <c r="CL104" s="68">
        <f>SUM($C$102:CL102)-SUM($C$103:CL103)</f>
        <v>0</v>
      </c>
      <c r="CM104" s="68">
        <f>SUM($C$102:CM102)-SUM($C$103:CM103)</f>
        <v>0</v>
      </c>
      <c r="CN104" s="68">
        <f>SUM($C$102:CN102)-SUM($C$103:CN103)</f>
        <v>0</v>
      </c>
      <c r="CO104" s="68">
        <f>SUM($C$102:CO102)-SUM($C$103:CO103)</f>
        <v>0</v>
      </c>
      <c r="CP104" s="68">
        <f>SUM($C$102:CP102)-SUM($C$103:CP103)</f>
        <v>0</v>
      </c>
      <c r="CQ104" s="68">
        <f>SUM($C$102:CQ102)-SUM($C$103:CQ103)</f>
        <v>0</v>
      </c>
      <c r="CR104" s="68">
        <f>SUM($C$102:CR102)-SUM($C$103:CR103)</f>
        <v>0</v>
      </c>
      <c r="CS104" s="68">
        <f>SUM($C$102:CS102)-SUM($C$103:CS103)</f>
        <v>0</v>
      </c>
      <c r="CT104" s="68">
        <f>SUM($C$102:CT102)-SUM($C$103:CT103)</f>
        <v>0</v>
      </c>
      <c r="CU104" s="68">
        <f>SUM($C$102:CU102)-SUM($C$103:CU103)</f>
        <v>0</v>
      </c>
      <c r="CV104" s="68">
        <f>SUM($C$102:CV102)-SUM($C$103:CV103)</f>
        <v>0</v>
      </c>
      <c r="CW104" s="68">
        <f>SUM($C$102:CW102)-SUM($C$103:CW103)</f>
        <v>0</v>
      </c>
      <c r="CX104" s="68">
        <f>SUM($C$102:CX102)-SUM($C$103:CX103)</f>
        <v>0</v>
      </c>
      <c r="CY104" s="68">
        <f>SUM($C$102:CY102)-SUM($C$103:CY103)</f>
        <v>0</v>
      </c>
      <c r="CZ104" s="68">
        <f>SUM($C$102:CZ102)-SUM($C$103:CZ103)</f>
        <v>0</v>
      </c>
      <c r="DA104" s="68">
        <f>SUM($C$102:DA102)-SUM($C$103:DA103)</f>
        <v>0</v>
      </c>
      <c r="DB104" s="68">
        <f>SUM($C$102:DB102)-SUM($C$103:DB103)</f>
        <v>0</v>
      </c>
      <c r="DC104" s="68">
        <f>SUM($C$102:DC102)-SUM($C$103:DC103)</f>
        <v>0</v>
      </c>
      <c r="DD104" s="68">
        <f>SUM($C$102:DD102)-SUM($C$103:DD103)</f>
        <v>0</v>
      </c>
      <c r="DE104" s="68">
        <f>SUM($C$102:DE102)-SUM($C$103:DE103)</f>
        <v>0</v>
      </c>
      <c r="DF104" s="68">
        <f>SUM($C$102:DF102)-SUM($C$103:DF103)</f>
        <v>0</v>
      </c>
      <c r="DG104" s="68">
        <f>SUM($C$102:DG102)-SUM($C$103:DG103)</f>
        <v>0</v>
      </c>
      <c r="DH104" s="68">
        <f>SUM($C$102:DH102)-SUM($C$103:DH103)</f>
        <v>0</v>
      </c>
      <c r="DI104" s="68">
        <f>SUM($C$102:DI102)-SUM($C$103:DI103)</f>
        <v>0</v>
      </c>
      <c r="DJ104" s="68">
        <f>SUM($C$102:DJ102)-SUM($C$103:DJ103)</f>
        <v>0</v>
      </c>
      <c r="DK104" s="68">
        <f>SUM($C$102:DK102)-SUM($C$103:DK103)</f>
        <v>0</v>
      </c>
      <c r="DL104" s="68">
        <f>SUM($C$102:DL102)-SUM($C$103:DL103)</f>
        <v>0</v>
      </c>
      <c r="DM104" s="68">
        <f>SUM($C$102:DM102)-SUM($C$103:DM103)</f>
        <v>0</v>
      </c>
      <c r="DN104" s="68">
        <f>SUM($C$102:DN102)-SUM($C$103:DN103)</f>
        <v>0</v>
      </c>
      <c r="DO104" s="68">
        <f>SUM($C$102:DO102)-SUM($C$103:DO103)</f>
        <v>0</v>
      </c>
      <c r="DP104" s="68">
        <f>SUM($C$102:DP102)-SUM($C$103:DP103)</f>
        <v>0</v>
      </c>
      <c r="DQ104" s="68">
        <f>SUM($C$102:DQ102)-SUM($C$103:DQ103)</f>
        <v>0</v>
      </c>
      <c r="DR104" s="68">
        <f>SUM($C$102:DR102)-SUM($C$103:DR103)</f>
        <v>0</v>
      </c>
      <c r="DS104" s="68">
        <f>SUM($C$102:DS102)-SUM($C$103:DS103)</f>
        <v>0</v>
      </c>
      <c r="DT104" s="68">
        <f>SUM($C$102:DT102)-SUM($C$103:DT103)</f>
        <v>0</v>
      </c>
      <c r="DU104" s="68">
        <f>SUM($C$102:DU102)-SUM($C$103:DU103)</f>
        <v>0</v>
      </c>
      <c r="DV104" s="68">
        <f>SUM($C$102:DV102)-SUM($C$103:DV103)</f>
        <v>0</v>
      </c>
      <c r="DW104" s="68">
        <f>SUM($C$102:DW102)-SUM($C$103:DW103)</f>
        <v>0</v>
      </c>
      <c r="DX104" s="68">
        <f>SUM($C$102:DX102)-SUM($C$103:DX103)</f>
        <v>0</v>
      </c>
      <c r="DY104" s="68">
        <f>SUM($C$102:DY102)-SUM($C$103:DY103)</f>
        <v>0</v>
      </c>
      <c r="DZ104" s="68">
        <f>SUM($C$102:DZ102)-SUM($C$103:DZ103)</f>
        <v>0</v>
      </c>
      <c r="EA104" s="68">
        <f>SUM($C$102:EA102)-SUM($C$103:EA103)</f>
        <v>0</v>
      </c>
      <c r="EB104" s="68">
        <f>SUM($C$102:EB102)-SUM($C$103:EB103)</f>
        <v>0</v>
      </c>
      <c r="EC104" s="68">
        <f>SUM($C$102:EC102)-SUM($C$103:EC103)</f>
        <v>0</v>
      </c>
      <c r="ED104" s="68">
        <f>SUM($C$102:ED102)-SUM($C$103:ED103)</f>
        <v>0</v>
      </c>
      <c r="EE104" s="68">
        <f>SUM($C$102:EE102)-SUM($C$103:EE103)</f>
        <v>0</v>
      </c>
      <c r="EF104" s="68">
        <f>SUM($C$102:EF102)-SUM($C$103:EF103)</f>
        <v>0</v>
      </c>
      <c r="EG104" s="68">
        <f>SUM($C$102:EG102)-SUM($C$103:EG103)</f>
        <v>0</v>
      </c>
      <c r="EH104" s="68">
        <f>SUM($C$102:EH102)-SUM($C$103:EH103)</f>
        <v>0</v>
      </c>
      <c r="EI104" s="68">
        <f>SUM($C$102:EI102)-SUM($C$103:EI103)</f>
        <v>0</v>
      </c>
      <c r="EJ104" s="68">
        <f>SUM($C$102:EJ102)-SUM($C$103:EJ103)</f>
        <v>0</v>
      </c>
      <c r="EK104" s="68">
        <f>SUM($C$102:EK102)-SUM($C$103:EK103)</f>
        <v>0</v>
      </c>
      <c r="EL104" s="68">
        <f>SUM($C$102:EL102)-SUM($C$103:EL103)</f>
        <v>0</v>
      </c>
      <c r="EM104" s="68">
        <f>SUM($C$102:EM102)-SUM($C$103:EM103)</f>
        <v>0</v>
      </c>
      <c r="EN104" s="68">
        <f>SUM($C$102:EN102)-SUM($C$103:EN103)</f>
        <v>0</v>
      </c>
      <c r="EO104" s="68">
        <f>SUM($C$102:EO102)-SUM($C$103:EO103)</f>
        <v>0</v>
      </c>
      <c r="EP104" s="68">
        <f>SUM($C$102:EP102)-SUM($C$103:EP103)</f>
        <v>0</v>
      </c>
      <c r="EQ104" s="68">
        <f>SUM($C$102:EQ102)-SUM($C$103:EQ103)</f>
        <v>0</v>
      </c>
      <c r="ER104" s="68">
        <f>SUM($C$102:ER102)-SUM($C$103:ER103)</f>
        <v>0</v>
      </c>
      <c r="ES104" s="68">
        <f>SUM($C$102:ES102)-SUM($C$103:ES103)</f>
        <v>0</v>
      </c>
      <c r="ET104" s="68">
        <f>SUM($C$102:ET102)-SUM($C$103:ET103)</f>
        <v>0</v>
      </c>
      <c r="EU104" s="68">
        <f>SUM($C$102:EU102)-SUM($C$103:EU103)</f>
        <v>0</v>
      </c>
      <c r="EV104" s="68">
        <f>SUM($C$102:EV102)-SUM($C$103:EV103)</f>
        <v>0</v>
      </c>
      <c r="EW104" s="68">
        <f>SUM($C$102:EW102)-SUM($C$103:EW103)</f>
        <v>0</v>
      </c>
      <c r="EX104" s="68">
        <f>SUM($C$102:EX102)-SUM($C$103:EX103)</f>
        <v>0</v>
      </c>
      <c r="EY104" s="68">
        <f>SUM($C$102:EY102)-SUM($C$103:EY103)</f>
        <v>0</v>
      </c>
      <c r="EZ104" s="68">
        <f>SUM($C$102:EZ102)-SUM($C$103:EZ103)</f>
        <v>0</v>
      </c>
      <c r="FA104" s="68">
        <f>SUM($C$102:FA102)-SUM($C$103:FA103)</f>
        <v>0</v>
      </c>
      <c r="FB104" s="68">
        <f>SUM($C$102:FB102)-SUM($C$103:FB103)</f>
        <v>0</v>
      </c>
      <c r="FC104" s="68">
        <f>SUM($C$102:FC102)-SUM($C$103:FC103)</f>
        <v>0</v>
      </c>
      <c r="FD104" s="68">
        <f>SUM($C$102:FD102)-SUM($C$103:FD103)</f>
        <v>0</v>
      </c>
      <c r="FE104" s="68">
        <f>SUM($C$102:FE102)-SUM($C$103:FE103)</f>
        <v>0</v>
      </c>
      <c r="FF104" s="68">
        <f>SUM($C$102:FF102)-SUM($C$103:FF103)</f>
        <v>0</v>
      </c>
      <c r="FG104" s="68">
        <f>SUM($C$102:FG102)-SUM($C$103:FG103)</f>
        <v>0</v>
      </c>
      <c r="FH104" s="68">
        <f>SUM($C$102:FH102)-SUM($C$103:FH103)</f>
        <v>0</v>
      </c>
      <c r="FI104" s="68">
        <f>SUM($C$102:FI102)-SUM($C$103:FI103)</f>
        <v>0</v>
      </c>
      <c r="FJ104" s="68">
        <f>SUM($C$102:FJ102)-SUM($C$103:FJ103)</f>
        <v>0</v>
      </c>
      <c r="FK104" s="68">
        <f>SUM($C$102:FK102)-SUM($C$103:FK103)</f>
        <v>0</v>
      </c>
      <c r="FL104" s="68">
        <f>SUM($C$102:FL102)-SUM($C$103:FL103)</f>
        <v>0</v>
      </c>
      <c r="FM104" s="68">
        <f>SUM($C$102:FM102)-SUM($C$103:FM103)</f>
        <v>0</v>
      </c>
      <c r="FN104" s="68">
        <f>SUM($C$102:FN102)-SUM($C$103:FN103)</f>
        <v>0</v>
      </c>
      <c r="FO104" s="68">
        <f>SUM($C$102:FO102)-SUM($C$103:FO103)</f>
        <v>0</v>
      </c>
      <c r="FP104" s="68">
        <f>SUM($C$102:FP102)-SUM($C$103:FP103)</f>
        <v>0</v>
      </c>
      <c r="FQ104" s="68">
        <f>SUM($C$102:FQ102)-SUM($C$103:FQ103)</f>
        <v>0</v>
      </c>
      <c r="FR104" s="68">
        <f>SUM($C$102:FR102)-SUM($C$103:FR103)</f>
        <v>0</v>
      </c>
      <c r="FS104" s="68">
        <f>SUM($C$102:FS102)-SUM($C$103:FS103)</f>
        <v>0</v>
      </c>
      <c r="FT104" s="68">
        <f>SUM($C$102:FT102)-SUM($C$103:FT103)</f>
        <v>0</v>
      </c>
      <c r="FU104" s="68">
        <f>SUM($C$102:FU102)-SUM($C$103:FU103)</f>
        <v>0</v>
      </c>
      <c r="FV104" s="68">
        <f>SUM($C$102:FV102)-SUM($C$103:FV103)</f>
        <v>0</v>
      </c>
      <c r="FW104" s="68">
        <f>SUM($C$102:FW102)-SUM($C$103:FW103)</f>
        <v>0</v>
      </c>
      <c r="FX104" s="68">
        <f>SUM($C$102:FX102)-SUM($C$103:FX103)</f>
        <v>0</v>
      </c>
      <c r="FY104" s="68">
        <f>SUM($C$102:FY102)-SUM($C$103:FY103)</f>
        <v>0</v>
      </c>
      <c r="FZ104" s="68">
        <f>SUM($C$102:FZ102)-SUM($C$103:FZ103)</f>
        <v>0</v>
      </c>
      <c r="GA104" s="68">
        <f>SUM($C$102:GA102)-SUM($C$103:GA103)</f>
        <v>0</v>
      </c>
      <c r="GB104" s="68">
        <f>SUM($C$102:GB102)-SUM($C$103:GB103)</f>
        <v>0</v>
      </c>
      <c r="GC104" s="68">
        <f>SUM($C$102:GC102)-SUM($C$103:GC103)</f>
        <v>0</v>
      </c>
      <c r="GD104" s="68">
        <f>SUM($C$102:GD102)-SUM($C$103:GD103)</f>
        <v>0</v>
      </c>
      <c r="GE104" s="68">
        <f>SUM($C$102:GE102)-SUM($C$103:GE103)</f>
        <v>0</v>
      </c>
      <c r="GF104" s="68">
        <f>SUM($C$102:GF102)-SUM($C$103:GF103)</f>
        <v>0</v>
      </c>
      <c r="GG104" s="68">
        <f>SUM($C$102:GG102)-SUM($C$103:GG103)</f>
        <v>0</v>
      </c>
      <c r="GH104" s="68">
        <f>SUM($C$102:GH102)-SUM($C$103:GH103)</f>
        <v>0</v>
      </c>
      <c r="GI104" s="68">
        <f>SUM($C$102:GI102)-SUM($C$103:GI103)</f>
        <v>0</v>
      </c>
      <c r="GJ104" s="68">
        <f>SUM($C$102:GJ102)-SUM($C$103:GJ103)</f>
        <v>0</v>
      </c>
      <c r="GK104" s="68">
        <f>SUM($C$102:GK102)-SUM($C$103:GK103)</f>
        <v>0</v>
      </c>
      <c r="GL104" s="68">
        <f>SUM($C$102:GL102)-SUM($C$103:GL103)</f>
        <v>0</v>
      </c>
      <c r="GM104" s="68">
        <f>SUM($C$102:GM102)-SUM($C$103:GM103)</f>
        <v>0</v>
      </c>
      <c r="GN104" s="68">
        <f>SUM($C$102:GN102)-SUM($C$103:GN103)</f>
        <v>0</v>
      </c>
      <c r="GO104" s="68">
        <f>SUM($C$102:GO102)-SUM($C$103:GO103)</f>
        <v>0</v>
      </c>
      <c r="GP104" s="68">
        <f>SUM($C$102:GP102)-SUM($C$103:GP103)</f>
        <v>0</v>
      </c>
      <c r="GQ104" s="68">
        <f>SUM($C$102:GQ102)-SUM($C$103:GQ103)</f>
        <v>0</v>
      </c>
      <c r="GR104" s="68">
        <f>SUM($C$102:GR102)-SUM($C$103:GR103)</f>
        <v>0</v>
      </c>
      <c r="GS104" s="68">
        <f>SUM($C$102:GS102)-SUM($C$103:GS103)</f>
        <v>0</v>
      </c>
      <c r="GT104" s="68">
        <f>SUM($C$102:GT102)-SUM($C$103:GT103)</f>
        <v>0</v>
      </c>
      <c r="GU104" s="68"/>
      <c r="GX104" s="37"/>
      <c r="GY104" s="37"/>
    </row>
    <row r="105" spans="1:207" s="66" customFormat="1" ht="13.5" customHeight="1" x14ac:dyDescent="0.3">
      <c r="A105" s="69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Q105" s="70"/>
      <c r="CR105" s="70"/>
      <c r="CS105" s="70"/>
      <c r="CT105" s="70"/>
      <c r="CU105" s="70"/>
      <c r="CV105" s="70"/>
      <c r="CW105" s="70"/>
      <c r="CX105" s="70"/>
      <c r="CY105" s="70"/>
      <c r="CZ105" s="70"/>
      <c r="DA105" s="70"/>
      <c r="DB105" s="70"/>
      <c r="DC105" s="70"/>
      <c r="DD105" s="70"/>
      <c r="DE105" s="70"/>
      <c r="DF105" s="70"/>
      <c r="DG105" s="70"/>
      <c r="DH105" s="70"/>
      <c r="DI105" s="70"/>
      <c r="DJ105" s="70"/>
      <c r="DK105" s="70"/>
      <c r="DL105" s="70"/>
      <c r="DM105" s="70"/>
      <c r="DN105" s="70"/>
      <c r="DO105" s="70"/>
      <c r="DP105" s="70"/>
      <c r="DQ105" s="70"/>
      <c r="DR105" s="70"/>
      <c r="DS105" s="70"/>
      <c r="DT105" s="70"/>
      <c r="DU105" s="70"/>
      <c r="DV105" s="70"/>
      <c r="DW105" s="70"/>
      <c r="DX105" s="70"/>
      <c r="DY105" s="70"/>
      <c r="DZ105" s="70"/>
      <c r="EA105" s="70"/>
      <c r="EB105" s="70"/>
      <c r="EC105" s="70"/>
      <c r="ED105" s="70"/>
      <c r="EE105" s="70"/>
      <c r="EF105" s="70"/>
      <c r="EG105" s="70"/>
      <c r="EH105" s="70"/>
      <c r="EI105" s="70"/>
      <c r="EJ105" s="70"/>
      <c r="EK105" s="70"/>
      <c r="EL105" s="70"/>
      <c r="EM105" s="70"/>
      <c r="EN105" s="70"/>
      <c r="EO105" s="70"/>
      <c r="EP105" s="70"/>
      <c r="EQ105" s="70"/>
      <c r="ER105" s="70"/>
      <c r="ES105" s="70"/>
      <c r="ET105" s="70"/>
      <c r="EU105" s="70"/>
      <c r="EV105" s="70"/>
      <c r="EW105" s="70"/>
      <c r="EX105" s="70"/>
      <c r="EY105" s="70"/>
      <c r="EZ105" s="70"/>
      <c r="FA105" s="70"/>
      <c r="FB105" s="70"/>
      <c r="FC105" s="70"/>
      <c r="FD105" s="70"/>
      <c r="FE105" s="70"/>
      <c r="FF105" s="70"/>
      <c r="FG105" s="70"/>
      <c r="FH105" s="70"/>
      <c r="FI105" s="70"/>
      <c r="FJ105" s="70"/>
      <c r="FK105" s="70"/>
      <c r="FL105" s="70"/>
      <c r="FM105" s="70"/>
      <c r="FN105" s="70"/>
      <c r="FO105" s="70"/>
      <c r="FP105" s="70"/>
      <c r="FQ105" s="70"/>
      <c r="FR105" s="70"/>
      <c r="FS105" s="70"/>
      <c r="FT105" s="70"/>
      <c r="FU105" s="70"/>
      <c r="FV105" s="70"/>
      <c r="FW105" s="70"/>
      <c r="FX105" s="70"/>
      <c r="FY105" s="70"/>
      <c r="FZ105" s="70"/>
      <c r="GA105" s="70"/>
      <c r="GB105" s="70"/>
      <c r="GC105" s="70"/>
      <c r="GD105" s="70"/>
      <c r="GE105" s="70"/>
      <c r="GF105" s="70"/>
      <c r="GG105" s="70"/>
      <c r="GH105" s="70"/>
      <c r="GI105" s="70"/>
      <c r="GJ105" s="70"/>
      <c r="GK105" s="70"/>
      <c r="GL105" s="70"/>
      <c r="GM105" s="70"/>
      <c r="GN105" s="70"/>
      <c r="GO105" s="70"/>
      <c r="GP105" s="70"/>
      <c r="GQ105" s="70"/>
      <c r="GR105" s="70"/>
      <c r="GS105" s="70"/>
      <c r="GT105" s="70"/>
      <c r="GU105" s="70"/>
    </row>
    <row r="106" spans="1:207" ht="13.5" customHeight="1" x14ac:dyDescent="0.2">
      <c r="A106" s="49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</row>
    <row r="107" spans="1:207" ht="13.5" customHeight="1" x14ac:dyDescent="0.2">
      <c r="A107" s="49"/>
      <c r="B107" s="25" t="s">
        <v>64</v>
      </c>
    </row>
    <row r="108" spans="1:207" ht="13.5" customHeight="1" x14ac:dyDescent="0.25">
      <c r="A108" s="23"/>
      <c r="B108" s="99" t="s">
        <v>17</v>
      </c>
      <c r="C108" s="100">
        <v>1.2061399999999998</v>
      </c>
      <c r="D108" s="100">
        <v>42.191924999999998</v>
      </c>
      <c r="E108" s="100">
        <v>120.432</v>
      </c>
      <c r="F108" s="100">
        <v>125.509</v>
      </c>
      <c r="G108" s="100">
        <v>80.374000000000009</v>
      </c>
      <c r="H108" s="100">
        <v>35.330570999999999</v>
      </c>
      <c r="I108" s="100">
        <v>12.98</v>
      </c>
      <c r="J108" s="100">
        <v>45.668673999999996</v>
      </c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</row>
    <row r="109" spans="1:207" ht="13.5" customHeight="1" x14ac:dyDescent="0.25">
      <c r="A109" s="23"/>
      <c r="B109" s="99" t="s">
        <v>49</v>
      </c>
      <c r="C109" s="100">
        <v>1.1508258008684473</v>
      </c>
      <c r="D109" s="100">
        <v>34.777018083934223</v>
      </c>
      <c r="E109" s="100">
        <v>107.09390950235917</v>
      </c>
      <c r="F109" s="100">
        <v>110.58758615709519</v>
      </c>
      <c r="G109" s="100">
        <v>65.032336924020143</v>
      </c>
      <c r="H109" s="100">
        <v>27.011789688010367</v>
      </c>
      <c r="I109" s="100">
        <v>9.6134064638516161</v>
      </c>
      <c r="J109" s="100">
        <v>38.992180705866296</v>
      </c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</row>
    <row r="110" spans="1:207" ht="13.5" customHeight="1" x14ac:dyDescent="0.25">
      <c r="A110" s="23"/>
      <c r="B110" s="99" t="s">
        <v>16</v>
      </c>
      <c r="C110" s="100">
        <v>5.5314199131552354E-2</v>
      </c>
      <c r="D110" s="100">
        <v>7.4149069160657808</v>
      </c>
      <c r="E110" s="100">
        <v>13.338090497640845</v>
      </c>
      <c r="F110" s="100">
        <v>14.921413842904814</v>
      </c>
      <c r="G110" s="100">
        <v>15.341663075979866</v>
      </c>
      <c r="H110" s="100">
        <v>8.3187813119896372</v>
      </c>
      <c r="I110" s="100">
        <v>3.3665935361483843</v>
      </c>
      <c r="J110" s="100">
        <v>6.6764932941337083</v>
      </c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</row>
    <row r="111" spans="1:207" ht="13.5" customHeight="1" x14ac:dyDescent="0.25">
      <c r="A111" s="23"/>
      <c r="B111" s="99" t="s">
        <v>41</v>
      </c>
      <c r="C111" s="100">
        <v>59.868978488316621</v>
      </c>
      <c r="D111" s="100">
        <v>60.045173432643097</v>
      </c>
      <c r="E111" s="100">
        <v>61.058209584772143</v>
      </c>
      <c r="F111" s="100">
        <v>60.221955043901524</v>
      </c>
      <c r="G111" s="100">
        <v>59.990730395281503</v>
      </c>
      <c r="H111" s="100">
        <v>59.763106428166346</v>
      </c>
      <c r="I111" s="100">
        <v>58.400199979567951</v>
      </c>
      <c r="J111" s="100">
        <v>58.505186555146601</v>
      </c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6"/>
      <c r="EW111" s="6"/>
      <c r="EX111" s="6"/>
      <c r="EY111" s="6"/>
      <c r="EZ111" s="6"/>
      <c r="FA111" s="6"/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</row>
    <row r="112" spans="1:207" ht="13.5" customHeight="1" x14ac:dyDescent="0.25">
      <c r="A112" s="23"/>
      <c r="B112" s="99" t="s">
        <v>37</v>
      </c>
      <c r="C112" s="100">
        <v>5.1097233677118501</v>
      </c>
      <c r="D112" s="100">
        <v>4.6778096357727179</v>
      </c>
      <c r="E112" s="100">
        <v>3.8057017737625425</v>
      </c>
      <c r="F112" s="100">
        <v>4.3784468589930592</v>
      </c>
      <c r="G112" s="100">
        <v>4.605342317242143</v>
      </c>
      <c r="H112" s="100">
        <v>4.7677877643274424</v>
      </c>
      <c r="I112" s="100">
        <v>4.8357409122810244</v>
      </c>
      <c r="J112" s="100">
        <v>5.5994809526685989</v>
      </c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  <c r="ER112" s="6"/>
      <c r="ES112" s="6"/>
      <c r="ET112" s="6"/>
      <c r="EU112" s="6"/>
      <c r="EV112" s="6"/>
      <c r="EW112" s="6"/>
      <c r="EX112" s="6"/>
      <c r="EY112" s="6"/>
      <c r="EZ112" s="6"/>
      <c r="FA112" s="6"/>
      <c r="FB112" s="6"/>
      <c r="FC112" s="6"/>
      <c r="FD112" s="6"/>
      <c r="FE112" s="6"/>
      <c r="FF112" s="6"/>
      <c r="FG112" s="6"/>
      <c r="FH112" s="6"/>
      <c r="FI112" s="6"/>
      <c r="FJ112" s="6"/>
      <c r="FK112" s="6"/>
      <c r="FL112" s="6"/>
      <c r="FM112" s="6"/>
      <c r="FN112" s="6"/>
      <c r="FO112" s="6"/>
      <c r="FP112" s="6"/>
      <c r="FQ112" s="6"/>
      <c r="FR112" s="6"/>
      <c r="FS112" s="6"/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  <c r="GM112" s="6"/>
      <c r="GN112" s="6"/>
      <c r="GO112" s="6"/>
      <c r="GP112" s="6"/>
      <c r="GQ112" s="6"/>
      <c r="GR112" s="6"/>
      <c r="GS112" s="6"/>
      <c r="GT112" s="6"/>
    </row>
    <row r="113" spans="2:10" ht="13.5" customHeight="1" x14ac:dyDescent="0.25">
      <c r="B113" s="99" t="s">
        <v>38</v>
      </c>
      <c r="C113" s="100">
        <v>2.1472219300913746</v>
      </c>
      <c r="D113" s="100">
        <v>2.2155298508732963</v>
      </c>
      <c r="E113" s="100">
        <v>2.0543584245364817</v>
      </c>
      <c r="F113" s="100">
        <v>2.0879696718236747</v>
      </c>
      <c r="G113" s="100">
        <v>2.0593977527925711</v>
      </c>
      <c r="H113" s="100">
        <v>2.0701887643288313</v>
      </c>
      <c r="I113" s="100">
        <v>2.1511626934418615</v>
      </c>
      <c r="J113" s="100">
        <v>2.0619019969791936</v>
      </c>
    </row>
    <row r="115" spans="2:10" ht="13.5" customHeight="1" x14ac:dyDescent="0.2">
      <c r="B115" s="50"/>
    </row>
    <row r="137" spans="1:202" ht="13.5" customHeight="1" x14ac:dyDescent="0.2">
      <c r="A137" s="51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</row>
    <row r="138" spans="1:202" ht="13.5" customHeight="1" x14ac:dyDescent="0.2">
      <c r="A138" s="51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</row>
    <row r="139" spans="1:202" ht="13.5" customHeight="1" x14ac:dyDescent="0.2">
      <c r="A139" s="51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</row>
    <row r="140" spans="1:202" ht="13.5" customHeight="1" x14ac:dyDescent="0.2">
      <c r="A140" s="51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</row>
    <row r="141" spans="1:202" ht="13.5" customHeight="1" x14ac:dyDescent="0.2">
      <c r="A141" s="51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</row>
    <row r="142" spans="1:202" ht="13.5" customHeight="1" x14ac:dyDescent="0.2">
      <c r="A142" s="51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</row>
    <row r="143" spans="1:202" ht="13.5" customHeight="1" x14ac:dyDescent="0.2">
      <c r="A143" s="51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</row>
    <row r="144" spans="1:202" ht="13.5" customHeight="1" x14ac:dyDescent="0.2">
      <c r="A144" s="51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</row>
    <row r="145" spans="1:202" ht="13.5" customHeight="1" x14ac:dyDescent="0.2">
      <c r="A145" s="51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</row>
    <row r="146" spans="1:202" ht="13.5" customHeight="1" x14ac:dyDescent="0.2">
      <c r="A146" s="51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</row>
    <row r="147" spans="1:202" ht="13.5" customHeight="1" x14ac:dyDescent="0.2">
      <c r="A147" s="51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</row>
    <row r="148" spans="1:202" ht="13.5" customHeight="1" x14ac:dyDescent="0.2">
      <c r="A148" s="51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</row>
    <row r="149" spans="1:202" ht="13.5" customHeight="1" x14ac:dyDescent="0.2">
      <c r="A149" s="51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</row>
    <row r="150" spans="1:202" ht="13.5" customHeight="1" x14ac:dyDescent="0.2">
      <c r="A150" s="51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</row>
    <row r="151" spans="1:202" ht="13.5" customHeight="1" x14ac:dyDescent="0.2">
      <c r="A151" s="51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</row>
    <row r="152" spans="1:202" ht="13.5" customHeight="1" x14ac:dyDescent="0.2">
      <c r="A152" s="51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</row>
    <row r="153" spans="1:202" ht="13.5" customHeight="1" x14ac:dyDescent="0.2">
      <c r="A153" s="51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</row>
    <row r="154" spans="1:202" ht="13.5" customHeight="1" x14ac:dyDescent="0.2">
      <c r="A154" s="51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</row>
    <row r="156" spans="1:202" ht="13.5" customHeight="1" x14ac:dyDescent="0.2">
      <c r="A156" s="51"/>
      <c r="B156" s="52"/>
    </row>
    <row r="157" spans="1:202" ht="13.5" customHeight="1" x14ac:dyDescent="0.2">
      <c r="A157" s="51"/>
      <c r="B157" s="52"/>
    </row>
    <row r="158" spans="1:202" ht="13.5" customHeight="1" x14ac:dyDescent="0.2">
      <c r="A158" s="51"/>
      <c r="B158" s="52"/>
    </row>
    <row r="159" spans="1:202" ht="13.5" customHeight="1" x14ac:dyDescent="0.2">
      <c r="A159" s="51"/>
      <c r="B159" s="52"/>
    </row>
    <row r="160" spans="1:202" ht="13.5" customHeight="1" x14ac:dyDescent="0.2">
      <c r="A160" s="51"/>
      <c r="B160" s="52"/>
    </row>
    <row r="161" spans="1:2" ht="13.5" customHeight="1" x14ac:dyDescent="0.2">
      <c r="A161" s="51"/>
      <c r="B161" s="52"/>
    </row>
    <row r="162" spans="1:2" ht="13.5" customHeight="1" x14ac:dyDescent="0.2">
      <c r="A162" s="51"/>
      <c r="B162" s="52"/>
    </row>
    <row r="163" spans="1:2" ht="13.5" customHeight="1" x14ac:dyDescent="0.2">
      <c r="A163" s="51"/>
      <c r="B163" s="52"/>
    </row>
    <row r="164" spans="1:2" ht="13.5" customHeight="1" x14ac:dyDescent="0.2">
      <c r="A164" s="51"/>
      <c r="B164" s="52"/>
    </row>
    <row r="165" spans="1:2" ht="13.5" customHeight="1" x14ac:dyDescent="0.2">
      <c r="A165" s="51"/>
      <c r="B165" s="52"/>
    </row>
    <row r="166" spans="1:2" ht="13.5" customHeight="1" x14ac:dyDescent="0.2">
      <c r="A166" s="51"/>
      <c r="B166" s="52"/>
    </row>
    <row r="167" spans="1:2" ht="13.5" customHeight="1" x14ac:dyDescent="0.2">
      <c r="A167" s="51"/>
      <c r="B167" s="52"/>
    </row>
    <row r="168" spans="1:2" ht="13.5" customHeight="1" x14ac:dyDescent="0.2">
      <c r="A168" s="51"/>
      <c r="B168" s="52"/>
    </row>
    <row r="169" spans="1:2" ht="13.5" customHeight="1" x14ac:dyDescent="0.2">
      <c r="A169" s="51"/>
      <c r="B169" s="52"/>
    </row>
    <row r="170" spans="1:2" ht="13.5" customHeight="1" x14ac:dyDescent="0.2">
      <c r="A170" s="51"/>
      <c r="B170" s="52"/>
    </row>
    <row r="171" spans="1:2" ht="13.5" customHeight="1" x14ac:dyDescent="0.2">
      <c r="A171" s="51"/>
      <c r="B171" s="52"/>
    </row>
    <row r="172" spans="1:2" ht="13.5" customHeight="1" x14ac:dyDescent="0.2">
      <c r="A172" s="51"/>
      <c r="B172" s="52"/>
    </row>
    <row r="173" spans="1:2" ht="13.5" customHeight="1" x14ac:dyDescent="0.2">
      <c r="A173" s="51"/>
      <c r="B173" s="52"/>
    </row>
  </sheetData>
  <sortState ref="B114:D131">
    <sortCondition ref="B114"/>
  </sortState>
  <mergeCells count="20">
    <mergeCell ref="B24:C24"/>
    <mergeCell ref="B19:F19"/>
    <mergeCell ref="B20:F20"/>
    <mergeCell ref="B21:F21"/>
    <mergeCell ref="B22:F22"/>
    <mergeCell ref="B15:F15"/>
    <mergeCell ref="B16:F16"/>
    <mergeCell ref="B17:F17"/>
    <mergeCell ref="B18:F18"/>
    <mergeCell ref="B8:F8"/>
    <mergeCell ref="B9:F10"/>
    <mergeCell ref="B11:F12"/>
    <mergeCell ref="B13:F14"/>
    <mergeCell ref="B7:F7"/>
    <mergeCell ref="B6:F6"/>
    <mergeCell ref="B5:F5"/>
    <mergeCell ref="B1:F1"/>
    <mergeCell ref="B2:F2"/>
    <mergeCell ref="B3:F3"/>
    <mergeCell ref="B4:F4"/>
  </mergeCells>
  <phoneticPr fontId="1" type="noConversion"/>
  <conditionalFormatting sqref="C46:GU65">
    <cfRule type="cellIs" dxfId="2" priority="34" operator="greaterThan">
      <formula>0</formula>
    </cfRule>
  </conditionalFormatting>
  <conditionalFormatting sqref="C105:GT105">
    <cfRule type="cellIs" dxfId="1" priority="33" operator="greaterThanOrEqual">
      <formula>3.375</formula>
    </cfRule>
  </conditionalFormatting>
  <conditionalFormatting sqref="GU105">
    <cfRule type="cellIs" dxfId="0" priority="1" operator="greaterThanOrEqual">
      <formula>3.375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8" scale="33" fitToWidth="3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67"/>
  <sheetViews>
    <sheetView topLeftCell="A186" workbookViewId="0">
      <selection activeCell="H196" sqref="H190:H196"/>
    </sheetView>
  </sheetViews>
  <sheetFormatPr defaultRowHeight="15" x14ac:dyDescent="0.25"/>
  <cols>
    <col min="1" max="1" width="7.5703125" bestFit="1" customWidth="1"/>
    <col min="2" max="2" width="3.7109375" bestFit="1" customWidth="1"/>
    <col min="3" max="3" width="7.5703125" style="1" bestFit="1" customWidth="1"/>
    <col min="4" max="4" width="6.5703125" style="1" bestFit="1" customWidth="1"/>
    <col min="5" max="5" width="6.5703125" style="1" customWidth="1"/>
    <col min="6" max="6" width="5.5703125" style="1" bestFit="1" customWidth="1"/>
    <col min="7" max="7" width="9.7109375" style="1" bestFit="1" customWidth="1"/>
    <col min="8" max="8" width="8" style="1" bestFit="1" customWidth="1"/>
    <col min="9" max="11" width="8" style="13" bestFit="1" customWidth="1"/>
    <col min="12" max="13" width="6.42578125" style="13" bestFit="1" customWidth="1"/>
    <col min="14" max="14" width="6.42578125" style="78" bestFit="1" customWidth="1"/>
    <col min="15" max="16" width="6.42578125" style="13" bestFit="1" customWidth="1"/>
  </cols>
  <sheetData>
    <row r="1" spans="1:15" x14ac:dyDescent="0.25">
      <c r="A1" t="s">
        <v>3</v>
      </c>
      <c r="B1" t="s">
        <v>0</v>
      </c>
      <c r="C1" s="1" t="s">
        <v>1</v>
      </c>
      <c r="D1" s="1" t="s">
        <v>18</v>
      </c>
      <c r="E1" s="1" t="s">
        <v>39</v>
      </c>
      <c r="F1" s="1" t="s">
        <v>2</v>
      </c>
      <c r="G1" s="1" t="s">
        <v>12</v>
      </c>
      <c r="H1" s="1" t="s">
        <v>20</v>
      </c>
      <c r="I1" s="13" t="s">
        <v>21</v>
      </c>
      <c r="J1" s="13" t="s">
        <v>22</v>
      </c>
      <c r="K1" s="13" t="s">
        <v>54</v>
      </c>
      <c r="L1" s="13" t="s">
        <v>8</v>
      </c>
      <c r="M1" s="13" t="s">
        <v>9</v>
      </c>
      <c r="N1" s="78" t="s">
        <v>10</v>
      </c>
      <c r="O1" s="13" t="s">
        <v>11</v>
      </c>
    </row>
    <row r="2" spans="1:15" x14ac:dyDescent="0.25">
      <c r="A2">
        <v>1</v>
      </c>
      <c r="B2">
        <v>1</v>
      </c>
      <c r="C2" s="1">
        <v>576</v>
      </c>
      <c r="D2" s="1">
        <v>7.8899999999999998E-2</v>
      </c>
      <c r="E2" s="1">
        <v>7.6100000000000001E-2</v>
      </c>
      <c r="F2" s="1">
        <v>2.8999999999999998E-3</v>
      </c>
      <c r="G2" s="1">
        <v>0</v>
      </c>
      <c r="H2" s="1">
        <v>56</v>
      </c>
      <c r="I2" s="1">
        <v>7.67</v>
      </c>
      <c r="J2" s="1">
        <v>1.97</v>
      </c>
      <c r="K2" s="1">
        <v>44</v>
      </c>
      <c r="L2" s="13">
        <v>1</v>
      </c>
      <c r="M2" s="13">
        <v>0</v>
      </c>
      <c r="N2" s="78">
        <v>1</v>
      </c>
      <c r="O2" s="13">
        <v>0</v>
      </c>
    </row>
    <row r="3" spans="1:15" x14ac:dyDescent="0.25">
      <c r="A3">
        <v>1</v>
      </c>
      <c r="B3">
        <v>1</v>
      </c>
      <c r="C3" s="1">
        <v>564</v>
      </c>
      <c r="D3" s="1">
        <v>4.7600000000000003E-2</v>
      </c>
      <c r="E3" s="1">
        <v>3.4700000000000002E-2</v>
      </c>
      <c r="F3" s="1">
        <v>1.2999999999999999E-2</v>
      </c>
      <c r="G3" s="1">
        <v>0</v>
      </c>
      <c r="H3" s="1">
        <v>59.4</v>
      </c>
      <c r="I3" s="1">
        <v>5.52</v>
      </c>
      <c r="J3" s="1">
        <v>1.93</v>
      </c>
      <c r="K3" s="1">
        <v>40.6</v>
      </c>
      <c r="L3" s="13">
        <v>1</v>
      </c>
      <c r="M3" s="13">
        <v>0</v>
      </c>
      <c r="N3" s="78">
        <v>1</v>
      </c>
      <c r="O3" s="13">
        <v>0</v>
      </c>
    </row>
    <row r="4" spans="1:15" x14ac:dyDescent="0.25">
      <c r="A4">
        <v>1</v>
      </c>
      <c r="B4">
        <v>1</v>
      </c>
      <c r="C4" s="1">
        <v>552</v>
      </c>
      <c r="D4" s="1">
        <v>4.58E-2</v>
      </c>
      <c r="E4" s="1">
        <v>8.8000000000000005E-3</v>
      </c>
      <c r="F4" s="1">
        <v>3.6999999999999998E-2</v>
      </c>
      <c r="G4" s="1">
        <v>0</v>
      </c>
      <c r="H4" s="1">
        <v>60.5</v>
      </c>
      <c r="I4" s="1">
        <v>4.71</v>
      </c>
      <c r="J4" s="1">
        <v>2.2200000000000002</v>
      </c>
      <c r="K4" s="1">
        <v>39.5</v>
      </c>
      <c r="L4" s="13">
        <v>1</v>
      </c>
      <c r="M4" s="13">
        <v>0</v>
      </c>
      <c r="N4" s="78">
        <v>1</v>
      </c>
      <c r="O4" s="13">
        <v>0</v>
      </c>
    </row>
    <row r="5" spans="1:15" x14ac:dyDescent="0.25">
      <c r="A5">
        <v>1</v>
      </c>
      <c r="B5">
        <v>1</v>
      </c>
      <c r="C5" s="1">
        <v>540</v>
      </c>
      <c r="D5" s="1">
        <v>1.1900000000000001E-2</v>
      </c>
      <c r="E5" s="1">
        <v>1.0800000000000001E-2</v>
      </c>
      <c r="F5" s="1">
        <v>1.1000000000000001E-3</v>
      </c>
      <c r="G5" s="1">
        <v>0</v>
      </c>
      <c r="H5" s="1">
        <v>59.81</v>
      </c>
      <c r="I5" s="1">
        <v>4.74</v>
      </c>
      <c r="J5" s="1">
        <v>1.69</v>
      </c>
      <c r="K5" s="1">
        <v>40.19</v>
      </c>
      <c r="L5" s="13">
        <v>1</v>
      </c>
      <c r="M5" s="13">
        <v>0</v>
      </c>
      <c r="N5" s="78">
        <v>1</v>
      </c>
      <c r="O5" s="13">
        <v>0</v>
      </c>
    </row>
    <row r="6" spans="1:15" x14ac:dyDescent="0.25">
      <c r="A6">
        <v>1</v>
      </c>
      <c r="B6">
        <v>1</v>
      </c>
      <c r="C6" s="1">
        <v>528</v>
      </c>
      <c r="D6" s="1">
        <v>7.4499999999999997E-2</v>
      </c>
      <c r="E6" s="1">
        <v>7.4399999999999994E-2</v>
      </c>
      <c r="F6" s="1">
        <v>2.0000000000000001E-4</v>
      </c>
      <c r="G6" s="1">
        <v>0</v>
      </c>
      <c r="H6" s="1">
        <v>57.23</v>
      </c>
      <c r="I6" s="1">
        <v>5.47</v>
      </c>
      <c r="J6" s="1">
        <v>2.48</v>
      </c>
      <c r="K6" s="1">
        <v>42.77</v>
      </c>
      <c r="L6" s="13">
        <v>1</v>
      </c>
      <c r="M6" s="13">
        <v>0</v>
      </c>
      <c r="N6" s="78">
        <v>1</v>
      </c>
      <c r="O6" s="13">
        <v>0</v>
      </c>
    </row>
    <row r="7" spans="1:15" x14ac:dyDescent="0.25">
      <c r="A7">
        <v>1</v>
      </c>
      <c r="B7">
        <v>2</v>
      </c>
      <c r="C7" s="1">
        <v>564</v>
      </c>
      <c r="D7" s="1">
        <v>0.6774</v>
      </c>
      <c r="E7" s="1">
        <v>0.51919999999999999</v>
      </c>
      <c r="F7" s="1">
        <v>0.1583</v>
      </c>
      <c r="G7" s="1">
        <v>1</v>
      </c>
      <c r="H7" s="1">
        <v>57.48</v>
      </c>
      <c r="I7" s="1">
        <v>6.92</v>
      </c>
      <c r="J7" s="1">
        <v>2.04</v>
      </c>
      <c r="K7" s="1">
        <v>42.52</v>
      </c>
      <c r="L7" s="13">
        <v>0</v>
      </c>
      <c r="M7" s="13">
        <v>1</v>
      </c>
      <c r="N7" s="78">
        <v>1</v>
      </c>
      <c r="O7" s="13">
        <v>0</v>
      </c>
    </row>
    <row r="8" spans="1:15" x14ac:dyDescent="0.25">
      <c r="A8">
        <v>1</v>
      </c>
      <c r="B8">
        <v>2</v>
      </c>
      <c r="C8" s="1">
        <v>552</v>
      </c>
      <c r="D8" s="1">
        <v>1.4464999999999999</v>
      </c>
      <c r="E8" s="1">
        <v>1.0188999999999999</v>
      </c>
      <c r="F8" s="1">
        <v>0.42759999999999998</v>
      </c>
      <c r="G8" s="1">
        <v>1</v>
      </c>
      <c r="H8" s="1">
        <v>58.81</v>
      </c>
      <c r="I8" s="1">
        <v>5.79</v>
      </c>
      <c r="J8" s="1">
        <v>2.2999999999999998</v>
      </c>
      <c r="K8" s="1">
        <v>41.19</v>
      </c>
      <c r="L8" s="13">
        <v>0</v>
      </c>
      <c r="M8" s="13">
        <v>1</v>
      </c>
      <c r="N8" s="78">
        <v>1</v>
      </c>
      <c r="O8" s="13">
        <v>0</v>
      </c>
    </row>
    <row r="9" spans="1:15" x14ac:dyDescent="0.25">
      <c r="A9">
        <v>1</v>
      </c>
      <c r="B9">
        <v>2</v>
      </c>
      <c r="C9" s="1">
        <v>540</v>
      </c>
      <c r="D9" s="1">
        <v>2.6402999999999999</v>
      </c>
      <c r="E9" s="1">
        <v>1.7283999999999999</v>
      </c>
      <c r="F9" s="1">
        <v>0.91190000000000004</v>
      </c>
      <c r="G9" s="1">
        <v>1</v>
      </c>
      <c r="H9" s="1">
        <v>58.69</v>
      </c>
      <c r="I9" s="1">
        <v>5.62</v>
      </c>
      <c r="J9" s="1">
        <v>2.21</v>
      </c>
      <c r="K9" s="1">
        <v>41.31</v>
      </c>
      <c r="L9" s="13">
        <v>0</v>
      </c>
      <c r="M9" s="13">
        <v>1</v>
      </c>
      <c r="N9" s="78">
        <v>1</v>
      </c>
      <c r="O9" s="13">
        <v>0</v>
      </c>
    </row>
    <row r="10" spans="1:15" x14ac:dyDescent="0.25">
      <c r="A10">
        <v>1</v>
      </c>
      <c r="B10">
        <v>2</v>
      </c>
      <c r="C10" s="1">
        <v>528</v>
      </c>
      <c r="D10" s="1">
        <v>4.5655000000000001</v>
      </c>
      <c r="E10" s="1">
        <v>3.3807999999999998</v>
      </c>
      <c r="F10" s="1">
        <v>1.1847000000000001</v>
      </c>
      <c r="G10" s="1">
        <v>1</v>
      </c>
      <c r="H10" s="1">
        <v>58.79</v>
      </c>
      <c r="I10" s="1">
        <v>5.25</v>
      </c>
      <c r="J10" s="1">
        <v>2.1800000000000002</v>
      </c>
      <c r="K10" s="1">
        <v>41.21</v>
      </c>
      <c r="L10" s="13">
        <v>0</v>
      </c>
      <c r="M10" s="13">
        <v>1</v>
      </c>
      <c r="N10" s="78">
        <v>1</v>
      </c>
      <c r="O10" s="13">
        <v>0</v>
      </c>
    </row>
    <row r="11" spans="1:15" x14ac:dyDescent="0.25">
      <c r="A11">
        <v>1</v>
      </c>
      <c r="B11">
        <v>2</v>
      </c>
      <c r="C11" s="1">
        <v>516</v>
      </c>
      <c r="D11" s="1">
        <v>7.9215</v>
      </c>
      <c r="E11" s="1">
        <v>6.6162000000000001</v>
      </c>
      <c r="F11" s="1">
        <v>1.3053999999999999</v>
      </c>
      <c r="G11" s="1">
        <v>1</v>
      </c>
      <c r="H11" s="1">
        <v>59.23</v>
      </c>
      <c r="I11" s="1">
        <v>4.8899999999999997</v>
      </c>
      <c r="J11" s="1">
        <v>2.0699999999999998</v>
      </c>
      <c r="K11" s="1">
        <v>40.770000000000003</v>
      </c>
      <c r="L11" s="13">
        <v>0</v>
      </c>
      <c r="M11" s="13">
        <v>1</v>
      </c>
      <c r="N11" s="78">
        <v>1</v>
      </c>
      <c r="O11" s="13">
        <v>0</v>
      </c>
    </row>
    <row r="12" spans="1:15" x14ac:dyDescent="0.25">
      <c r="A12">
        <v>1</v>
      </c>
      <c r="B12">
        <v>2</v>
      </c>
      <c r="C12" s="1">
        <v>504</v>
      </c>
      <c r="D12" s="1">
        <v>9.1271000000000004</v>
      </c>
      <c r="E12" s="1">
        <v>7.8067000000000002</v>
      </c>
      <c r="F12" s="1">
        <v>1.3204</v>
      </c>
      <c r="G12" s="1">
        <v>1</v>
      </c>
      <c r="H12" s="1">
        <v>59.35</v>
      </c>
      <c r="I12" s="1">
        <v>4.7300000000000004</v>
      </c>
      <c r="J12" s="1">
        <v>2.1800000000000002</v>
      </c>
      <c r="K12" s="1">
        <v>40.65</v>
      </c>
      <c r="L12" s="13">
        <v>0</v>
      </c>
      <c r="M12" s="13">
        <v>1</v>
      </c>
      <c r="N12" s="78">
        <v>1</v>
      </c>
      <c r="O12" s="13">
        <v>0</v>
      </c>
    </row>
    <row r="13" spans="1:15" x14ac:dyDescent="0.25">
      <c r="A13">
        <v>1</v>
      </c>
      <c r="B13">
        <v>2</v>
      </c>
      <c r="C13" s="1">
        <v>492</v>
      </c>
      <c r="D13" s="1">
        <v>8.3635000000000002</v>
      </c>
      <c r="E13" s="1">
        <v>7.0046999999999997</v>
      </c>
      <c r="F13" s="1">
        <v>1.3588</v>
      </c>
      <c r="G13" s="1">
        <v>1</v>
      </c>
      <c r="H13" s="1">
        <v>59.22</v>
      </c>
      <c r="I13" s="1">
        <v>4.57</v>
      </c>
      <c r="J13" s="1">
        <v>2.04</v>
      </c>
      <c r="K13" s="1">
        <v>40.78</v>
      </c>
      <c r="L13" s="13">
        <v>0</v>
      </c>
      <c r="M13" s="13">
        <v>1</v>
      </c>
      <c r="N13" s="78">
        <v>1</v>
      </c>
      <c r="O13" s="13">
        <v>0</v>
      </c>
    </row>
    <row r="14" spans="1:15" x14ac:dyDescent="0.25">
      <c r="A14">
        <v>1</v>
      </c>
      <c r="B14">
        <v>2</v>
      </c>
      <c r="C14" s="1">
        <v>480</v>
      </c>
      <c r="D14" s="1">
        <v>4.1573000000000002</v>
      </c>
      <c r="E14" s="1">
        <v>3.4285999999999999</v>
      </c>
      <c r="F14" s="1">
        <v>0.7288</v>
      </c>
      <c r="G14" s="1">
        <v>0.54549999999999998</v>
      </c>
      <c r="H14" s="1">
        <v>59.36</v>
      </c>
      <c r="I14" s="1">
        <v>4.25</v>
      </c>
      <c r="J14" s="1">
        <v>1.97</v>
      </c>
      <c r="K14" s="1">
        <v>40.64</v>
      </c>
      <c r="L14" s="13">
        <v>0</v>
      </c>
      <c r="M14" s="13">
        <v>1</v>
      </c>
      <c r="N14" s="78">
        <v>1</v>
      </c>
      <c r="O14" s="13">
        <v>0</v>
      </c>
    </row>
    <row r="15" spans="1:15" x14ac:dyDescent="0.25">
      <c r="A15">
        <v>1</v>
      </c>
      <c r="B15">
        <v>7</v>
      </c>
      <c r="C15" s="1">
        <v>540</v>
      </c>
      <c r="D15" s="1">
        <v>3.4200000000000001E-2</v>
      </c>
      <c r="E15" s="1">
        <v>3.4200000000000001E-2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3">
        <v>1</v>
      </c>
      <c r="M15" s="13">
        <v>0</v>
      </c>
      <c r="N15" s="78">
        <v>0</v>
      </c>
      <c r="O15" s="13">
        <v>1</v>
      </c>
    </row>
    <row r="16" spans="1:15" x14ac:dyDescent="0.25">
      <c r="A16">
        <v>1</v>
      </c>
      <c r="B16">
        <v>7</v>
      </c>
      <c r="C16" s="1">
        <v>528</v>
      </c>
      <c r="D16" s="1">
        <v>0.16009999999999999</v>
      </c>
      <c r="E16" s="1">
        <v>0.16009999999999999</v>
      </c>
      <c r="F16" s="1">
        <v>0</v>
      </c>
      <c r="G16" s="1">
        <v>1</v>
      </c>
      <c r="H16" s="1">
        <v>0</v>
      </c>
      <c r="I16" s="1">
        <v>0</v>
      </c>
      <c r="J16" s="1">
        <v>0</v>
      </c>
      <c r="K16" s="1">
        <v>0</v>
      </c>
      <c r="L16" s="13">
        <v>1</v>
      </c>
      <c r="M16" s="13">
        <v>0</v>
      </c>
      <c r="N16" s="78">
        <v>0</v>
      </c>
      <c r="O16" s="13">
        <v>1</v>
      </c>
    </row>
    <row r="17" spans="1:21" x14ac:dyDescent="0.25">
      <c r="A17">
        <v>1</v>
      </c>
      <c r="B17">
        <v>7</v>
      </c>
      <c r="C17" s="1">
        <v>516</v>
      </c>
      <c r="D17" s="1">
        <v>1.14E-2</v>
      </c>
      <c r="E17" s="1">
        <v>1.14E-2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3">
        <v>1</v>
      </c>
      <c r="M17" s="13">
        <v>0</v>
      </c>
      <c r="N17" s="78">
        <v>0</v>
      </c>
      <c r="O17" s="13">
        <v>1</v>
      </c>
    </row>
    <row r="18" spans="1:21" x14ac:dyDescent="0.25">
      <c r="A18">
        <v>1</v>
      </c>
      <c r="B18">
        <v>7</v>
      </c>
      <c r="C18" s="1">
        <v>504</v>
      </c>
      <c r="D18" s="1">
        <v>1E-3</v>
      </c>
      <c r="E18" s="1">
        <v>1E-3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3">
        <v>1</v>
      </c>
      <c r="M18" s="13">
        <v>0</v>
      </c>
      <c r="N18" s="78">
        <v>0</v>
      </c>
      <c r="O18" s="13">
        <v>1</v>
      </c>
    </row>
    <row r="19" spans="1:21" x14ac:dyDescent="0.25">
      <c r="A19">
        <v>1</v>
      </c>
      <c r="B19">
        <v>8</v>
      </c>
      <c r="C19" s="1">
        <v>540</v>
      </c>
      <c r="D19" s="1">
        <v>8.9099999999999999E-2</v>
      </c>
      <c r="E19" s="1">
        <v>5.7299999999999997E-2</v>
      </c>
      <c r="F19" s="1">
        <v>3.1899999999999998E-2</v>
      </c>
      <c r="G19" s="1">
        <v>0.1429</v>
      </c>
      <c r="H19" s="1">
        <v>64.150000000000006</v>
      </c>
      <c r="I19" s="1">
        <v>2.87</v>
      </c>
      <c r="J19" s="1">
        <v>2.5299999999999998</v>
      </c>
      <c r="K19" s="1">
        <v>35.85</v>
      </c>
      <c r="L19" s="13">
        <v>0</v>
      </c>
      <c r="M19" s="13">
        <v>1</v>
      </c>
      <c r="N19" s="78">
        <v>0</v>
      </c>
      <c r="O19" s="13">
        <v>1</v>
      </c>
    </row>
    <row r="20" spans="1:21" x14ac:dyDescent="0.25">
      <c r="A20">
        <v>1</v>
      </c>
      <c r="B20">
        <v>9</v>
      </c>
      <c r="C20" s="1">
        <v>552</v>
      </c>
      <c r="D20" s="1">
        <v>7.3200000000000001E-2</v>
      </c>
      <c r="E20" s="1">
        <v>7.3200000000000001E-2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3">
        <v>1</v>
      </c>
      <c r="M20" s="13">
        <v>0</v>
      </c>
      <c r="N20" s="78">
        <v>0</v>
      </c>
      <c r="O20" s="13">
        <v>1</v>
      </c>
    </row>
    <row r="21" spans="1:21" x14ac:dyDescent="0.25">
      <c r="A21">
        <v>1</v>
      </c>
      <c r="B21">
        <v>9</v>
      </c>
      <c r="C21" s="1">
        <v>540</v>
      </c>
      <c r="D21" s="1">
        <v>0.1179</v>
      </c>
      <c r="E21" s="1">
        <v>0.1179</v>
      </c>
      <c r="F21" s="1">
        <v>0</v>
      </c>
      <c r="G21" s="1">
        <v>1</v>
      </c>
      <c r="H21" s="1">
        <v>0</v>
      </c>
      <c r="I21" s="1">
        <v>0</v>
      </c>
      <c r="J21" s="1">
        <v>0</v>
      </c>
      <c r="K21" s="1">
        <v>0</v>
      </c>
      <c r="L21" s="13">
        <v>1</v>
      </c>
      <c r="M21" s="13">
        <v>0</v>
      </c>
      <c r="N21" s="78">
        <v>0</v>
      </c>
      <c r="O21" s="13">
        <v>1</v>
      </c>
    </row>
    <row r="22" spans="1:21" x14ac:dyDescent="0.25">
      <c r="A22">
        <v>1</v>
      </c>
      <c r="B22">
        <v>9</v>
      </c>
      <c r="C22" s="1">
        <v>528</v>
      </c>
      <c r="D22" s="1">
        <v>2.8500000000000001E-2</v>
      </c>
      <c r="E22" s="1">
        <v>2.8500000000000001E-2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3">
        <v>1</v>
      </c>
      <c r="M22" s="13">
        <v>0</v>
      </c>
      <c r="N22" s="78">
        <v>0</v>
      </c>
      <c r="O22" s="13">
        <v>1</v>
      </c>
    </row>
    <row r="23" spans="1:21" x14ac:dyDescent="0.25">
      <c r="A23">
        <v>1</v>
      </c>
      <c r="B23">
        <v>9</v>
      </c>
      <c r="C23" s="1">
        <v>516</v>
      </c>
      <c r="D23" s="1">
        <v>1E-3</v>
      </c>
      <c r="E23" s="1">
        <v>1E-3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3">
        <v>1</v>
      </c>
      <c r="M23" s="13">
        <v>0</v>
      </c>
      <c r="N23" s="78">
        <v>0</v>
      </c>
      <c r="O23" s="13">
        <v>1</v>
      </c>
    </row>
    <row r="24" spans="1:21" x14ac:dyDescent="0.25">
      <c r="A24">
        <v>1</v>
      </c>
      <c r="B24">
        <v>10</v>
      </c>
      <c r="C24" s="1">
        <v>552</v>
      </c>
      <c r="D24" s="1">
        <v>3.6900000000000002E-2</v>
      </c>
      <c r="E24" s="1">
        <v>2.3699999999999999E-2</v>
      </c>
      <c r="F24" s="1">
        <v>1.32E-2</v>
      </c>
      <c r="G24" s="1">
        <v>0</v>
      </c>
      <c r="H24" s="1">
        <v>60.85</v>
      </c>
      <c r="I24" s="1">
        <v>2.91</v>
      </c>
      <c r="J24" s="1">
        <v>2.4</v>
      </c>
      <c r="K24" s="1">
        <v>39.15</v>
      </c>
      <c r="L24" s="13">
        <v>0</v>
      </c>
      <c r="M24" s="13">
        <v>1</v>
      </c>
      <c r="N24" s="78">
        <v>0</v>
      </c>
      <c r="O24" s="13">
        <v>1</v>
      </c>
    </row>
    <row r="25" spans="1:21" x14ac:dyDescent="0.25">
      <c r="A25">
        <v>1</v>
      </c>
      <c r="B25">
        <v>13</v>
      </c>
      <c r="C25" s="1">
        <v>576</v>
      </c>
      <c r="D25" s="1">
        <v>2.7000000000000001E-3</v>
      </c>
      <c r="E25" s="1">
        <v>2.7000000000000001E-3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3">
        <v>1</v>
      </c>
      <c r="M25" s="13">
        <v>0</v>
      </c>
      <c r="N25" s="78">
        <v>0</v>
      </c>
      <c r="O25" s="13">
        <v>1</v>
      </c>
    </row>
    <row r="26" spans="1:21" x14ac:dyDescent="0.25">
      <c r="A26">
        <v>1</v>
      </c>
      <c r="B26">
        <v>13</v>
      </c>
      <c r="C26" s="1">
        <v>564</v>
      </c>
      <c r="D26" s="1">
        <v>6.83E-2</v>
      </c>
      <c r="E26" s="1">
        <v>6.83E-2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3">
        <v>1</v>
      </c>
      <c r="M26" s="13">
        <v>0</v>
      </c>
      <c r="N26" s="78">
        <v>0</v>
      </c>
      <c r="O26" s="13">
        <v>1</v>
      </c>
    </row>
    <row r="27" spans="1:21" x14ac:dyDescent="0.25">
      <c r="A27">
        <v>1</v>
      </c>
      <c r="B27">
        <v>13</v>
      </c>
      <c r="C27" s="1">
        <v>552</v>
      </c>
      <c r="D27" s="1">
        <v>1.9199999999999998E-2</v>
      </c>
      <c r="E27" s="1">
        <v>1.9199999999999998E-2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3">
        <v>1</v>
      </c>
      <c r="M27" s="13">
        <v>0</v>
      </c>
      <c r="N27" s="78">
        <v>0</v>
      </c>
      <c r="O27" s="13">
        <v>1</v>
      </c>
    </row>
    <row r="28" spans="1:21" x14ac:dyDescent="0.25">
      <c r="A28">
        <v>1</v>
      </c>
      <c r="B28">
        <v>13</v>
      </c>
      <c r="C28" s="1">
        <v>540</v>
      </c>
      <c r="D28" s="1">
        <v>6.4999999999999997E-3</v>
      </c>
      <c r="E28" s="1">
        <v>6.4999999999999997E-3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3">
        <v>1</v>
      </c>
      <c r="M28" s="13">
        <v>0</v>
      </c>
      <c r="N28" s="78">
        <v>0</v>
      </c>
      <c r="O28" s="13">
        <v>1</v>
      </c>
    </row>
    <row r="29" spans="1:21" x14ac:dyDescent="0.25">
      <c r="A29">
        <v>1</v>
      </c>
      <c r="B29">
        <v>14</v>
      </c>
      <c r="C29" s="1">
        <v>576</v>
      </c>
      <c r="D29" s="1">
        <v>2.0000000000000001E-4</v>
      </c>
      <c r="E29" s="1">
        <v>2.0000000000000001E-4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3">
        <v>0</v>
      </c>
      <c r="M29" s="13">
        <v>1</v>
      </c>
      <c r="N29" s="78">
        <v>0</v>
      </c>
      <c r="O29" s="13">
        <v>1</v>
      </c>
    </row>
    <row r="30" spans="1:21" x14ac:dyDescent="0.25">
      <c r="A30">
        <v>1</v>
      </c>
      <c r="B30">
        <v>14</v>
      </c>
      <c r="C30" s="1">
        <v>564</v>
      </c>
      <c r="D30" s="1">
        <v>0.1905</v>
      </c>
      <c r="E30" s="1">
        <v>0.19009999999999999</v>
      </c>
      <c r="F30" s="1">
        <v>5.0000000000000001E-4</v>
      </c>
      <c r="G30" s="1">
        <v>1</v>
      </c>
      <c r="H30" s="1">
        <v>59.07</v>
      </c>
      <c r="I30" s="1">
        <v>5.95</v>
      </c>
      <c r="J30" s="1">
        <v>2.13</v>
      </c>
      <c r="K30" s="1">
        <v>40.93</v>
      </c>
      <c r="L30" s="13">
        <v>0</v>
      </c>
      <c r="M30" s="13">
        <v>1</v>
      </c>
      <c r="N30" s="78">
        <v>0</v>
      </c>
      <c r="O30" s="13">
        <v>1</v>
      </c>
    </row>
    <row r="31" spans="1:21" x14ac:dyDescent="0.25">
      <c r="A31">
        <v>1</v>
      </c>
      <c r="B31">
        <v>15</v>
      </c>
      <c r="C31" s="1">
        <v>576</v>
      </c>
      <c r="D31" s="1">
        <v>8.8599999999999998E-2</v>
      </c>
      <c r="E31" s="1">
        <v>8.8599999999999998E-2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3">
        <v>1</v>
      </c>
      <c r="M31" s="13">
        <v>0</v>
      </c>
      <c r="N31" s="78">
        <v>0</v>
      </c>
      <c r="O31" s="13">
        <v>1</v>
      </c>
      <c r="Q31" s="1"/>
      <c r="R31" s="1"/>
      <c r="S31" s="1"/>
      <c r="T31" s="1"/>
      <c r="U31" s="1"/>
    </row>
    <row r="32" spans="1:21" x14ac:dyDescent="0.25">
      <c r="A32">
        <v>1</v>
      </c>
      <c r="B32">
        <v>15</v>
      </c>
      <c r="C32" s="1">
        <v>564</v>
      </c>
      <c r="D32" s="1">
        <v>1.84E-2</v>
      </c>
      <c r="E32" s="1">
        <v>1.84E-2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3">
        <v>1</v>
      </c>
      <c r="M32" s="13">
        <v>0</v>
      </c>
      <c r="N32" s="78">
        <v>0</v>
      </c>
      <c r="O32" s="13">
        <v>1</v>
      </c>
    </row>
    <row r="33" spans="1:15" x14ac:dyDescent="0.25">
      <c r="A33">
        <v>1</v>
      </c>
      <c r="B33">
        <v>16</v>
      </c>
      <c r="C33" s="1">
        <v>576</v>
      </c>
      <c r="D33" s="1">
        <v>4.6300000000000001E-2</v>
      </c>
      <c r="E33" s="1">
        <v>4.6100000000000002E-2</v>
      </c>
      <c r="F33" s="1">
        <v>2.0000000000000001E-4</v>
      </c>
      <c r="G33" s="1">
        <v>0</v>
      </c>
      <c r="H33" s="1">
        <v>57.37</v>
      </c>
      <c r="I33" s="1">
        <v>7.44</v>
      </c>
      <c r="J33" s="1">
        <v>2.38</v>
      </c>
      <c r="K33" s="1">
        <v>42.63</v>
      </c>
      <c r="L33" s="13">
        <v>0</v>
      </c>
      <c r="M33" s="13">
        <v>1</v>
      </c>
      <c r="N33" s="78">
        <v>0</v>
      </c>
      <c r="O33" s="13">
        <v>1</v>
      </c>
    </row>
    <row r="34" spans="1:15" x14ac:dyDescent="0.25">
      <c r="A34">
        <v>1</v>
      </c>
      <c r="B34">
        <v>17</v>
      </c>
      <c r="C34" s="1">
        <v>564</v>
      </c>
      <c r="D34" s="1">
        <v>1.1999999999999999E-3</v>
      </c>
      <c r="E34" s="1">
        <v>1.1999999999999999E-3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3">
        <v>1</v>
      </c>
      <c r="M34" s="13">
        <v>0</v>
      </c>
      <c r="N34" s="78">
        <v>0</v>
      </c>
      <c r="O34" s="13">
        <v>1</v>
      </c>
    </row>
    <row r="35" spans="1:15" x14ac:dyDescent="0.25">
      <c r="A35">
        <v>1</v>
      </c>
      <c r="B35">
        <v>17</v>
      </c>
      <c r="C35" s="1">
        <v>552</v>
      </c>
      <c r="D35" s="1">
        <v>8.5999999999999993E-2</v>
      </c>
      <c r="E35" s="1">
        <v>8.5999999999999993E-2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3">
        <v>1</v>
      </c>
      <c r="M35" s="13">
        <v>0</v>
      </c>
      <c r="N35" s="78">
        <v>0</v>
      </c>
      <c r="O35" s="13">
        <v>1</v>
      </c>
    </row>
    <row r="36" spans="1:15" x14ac:dyDescent="0.25">
      <c r="A36">
        <v>1</v>
      </c>
      <c r="B36">
        <v>17</v>
      </c>
      <c r="C36" s="1">
        <v>540</v>
      </c>
      <c r="D36" s="1">
        <v>3.7000000000000002E-3</v>
      </c>
      <c r="E36" s="1">
        <v>3.7000000000000002E-3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3">
        <v>1</v>
      </c>
      <c r="M36" s="13">
        <v>0</v>
      </c>
      <c r="N36" s="78">
        <v>0</v>
      </c>
      <c r="O36" s="13">
        <v>1</v>
      </c>
    </row>
    <row r="37" spans="1:15" x14ac:dyDescent="0.25">
      <c r="A37">
        <v>1</v>
      </c>
      <c r="B37">
        <v>18</v>
      </c>
      <c r="C37" s="1">
        <v>540</v>
      </c>
      <c r="D37" s="1">
        <v>8.5199999999999998E-2</v>
      </c>
      <c r="E37" s="1">
        <v>8.1500000000000003E-2</v>
      </c>
      <c r="F37" s="1">
        <v>3.7000000000000002E-3</v>
      </c>
      <c r="G37" s="1">
        <v>0.1429</v>
      </c>
      <c r="H37" s="1">
        <v>58.1</v>
      </c>
      <c r="I37" s="1">
        <v>7</v>
      </c>
      <c r="J37" s="1">
        <v>2.52</v>
      </c>
      <c r="K37" s="1">
        <v>41.9</v>
      </c>
      <c r="L37" s="13">
        <v>0</v>
      </c>
      <c r="M37" s="13">
        <v>1</v>
      </c>
      <c r="N37" s="78">
        <v>0</v>
      </c>
      <c r="O37" s="13">
        <v>1</v>
      </c>
    </row>
    <row r="38" spans="1:15" x14ac:dyDescent="0.25">
      <c r="A38">
        <v>1</v>
      </c>
      <c r="B38">
        <v>19</v>
      </c>
      <c r="C38" s="1">
        <v>564</v>
      </c>
      <c r="D38" s="1">
        <v>1E-4</v>
      </c>
      <c r="E38" s="1">
        <v>1E-4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3">
        <v>1</v>
      </c>
      <c r="M38" s="13">
        <v>0</v>
      </c>
      <c r="N38" s="78">
        <v>0</v>
      </c>
      <c r="O38" s="13">
        <v>1</v>
      </c>
    </row>
    <row r="39" spans="1:15" x14ac:dyDescent="0.25">
      <c r="A39">
        <v>1</v>
      </c>
      <c r="B39">
        <v>19</v>
      </c>
      <c r="C39" s="1">
        <v>552</v>
      </c>
      <c r="D39" s="1">
        <v>3.4700000000000002E-2</v>
      </c>
      <c r="E39" s="1">
        <v>3.4700000000000002E-2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3">
        <v>1</v>
      </c>
      <c r="M39" s="13">
        <v>0</v>
      </c>
      <c r="N39" s="78">
        <v>0</v>
      </c>
      <c r="O39" s="13">
        <v>1</v>
      </c>
    </row>
    <row r="40" spans="1:15" x14ac:dyDescent="0.25">
      <c r="A40">
        <v>1</v>
      </c>
      <c r="B40">
        <v>19</v>
      </c>
      <c r="C40" s="1">
        <v>540</v>
      </c>
      <c r="D40" s="1">
        <v>2.07E-2</v>
      </c>
      <c r="E40" s="1">
        <v>2.07E-2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3">
        <v>1</v>
      </c>
      <c r="M40" s="13">
        <v>0</v>
      </c>
      <c r="N40" s="78">
        <v>0</v>
      </c>
      <c r="O40" s="13">
        <v>1</v>
      </c>
    </row>
    <row r="41" spans="1:15" x14ac:dyDescent="0.25">
      <c r="A41">
        <v>1</v>
      </c>
      <c r="B41">
        <v>19</v>
      </c>
      <c r="C41" s="1">
        <v>528</v>
      </c>
      <c r="D41" s="1">
        <v>8.0000000000000002E-3</v>
      </c>
      <c r="E41" s="1">
        <v>8.0000000000000002E-3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3">
        <v>1</v>
      </c>
      <c r="M41" s="13">
        <v>0</v>
      </c>
      <c r="N41" s="78">
        <v>0</v>
      </c>
      <c r="O41" s="13">
        <v>1</v>
      </c>
    </row>
    <row r="42" spans="1:15" x14ac:dyDescent="0.25">
      <c r="A42">
        <v>1</v>
      </c>
      <c r="B42">
        <v>20</v>
      </c>
      <c r="C42" s="1">
        <v>552</v>
      </c>
      <c r="D42" s="1">
        <v>5.6599999999999998E-2</v>
      </c>
      <c r="E42" s="1">
        <v>5.5800000000000002E-2</v>
      </c>
      <c r="F42" s="1">
        <v>8.0000000000000004E-4</v>
      </c>
      <c r="G42" s="1">
        <v>0</v>
      </c>
      <c r="H42" s="1">
        <v>57.68</v>
      </c>
      <c r="I42" s="1">
        <v>7.85</v>
      </c>
      <c r="J42" s="1">
        <v>2.75</v>
      </c>
      <c r="K42" s="1">
        <v>42.32</v>
      </c>
      <c r="L42" s="13">
        <v>0</v>
      </c>
      <c r="M42" s="13">
        <v>1</v>
      </c>
      <c r="N42" s="78">
        <v>0</v>
      </c>
      <c r="O42" s="13">
        <v>1</v>
      </c>
    </row>
    <row r="43" spans="1:15" x14ac:dyDescent="0.25">
      <c r="A43">
        <v>2</v>
      </c>
      <c r="B43">
        <v>2</v>
      </c>
      <c r="C43" s="1">
        <v>480</v>
      </c>
      <c r="D43" s="1">
        <v>3.4643999999999999</v>
      </c>
      <c r="E43" s="1">
        <v>2.8571</v>
      </c>
      <c r="F43" s="1">
        <v>0.60729999999999995</v>
      </c>
      <c r="G43" s="1">
        <v>0.45450000000000002</v>
      </c>
      <c r="H43" s="1">
        <v>59.36</v>
      </c>
      <c r="I43" s="1">
        <v>4.25</v>
      </c>
      <c r="J43" s="1">
        <v>1.97</v>
      </c>
      <c r="K43" s="1">
        <v>40.64</v>
      </c>
      <c r="L43" s="13">
        <v>0</v>
      </c>
      <c r="M43" s="13">
        <v>1</v>
      </c>
      <c r="N43" s="78">
        <v>1</v>
      </c>
      <c r="O43" s="13">
        <v>0</v>
      </c>
    </row>
    <row r="44" spans="1:15" x14ac:dyDescent="0.25">
      <c r="A44">
        <v>2</v>
      </c>
      <c r="B44">
        <v>2</v>
      </c>
      <c r="C44" s="1">
        <v>468</v>
      </c>
      <c r="D44" s="1">
        <v>6.9127000000000001</v>
      </c>
      <c r="E44" s="1">
        <v>5.6932999999999998</v>
      </c>
      <c r="F44" s="1">
        <v>1.2193000000000001</v>
      </c>
      <c r="G44" s="1">
        <v>1</v>
      </c>
      <c r="H44" s="1">
        <v>59.47</v>
      </c>
      <c r="I44" s="1">
        <v>4.0199999999999996</v>
      </c>
      <c r="J44" s="1">
        <v>1.91</v>
      </c>
      <c r="K44" s="1">
        <v>40.53</v>
      </c>
      <c r="L44" s="13">
        <v>0</v>
      </c>
      <c r="M44" s="13">
        <v>1</v>
      </c>
      <c r="N44" s="78">
        <v>1</v>
      </c>
      <c r="O44" s="13">
        <v>0</v>
      </c>
    </row>
    <row r="45" spans="1:15" x14ac:dyDescent="0.25">
      <c r="A45">
        <v>2</v>
      </c>
      <c r="B45">
        <v>2</v>
      </c>
      <c r="C45" s="1">
        <v>456</v>
      </c>
      <c r="D45" s="1">
        <v>6.2285000000000004</v>
      </c>
      <c r="E45" s="1">
        <v>5.0698999999999996</v>
      </c>
      <c r="F45" s="1">
        <v>1.1586000000000001</v>
      </c>
      <c r="G45" s="1">
        <v>1</v>
      </c>
      <c r="H45" s="1">
        <v>59.58</v>
      </c>
      <c r="I45" s="1">
        <v>3.85</v>
      </c>
      <c r="J45" s="1">
        <v>1.82</v>
      </c>
      <c r="K45" s="1">
        <v>40.42</v>
      </c>
      <c r="L45" s="13">
        <v>0</v>
      </c>
      <c r="M45" s="13">
        <v>1</v>
      </c>
      <c r="N45" s="78">
        <v>1</v>
      </c>
      <c r="O45" s="13">
        <v>0</v>
      </c>
    </row>
    <row r="46" spans="1:15" x14ac:dyDescent="0.25">
      <c r="A46">
        <v>2</v>
      </c>
      <c r="B46">
        <v>2</v>
      </c>
      <c r="C46" s="1">
        <v>444</v>
      </c>
      <c r="D46" s="1">
        <v>5.6391999999999998</v>
      </c>
      <c r="E46" s="1">
        <v>4.5757000000000003</v>
      </c>
      <c r="F46" s="1">
        <v>1.0633999999999999</v>
      </c>
      <c r="G46" s="1">
        <v>1</v>
      </c>
      <c r="H46" s="1">
        <v>58.9</v>
      </c>
      <c r="I46" s="1">
        <v>4.6399999999999997</v>
      </c>
      <c r="J46" s="1">
        <v>1.83</v>
      </c>
      <c r="K46" s="1">
        <v>41.1</v>
      </c>
      <c r="L46" s="13">
        <v>0</v>
      </c>
      <c r="M46" s="13">
        <v>1</v>
      </c>
      <c r="N46" s="78">
        <v>1</v>
      </c>
      <c r="O46" s="13">
        <v>0</v>
      </c>
    </row>
    <row r="47" spans="1:15" x14ac:dyDescent="0.25">
      <c r="A47">
        <v>2</v>
      </c>
      <c r="B47">
        <v>2</v>
      </c>
      <c r="C47" s="1">
        <v>432</v>
      </c>
      <c r="D47" s="1">
        <v>5.0514000000000001</v>
      </c>
      <c r="E47" s="1">
        <v>4.1356000000000002</v>
      </c>
      <c r="F47" s="1">
        <v>0.91579999999999995</v>
      </c>
      <c r="G47" s="1">
        <v>1</v>
      </c>
      <c r="H47" s="1">
        <v>59.02</v>
      </c>
      <c r="I47" s="1">
        <v>4.57</v>
      </c>
      <c r="J47" s="1">
        <v>1.82</v>
      </c>
      <c r="K47" s="1">
        <v>40.98</v>
      </c>
      <c r="L47" s="13">
        <v>0</v>
      </c>
      <c r="M47" s="13">
        <v>1</v>
      </c>
      <c r="N47" s="78">
        <v>1</v>
      </c>
      <c r="O47" s="13">
        <v>0</v>
      </c>
    </row>
    <row r="48" spans="1:15" x14ac:dyDescent="0.25">
      <c r="A48">
        <v>2</v>
      </c>
      <c r="B48">
        <v>2</v>
      </c>
      <c r="C48" s="1">
        <v>420</v>
      </c>
      <c r="D48" s="1">
        <v>4.4759000000000002</v>
      </c>
      <c r="E48" s="1">
        <v>3.6012</v>
      </c>
      <c r="F48" s="1">
        <v>0.87470000000000003</v>
      </c>
      <c r="G48" s="1">
        <v>1</v>
      </c>
      <c r="H48" s="1">
        <v>59.1</v>
      </c>
      <c r="I48" s="1">
        <v>4.66</v>
      </c>
      <c r="J48" s="1">
        <v>1.8</v>
      </c>
      <c r="K48" s="1">
        <v>40.9</v>
      </c>
      <c r="L48" s="13">
        <v>0</v>
      </c>
      <c r="M48" s="13">
        <v>1</v>
      </c>
      <c r="N48" s="78">
        <v>1</v>
      </c>
      <c r="O48" s="13">
        <v>0</v>
      </c>
    </row>
    <row r="49" spans="1:15" x14ac:dyDescent="0.25">
      <c r="A49">
        <v>2</v>
      </c>
      <c r="B49">
        <v>2</v>
      </c>
      <c r="C49" s="1">
        <v>408</v>
      </c>
      <c r="D49" s="1">
        <v>3.9068999999999998</v>
      </c>
      <c r="E49" s="1">
        <v>3.1225999999999998</v>
      </c>
      <c r="F49" s="1">
        <v>0.78420000000000001</v>
      </c>
      <c r="G49" s="1">
        <v>1</v>
      </c>
      <c r="H49" s="1">
        <v>59.52</v>
      </c>
      <c r="I49" s="1">
        <v>4.55</v>
      </c>
      <c r="J49" s="1">
        <v>1.73</v>
      </c>
      <c r="K49" s="1">
        <v>40.479999999999997</v>
      </c>
      <c r="L49" s="13">
        <v>0</v>
      </c>
      <c r="M49" s="13">
        <v>1</v>
      </c>
      <c r="N49" s="78">
        <v>1</v>
      </c>
      <c r="O49" s="13">
        <v>0</v>
      </c>
    </row>
    <row r="50" spans="1:15" x14ac:dyDescent="0.25">
      <c r="A50">
        <v>2</v>
      </c>
      <c r="B50">
        <v>2</v>
      </c>
      <c r="C50" s="1">
        <v>396</v>
      </c>
      <c r="D50" s="1">
        <v>1.458</v>
      </c>
      <c r="E50" s="1">
        <v>1.0692999999999999</v>
      </c>
      <c r="F50" s="1">
        <v>0.38869999999999999</v>
      </c>
      <c r="G50" s="1">
        <v>0.42859999999999998</v>
      </c>
      <c r="H50" s="1">
        <v>59.21</v>
      </c>
      <c r="I50" s="1">
        <v>5.22</v>
      </c>
      <c r="J50" s="1">
        <v>1.57</v>
      </c>
      <c r="K50" s="1">
        <v>40.79</v>
      </c>
      <c r="L50" s="13">
        <v>0</v>
      </c>
      <c r="M50" s="13">
        <v>1</v>
      </c>
      <c r="N50" s="78">
        <v>1</v>
      </c>
      <c r="O50" s="13">
        <v>0</v>
      </c>
    </row>
    <row r="51" spans="1:15" x14ac:dyDescent="0.25">
      <c r="A51">
        <v>2</v>
      </c>
      <c r="B51">
        <v>8</v>
      </c>
      <c r="C51" s="1">
        <v>540</v>
      </c>
      <c r="D51" s="1">
        <v>0.53480000000000005</v>
      </c>
      <c r="E51" s="1">
        <v>0.34370000000000001</v>
      </c>
      <c r="F51" s="1">
        <v>0.19109999999999999</v>
      </c>
      <c r="G51" s="1">
        <v>0.85709999999999997</v>
      </c>
      <c r="H51" s="1">
        <v>64.150000000000006</v>
      </c>
      <c r="I51" s="1">
        <v>2.87</v>
      </c>
      <c r="J51" s="1">
        <v>2.5299999999999998</v>
      </c>
      <c r="K51" s="1">
        <v>35.85</v>
      </c>
      <c r="L51" s="13">
        <v>0</v>
      </c>
      <c r="M51" s="13">
        <v>1</v>
      </c>
      <c r="N51" s="78">
        <v>0</v>
      </c>
      <c r="O51" s="13">
        <v>1</v>
      </c>
    </row>
    <row r="52" spans="1:15" x14ac:dyDescent="0.25">
      <c r="A52">
        <v>2</v>
      </c>
      <c r="B52">
        <v>8</v>
      </c>
      <c r="C52" s="1">
        <v>528</v>
      </c>
      <c r="D52" s="1">
        <v>2.7080000000000002</v>
      </c>
      <c r="E52" s="1">
        <v>2.1421999999999999</v>
      </c>
      <c r="F52" s="1">
        <v>0.56579999999999997</v>
      </c>
      <c r="G52" s="1">
        <v>1</v>
      </c>
      <c r="H52" s="1">
        <v>64.489999999999995</v>
      </c>
      <c r="I52" s="1">
        <v>2.8</v>
      </c>
      <c r="J52" s="1">
        <v>2.4900000000000002</v>
      </c>
      <c r="K52" s="1">
        <v>35.51</v>
      </c>
      <c r="L52" s="13">
        <v>0</v>
      </c>
      <c r="M52" s="13">
        <v>1</v>
      </c>
      <c r="N52" s="78">
        <v>0</v>
      </c>
      <c r="O52" s="13">
        <v>1</v>
      </c>
    </row>
    <row r="53" spans="1:15" x14ac:dyDescent="0.25">
      <c r="A53">
        <v>2</v>
      </c>
      <c r="B53">
        <v>8</v>
      </c>
      <c r="C53" s="1">
        <v>516</v>
      </c>
      <c r="D53" s="1">
        <v>7.5614999999999997</v>
      </c>
      <c r="E53" s="1">
        <v>6.9241999999999999</v>
      </c>
      <c r="F53" s="1">
        <v>0.63729999999999998</v>
      </c>
      <c r="G53" s="1">
        <v>1</v>
      </c>
      <c r="H53" s="1">
        <v>64.400000000000006</v>
      </c>
      <c r="I53" s="1">
        <v>2.83</v>
      </c>
      <c r="J53" s="1">
        <v>2.48</v>
      </c>
      <c r="K53" s="1">
        <v>35.6</v>
      </c>
      <c r="L53" s="13">
        <v>0</v>
      </c>
      <c r="M53" s="13">
        <v>1</v>
      </c>
      <c r="N53" s="78">
        <v>0</v>
      </c>
      <c r="O53" s="13">
        <v>1</v>
      </c>
    </row>
    <row r="54" spans="1:15" x14ac:dyDescent="0.25">
      <c r="A54">
        <v>2</v>
      </c>
      <c r="B54">
        <v>10</v>
      </c>
      <c r="C54" s="1">
        <v>552</v>
      </c>
      <c r="D54" s="1">
        <v>3.6900000000000002E-2</v>
      </c>
      <c r="E54" s="1">
        <v>2.3699999999999999E-2</v>
      </c>
      <c r="F54" s="1">
        <v>1.32E-2</v>
      </c>
      <c r="G54" s="1">
        <v>0</v>
      </c>
      <c r="H54" s="1">
        <v>60.85</v>
      </c>
      <c r="I54" s="1">
        <v>2.91</v>
      </c>
      <c r="J54" s="1">
        <v>2.4</v>
      </c>
      <c r="K54" s="1">
        <v>39.15</v>
      </c>
      <c r="L54" s="13">
        <v>0</v>
      </c>
      <c r="M54" s="13">
        <v>1</v>
      </c>
      <c r="N54" s="78">
        <v>0</v>
      </c>
      <c r="O54" s="13">
        <v>1</v>
      </c>
    </row>
    <row r="55" spans="1:15" x14ac:dyDescent="0.25">
      <c r="A55">
        <v>2</v>
      </c>
      <c r="B55">
        <v>10</v>
      </c>
      <c r="C55" s="1">
        <v>540</v>
      </c>
      <c r="D55" s="1">
        <v>1.2977000000000001</v>
      </c>
      <c r="E55" s="1">
        <v>1.0109999999999999</v>
      </c>
      <c r="F55" s="1">
        <v>0.28660000000000002</v>
      </c>
      <c r="G55" s="1">
        <v>1</v>
      </c>
      <c r="H55" s="1">
        <v>61.15</v>
      </c>
      <c r="I55" s="1">
        <v>3.07</v>
      </c>
      <c r="J55" s="1">
        <v>2.61</v>
      </c>
      <c r="K55" s="1">
        <v>38.85</v>
      </c>
      <c r="L55" s="13">
        <v>0</v>
      </c>
      <c r="M55" s="13">
        <v>1</v>
      </c>
      <c r="N55" s="78">
        <v>0</v>
      </c>
      <c r="O55" s="13">
        <v>1</v>
      </c>
    </row>
    <row r="56" spans="1:15" x14ac:dyDescent="0.25">
      <c r="A56">
        <v>2</v>
      </c>
      <c r="B56">
        <v>10</v>
      </c>
      <c r="C56" s="1">
        <v>528</v>
      </c>
      <c r="D56" s="1">
        <v>5.4119999999999999</v>
      </c>
      <c r="E56" s="1">
        <v>4.8040000000000003</v>
      </c>
      <c r="F56" s="1">
        <v>0.60799999999999998</v>
      </c>
      <c r="G56" s="1">
        <v>1</v>
      </c>
      <c r="H56" s="1">
        <v>61.2</v>
      </c>
      <c r="I56" s="1">
        <v>3.3</v>
      </c>
      <c r="J56" s="1">
        <v>2.57</v>
      </c>
      <c r="K56" s="1">
        <v>38.799999999999997</v>
      </c>
      <c r="L56" s="13">
        <v>0</v>
      </c>
      <c r="M56" s="13">
        <v>1</v>
      </c>
      <c r="N56" s="78">
        <v>0</v>
      </c>
      <c r="O56" s="13">
        <v>1</v>
      </c>
    </row>
    <row r="57" spans="1:15" x14ac:dyDescent="0.25">
      <c r="A57">
        <v>2</v>
      </c>
      <c r="B57">
        <v>10</v>
      </c>
      <c r="C57" s="1">
        <v>516</v>
      </c>
      <c r="D57" s="1">
        <v>11.8795</v>
      </c>
      <c r="E57" s="1">
        <v>11.0808</v>
      </c>
      <c r="F57" s="1">
        <v>0.79869999999999997</v>
      </c>
      <c r="G57" s="1">
        <v>1</v>
      </c>
      <c r="H57" s="1">
        <v>60.96</v>
      </c>
      <c r="I57" s="1">
        <v>3.43</v>
      </c>
      <c r="J57" s="1">
        <v>2.48</v>
      </c>
      <c r="K57" s="1">
        <v>39.04</v>
      </c>
      <c r="L57" s="13">
        <v>0</v>
      </c>
      <c r="M57" s="13">
        <v>1</v>
      </c>
      <c r="N57" s="78">
        <v>0</v>
      </c>
      <c r="O57" s="13">
        <v>1</v>
      </c>
    </row>
    <row r="58" spans="1:15" x14ac:dyDescent="0.25">
      <c r="A58">
        <v>2</v>
      </c>
      <c r="B58">
        <v>10</v>
      </c>
      <c r="C58" s="1">
        <v>504</v>
      </c>
      <c r="D58" s="1">
        <v>12.200200000000001</v>
      </c>
      <c r="E58" s="1">
        <v>11.315099999999999</v>
      </c>
      <c r="F58" s="1">
        <v>0.8851</v>
      </c>
      <c r="G58" s="1">
        <v>1</v>
      </c>
      <c r="H58" s="1">
        <v>61.07</v>
      </c>
      <c r="I58" s="1">
        <v>3.34</v>
      </c>
      <c r="J58" s="1">
        <v>2.39</v>
      </c>
      <c r="K58" s="1">
        <v>38.93</v>
      </c>
      <c r="L58" s="13">
        <v>0</v>
      </c>
      <c r="M58" s="13">
        <v>1</v>
      </c>
      <c r="N58" s="78">
        <v>0</v>
      </c>
      <c r="O58" s="13">
        <v>1</v>
      </c>
    </row>
    <row r="59" spans="1:15" x14ac:dyDescent="0.25">
      <c r="A59">
        <v>2</v>
      </c>
      <c r="B59">
        <v>10</v>
      </c>
      <c r="C59" s="1">
        <v>492</v>
      </c>
      <c r="D59" s="1">
        <v>10.8614</v>
      </c>
      <c r="E59" s="1">
        <v>9.9328000000000003</v>
      </c>
      <c r="F59" s="1">
        <v>0.92859999999999998</v>
      </c>
      <c r="G59" s="1">
        <v>1</v>
      </c>
      <c r="H59" s="1">
        <v>61.12</v>
      </c>
      <c r="I59" s="1">
        <v>3.31</v>
      </c>
      <c r="J59" s="1">
        <v>2.31</v>
      </c>
      <c r="K59" s="1">
        <v>38.880000000000003</v>
      </c>
      <c r="L59" s="13">
        <v>0</v>
      </c>
      <c r="M59" s="13">
        <v>1</v>
      </c>
      <c r="N59" s="78">
        <v>0</v>
      </c>
      <c r="O59" s="13">
        <v>1</v>
      </c>
    </row>
    <row r="60" spans="1:15" x14ac:dyDescent="0.25">
      <c r="A60">
        <v>2</v>
      </c>
      <c r="B60">
        <v>10</v>
      </c>
      <c r="C60" s="1">
        <v>480</v>
      </c>
      <c r="D60" s="1">
        <v>9.7150999999999996</v>
      </c>
      <c r="E60" s="1">
        <v>8.7443000000000008</v>
      </c>
      <c r="F60" s="1">
        <v>0.9708</v>
      </c>
      <c r="G60" s="1">
        <v>1</v>
      </c>
      <c r="H60" s="1">
        <v>61.17</v>
      </c>
      <c r="I60" s="1">
        <v>3.31</v>
      </c>
      <c r="J60" s="1">
        <v>2.33</v>
      </c>
      <c r="K60" s="1">
        <v>38.83</v>
      </c>
      <c r="L60" s="13">
        <v>0</v>
      </c>
      <c r="M60" s="13">
        <v>1</v>
      </c>
      <c r="N60" s="78">
        <v>0</v>
      </c>
      <c r="O60" s="13">
        <v>1</v>
      </c>
    </row>
    <row r="61" spans="1:15" x14ac:dyDescent="0.25">
      <c r="A61">
        <v>2</v>
      </c>
      <c r="B61">
        <v>10</v>
      </c>
      <c r="C61" s="1">
        <v>468</v>
      </c>
      <c r="D61" s="1">
        <v>8.6051000000000002</v>
      </c>
      <c r="E61" s="1">
        <v>7.5880999999999998</v>
      </c>
      <c r="F61" s="1">
        <v>1.0169999999999999</v>
      </c>
      <c r="G61" s="1">
        <v>1</v>
      </c>
      <c r="H61" s="1">
        <v>61.18</v>
      </c>
      <c r="I61" s="1">
        <v>3.31</v>
      </c>
      <c r="J61" s="1">
        <v>2.31</v>
      </c>
      <c r="K61" s="1">
        <v>38.82</v>
      </c>
      <c r="L61" s="13">
        <v>0</v>
      </c>
      <c r="M61" s="13">
        <v>1</v>
      </c>
      <c r="N61" s="78">
        <v>0</v>
      </c>
      <c r="O61" s="13">
        <v>1</v>
      </c>
    </row>
    <row r="62" spans="1:15" x14ac:dyDescent="0.25">
      <c r="A62">
        <v>2</v>
      </c>
      <c r="B62">
        <v>14</v>
      </c>
      <c r="C62" s="1">
        <v>552</v>
      </c>
      <c r="D62" s="1">
        <v>0.82120000000000004</v>
      </c>
      <c r="E62" s="1">
        <v>0.77339999999999998</v>
      </c>
      <c r="F62" s="1">
        <v>4.7800000000000002E-2</v>
      </c>
      <c r="G62" s="1">
        <v>1</v>
      </c>
      <c r="H62" s="1">
        <v>58.8</v>
      </c>
      <c r="I62" s="1">
        <v>6.33</v>
      </c>
      <c r="J62" s="1">
        <v>2.08</v>
      </c>
      <c r="K62" s="1">
        <v>41.2</v>
      </c>
      <c r="L62" s="13">
        <v>0</v>
      </c>
      <c r="M62" s="13">
        <v>1</v>
      </c>
      <c r="N62" s="78">
        <v>0</v>
      </c>
      <c r="O62" s="13">
        <v>1</v>
      </c>
    </row>
    <row r="63" spans="1:15" x14ac:dyDescent="0.25">
      <c r="A63">
        <v>2</v>
      </c>
      <c r="B63">
        <v>14</v>
      </c>
      <c r="C63" s="1">
        <v>540</v>
      </c>
      <c r="D63" s="1">
        <v>1.6196999999999999</v>
      </c>
      <c r="E63" s="1">
        <v>1.4993000000000001</v>
      </c>
      <c r="F63" s="1">
        <v>0.1203</v>
      </c>
      <c r="G63" s="1">
        <v>1</v>
      </c>
      <c r="H63" s="1">
        <v>58.93</v>
      </c>
      <c r="I63" s="1">
        <v>5.68</v>
      </c>
      <c r="J63" s="1">
        <v>2.2999999999999998</v>
      </c>
      <c r="K63" s="1">
        <v>41.07</v>
      </c>
      <c r="L63" s="13">
        <v>0</v>
      </c>
      <c r="M63" s="13">
        <v>1</v>
      </c>
      <c r="N63" s="78">
        <v>0</v>
      </c>
      <c r="O63" s="13">
        <v>1</v>
      </c>
    </row>
    <row r="64" spans="1:15" x14ac:dyDescent="0.25">
      <c r="A64">
        <v>2</v>
      </c>
      <c r="B64">
        <v>14</v>
      </c>
      <c r="C64" s="1">
        <v>528</v>
      </c>
      <c r="D64" s="1">
        <v>3.2995000000000001</v>
      </c>
      <c r="E64" s="1">
        <v>3.0465</v>
      </c>
      <c r="F64" s="1">
        <v>0.253</v>
      </c>
      <c r="G64" s="1">
        <v>1</v>
      </c>
      <c r="H64" s="1">
        <v>58.86</v>
      </c>
      <c r="I64" s="1">
        <v>5.74</v>
      </c>
      <c r="J64" s="1">
        <v>2.2000000000000002</v>
      </c>
      <c r="K64" s="1">
        <v>41.14</v>
      </c>
      <c r="L64" s="13">
        <v>0</v>
      </c>
      <c r="M64" s="13">
        <v>1</v>
      </c>
      <c r="N64" s="78">
        <v>0</v>
      </c>
      <c r="O64" s="13">
        <v>1</v>
      </c>
    </row>
    <row r="65" spans="1:15" x14ac:dyDescent="0.25">
      <c r="A65">
        <v>2</v>
      </c>
      <c r="B65">
        <v>14</v>
      </c>
      <c r="C65" s="1">
        <v>516</v>
      </c>
      <c r="D65" s="1">
        <v>4.9165000000000001</v>
      </c>
      <c r="E65" s="1">
        <v>4.6153000000000004</v>
      </c>
      <c r="F65" s="1">
        <v>0.30120000000000002</v>
      </c>
      <c r="G65" s="1">
        <v>1</v>
      </c>
      <c r="H65" s="1">
        <v>59.1</v>
      </c>
      <c r="I65" s="1">
        <v>5.67</v>
      </c>
      <c r="J65" s="1">
        <v>2.04</v>
      </c>
      <c r="K65" s="1">
        <v>40.9</v>
      </c>
      <c r="L65" s="13">
        <v>0</v>
      </c>
      <c r="M65" s="13">
        <v>1</v>
      </c>
      <c r="N65" s="78">
        <v>0</v>
      </c>
      <c r="O65" s="13">
        <v>1</v>
      </c>
    </row>
    <row r="66" spans="1:15" x14ac:dyDescent="0.25">
      <c r="A66">
        <v>2</v>
      </c>
      <c r="B66">
        <v>14</v>
      </c>
      <c r="C66" s="1">
        <v>504</v>
      </c>
      <c r="D66" s="1">
        <v>4.8097000000000003</v>
      </c>
      <c r="E66" s="1">
        <v>4.5505000000000004</v>
      </c>
      <c r="F66" s="1">
        <v>0.25929999999999997</v>
      </c>
      <c r="G66" s="1">
        <v>1</v>
      </c>
      <c r="H66" s="1">
        <v>58.96</v>
      </c>
      <c r="I66" s="1">
        <v>5.93</v>
      </c>
      <c r="J66" s="1">
        <v>1.98</v>
      </c>
      <c r="K66" s="1">
        <v>41.04</v>
      </c>
      <c r="L66" s="13">
        <v>0</v>
      </c>
      <c r="M66" s="13">
        <v>1</v>
      </c>
      <c r="N66" s="78">
        <v>0</v>
      </c>
      <c r="O66" s="13">
        <v>1</v>
      </c>
    </row>
    <row r="67" spans="1:15" x14ac:dyDescent="0.25">
      <c r="A67">
        <v>2</v>
      </c>
      <c r="B67">
        <v>14</v>
      </c>
      <c r="C67" s="1">
        <v>492</v>
      </c>
      <c r="D67" s="1">
        <v>1.4591000000000001</v>
      </c>
      <c r="E67" s="1">
        <v>1.3815</v>
      </c>
      <c r="F67" s="1">
        <v>7.7600000000000002E-2</v>
      </c>
      <c r="G67" s="1">
        <v>0.36</v>
      </c>
      <c r="H67" s="1">
        <v>58.66</v>
      </c>
      <c r="I67" s="1">
        <v>6.06</v>
      </c>
      <c r="J67" s="1">
        <v>2</v>
      </c>
      <c r="K67" s="1">
        <v>41.34</v>
      </c>
      <c r="L67" s="13">
        <v>0</v>
      </c>
      <c r="M67" s="13">
        <v>1</v>
      </c>
      <c r="N67" s="78">
        <v>0</v>
      </c>
      <c r="O67" s="13">
        <v>1</v>
      </c>
    </row>
    <row r="68" spans="1:15" x14ac:dyDescent="0.25">
      <c r="A68">
        <v>2</v>
      </c>
      <c r="B68">
        <v>15</v>
      </c>
      <c r="C68" s="1">
        <v>552</v>
      </c>
      <c r="D68" s="1">
        <v>3.3E-3</v>
      </c>
      <c r="E68" s="1">
        <v>3.3E-3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3">
        <v>1</v>
      </c>
      <c r="M68" s="13">
        <v>0</v>
      </c>
      <c r="N68" s="78">
        <v>0</v>
      </c>
      <c r="O68" s="13">
        <v>1</v>
      </c>
    </row>
    <row r="69" spans="1:15" x14ac:dyDescent="0.25">
      <c r="A69">
        <v>2</v>
      </c>
      <c r="B69">
        <v>17</v>
      </c>
      <c r="C69" s="1">
        <v>540</v>
      </c>
      <c r="D69" s="1">
        <v>2.7000000000000001E-3</v>
      </c>
      <c r="E69" s="1">
        <v>2.7000000000000001E-3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3">
        <v>1</v>
      </c>
      <c r="M69" s="13">
        <v>0</v>
      </c>
      <c r="N69" s="78">
        <v>0</v>
      </c>
      <c r="O69" s="13">
        <v>1</v>
      </c>
    </row>
    <row r="70" spans="1:15" x14ac:dyDescent="0.25">
      <c r="A70">
        <v>2</v>
      </c>
      <c r="B70">
        <v>17</v>
      </c>
      <c r="C70" s="1">
        <v>528</v>
      </c>
      <c r="D70" s="1">
        <v>5.0000000000000001E-4</v>
      </c>
      <c r="E70" s="1">
        <v>5.0000000000000001E-4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3">
        <v>1</v>
      </c>
      <c r="M70" s="13">
        <v>0</v>
      </c>
      <c r="N70" s="78">
        <v>0</v>
      </c>
      <c r="O70" s="13">
        <v>1</v>
      </c>
    </row>
    <row r="71" spans="1:15" x14ac:dyDescent="0.25">
      <c r="A71">
        <v>2</v>
      </c>
      <c r="B71">
        <v>18</v>
      </c>
      <c r="C71" s="1">
        <v>540</v>
      </c>
      <c r="D71" s="1">
        <v>8.5199999999999998E-2</v>
      </c>
      <c r="E71" s="1">
        <v>8.1500000000000003E-2</v>
      </c>
      <c r="F71" s="1">
        <v>3.7000000000000002E-3</v>
      </c>
      <c r="G71" s="1">
        <v>0.1429</v>
      </c>
      <c r="H71" s="1">
        <v>58.1</v>
      </c>
      <c r="I71" s="1">
        <v>7</v>
      </c>
      <c r="J71" s="1">
        <v>2.52</v>
      </c>
      <c r="K71" s="1">
        <v>41.9</v>
      </c>
      <c r="L71" s="13">
        <v>0</v>
      </c>
      <c r="M71" s="13">
        <v>1</v>
      </c>
      <c r="N71" s="78">
        <v>0</v>
      </c>
      <c r="O71" s="13">
        <v>1</v>
      </c>
    </row>
    <row r="72" spans="1:15" x14ac:dyDescent="0.25">
      <c r="A72">
        <v>3</v>
      </c>
      <c r="B72">
        <v>3</v>
      </c>
      <c r="C72" s="1">
        <v>528</v>
      </c>
      <c r="D72" s="1">
        <v>0.88160000000000005</v>
      </c>
      <c r="E72" s="1">
        <v>0.879</v>
      </c>
      <c r="F72" s="1">
        <v>2.5999999999999999E-3</v>
      </c>
      <c r="G72" s="1">
        <v>1</v>
      </c>
      <c r="H72" s="1">
        <v>55.38</v>
      </c>
      <c r="I72" s="1">
        <v>7.06</v>
      </c>
      <c r="J72" s="1">
        <v>2.97</v>
      </c>
      <c r="K72" s="1">
        <v>44.62</v>
      </c>
      <c r="L72" s="13">
        <v>1</v>
      </c>
      <c r="M72" s="13">
        <v>0</v>
      </c>
      <c r="N72" s="78">
        <v>1</v>
      </c>
      <c r="O72" s="13">
        <v>0</v>
      </c>
    </row>
    <row r="73" spans="1:15" x14ac:dyDescent="0.25">
      <c r="A73">
        <v>3</v>
      </c>
      <c r="B73">
        <v>3</v>
      </c>
      <c r="C73" s="1">
        <v>516</v>
      </c>
      <c r="D73" s="1">
        <v>4.1000000000000003E-3</v>
      </c>
      <c r="E73" s="1">
        <v>4.1000000000000003E-3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3">
        <v>1</v>
      </c>
      <c r="M73" s="13">
        <v>0</v>
      </c>
      <c r="N73" s="78">
        <v>1</v>
      </c>
      <c r="O73" s="13">
        <v>0</v>
      </c>
    </row>
    <row r="74" spans="1:15" x14ac:dyDescent="0.25">
      <c r="A74">
        <v>3</v>
      </c>
      <c r="B74">
        <v>4</v>
      </c>
      <c r="C74" s="1">
        <v>528</v>
      </c>
      <c r="D74" s="1">
        <v>0.73829999999999996</v>
      </c>
      <c r="E74" s="1">
        <v>0.72289999999999999</v>
      </c>
      <c r="F74" s="1">
        <v>1.55E-2</v>
      </c>
      <c r="G74" s="1">
        <v>1</v>
      </c>
      <c r="H74" s="1">
        <v>55.41</v>
      </c>
      <c r="I74" s="1">
        <v>7.09</v>
      </c>
      <c r="J74" s="1">
        <v>2.93</v>
      </c>
      <c r="K74" s="1">
        <v>44.59</v>
      </c>
      <c r="L74" s="13">
        <v>0</v>
      </c>
      <c r="M74" s="13">
        <v>1</v>
      </c>
      <c r="N74" s="78">
        <v>1</v>
      </c>
      <c r="O74" s="13">
        <v>0</v>
      </c>
    </row>
    <row r="75" spans="1:15" x14ac:dyDescent="0.25">
      <c r="A75">
        <v>3</v>
      </c>
      <c r="B75">
        <v>4</v>
      </c>
      <c r="C75" s="1">
        <v>516</v>
      </c>
      <c r="D75" s="1">
        <v>4.5803000000000003</v>
      </c>
      <c r="E75" s="1">
        <v>4.4143999999999997</v>
      </c>
      <c r="F75" s="1">
        <v>0.16589999999999999</v>
      </c>
      <c r="G75" s="1">
        <v>1</v>
      </c>
      <c r="H75" s="1">
        <v>55.55</v>
      </c>
      <c r="I75" s="1">
        <v>6.79</v>
      </c>
      <c r="J75" s="1">
        <v>2.87</v>
      </c>
      <c r="K75" s="1">
        <v>44.45</v>
      </c>
      <c r="L75" s="13">
        <v>0</v>
      </c>
      <c r="M75" s="13">
        <v>1</v>
      </c>
      <c r="N75" s="78">
        <v>1</v>
      </c>
      <c r="O75" s="13">
        <v>0</v>
      </c>
    </row>
    <row r="76" spans="1:15" x14ac:dyDescent="0.25">
      <c r="A76">
        <v>3</v>
      </c>
      <c r="B76">
        <v>4</v>
      </c>
      <c r="C76" s="1">
        <v>504</v>
      </c>
      <c r="D76" s="1">
        <v>7.2702999999999998</v>
      </c>
      <c r="E76" s="1">
        <v>6.8498999999999999</v>
      </c>
      <c r="F76" s="1">
        <v>0.4204</v>
      </c>
      <c r="G76" s="1">
        <v>1</v>
      </c>
      <c r="H76" s="1">
        <v>55.79</v>
      </c>
      <c r="I76" s="1">
        <v>6.8</v>
      </c>
      <c r="J76" s="1">
        <v>2.87</v>
      </c>
      <c r="K76" s="1">
        <v>44.21</v>
      </c>
      <c r="L76" s="13">
        <v>0</v>
      </c>
      <c r="M76" s="13">
        <v>1</v>
      </c>
      <c r="N76" s="78">
        <v>1</v>
      </c>
      <c r="O76" s="13">
        <v>0</v>
      </c>
    </row>
    <row r="77" spans="1:15" x14ac:dyDescent="0.25">
      <c r="A77">
        <v>3</v>
      </c>
      <c r="B77">
        <v>4</v>
      </c>
      <c r="C77" s="1">
        <v>492</v>
      </c>
      <c r="D77" s="1">
        <v>6.6896000000000004</v>
      </c>
      <c r="E77" s="1">
        <v>5.8571999999999997</v>
      </c>
      <c r="F77" s="1">
        <v>0.83240000000000003</v>
      </c>
      <c r="G77" s="1">
        <v>1</v>
      </c>
      <c r="H77" s="1">
        <v>57.14</v>
      </c>
      <c r="I77" s="1">
        <v>5.35</v>
      </c>
      <c r="J77" s="1">
        <v>2.67</v>
      </c>
      <c r="K77" s="1">
        <v>42.86</v>
      </c>
      <c r="L77" s="13">
        <v>0</v>
      </c>
      <c r="M77" s="13">
        <v>1</v>
      </c>
      <c r="N77" s="78">
        <v>1</v>
      </c>
      <c r="O77" s="13">
        <v>0</v>
      </c>
    </row>
    <row r="78" spans="1:15" x14ac:dyDescent="0.25">
      <c r="A78">
        <v>3</v>
      </c>
      <c r="B78">
        <v>4</v>
      </c>
      <c r="C78" s="1">
        <v>480</v>
      </c>
      <c r="D78" s="1">
        <v>5.9020000000000001</v>
      </c>
      <c r="E78" s="1">
        <v>4.8680000000000003</v>
      </c>
      <c r="F78" s="1">
        <v>1.034</v>
      </c>
      <c r="G78" s="1">
        <v>1</v>
      </c>
      <c r="H78" s="1">
        <v>57.87</v>
      </c>
      <c r="I78" s="1">
        <v>4.68</v>
      </c>
      <c r="J78" s="1">
        <v>2.5299999999999998</v>
      </c>
      <c r="K78" s="1">
        <v>42.13</v>
      </c>
      <c r="L78" s="13">
        <v>0</v>
      </c>
      <c r="M78" s="13">
        <v>1</v>
      </c>
      <c r="N78" s="78">
        <v>1</v>
      </c>
      <c r="O78" s="13">
        <v>0</v>
      </c>
    </row>
    <row r="79" spans="1:15" x14ac:dyDescent="0.25">
      <c r="A79">
        <v>3</v>
      </c>
      <c r="B79">
        <v>4</v>
      </c>
      <c r="C79" s="1">
        <v>468</v>
      </c>
      <c r="D79" s="1">
        <v>5.1881000000000004</v>
      </c>
      <c r="E79" s="1">
        <v>4.0567000000000002</v>
      </c>
      <c r="F79" s="1">
        <v>1.1314</v>
      </c>
      <c r="G79" s="1">
        <v>1</v>
      </c>
      <c r="H79" s="1">
        <v>58.06</v>
      </c>
      <c r="I79" s="1">
        <v>4.7699999999999996</v>
      </c>
      <c r="J79" s="1">
        <v>2.41</v>
      </c>
      <c r="K79" s="1">
        <v>41.94</v>
      </c>
      <c r="L79" s="13">
        <v>0</v>
      </c>
      <c r="M79" s="13">
        <v>1</v>
      </c>
      <c r="N79" s="78">
        <v>1</v>
      </c>
      <c r="O79" s="13">
        <v>0</v>
      </c>
    </row>
    <row r="80" spans="1:15" x14ac:dyDescent="0.25">
      <c r="A80">
        <v>3</v>
      </c>
      <c r="B80">
        <v>4</v>
      </c>
      <c r="C80" s="1">
        <v>456</v>
      </c>
      <c r="D80" s="1">
        <v>4.2534000000000001</v>
      </c>
      <c r="E80" s="1">
        <v>3.2061999999999999</v>
      </c>
      <c r="F80" s="1">
        <v>1.0471999999999999</v>
      </c>
      <c r="G80" s="1">
        <v>0.9375</v>
      </c>
      <c r="H80" s="1">
        <v>58.11</v>
      </c>
      <c r="I80" s="1">
        <v>4.95</v>
      </c>
      <c r="J80" s="1">
        <v>2.29</v>
      </c>
      <c r="K80" s="1">
        <v>41.89</v>
      </c>
      <c r="L80" s="13">
        <v>0</v>
      </c>
      <c r="M80" s="13">
        <v>1</v>
      </c>
      <c r="N80" s="78">
        <v>1</v>
      </c>
      <c r="O80" s="13">
        <v>0</v>
      </c>
    </row>
    <row r="81" spans="1:15" x14ac:dyDescent="0.25">
      <c r="A81">
        <v>3</v>
      </c>
      <c r="B81">
        <v>8</v>
      </c>
      <c r="C81" s="1">
        <v>504</v>
      </c>
      <c r="D81" s="1">
        <v>12.670999999999999</v>
      </c>
      <c r="E81" s="1">
        <v>11.983700000000001</v>
      </c>
      <c r="F81" s="1">
        <v>0.68730000000000002</v>
      </c>
      <c r="G81" s="1">
        <v>1</v>
      </c>
      <c r="H81" s="1">
        <v>64.349999999999994</v>
      </c>
      <c r="I81" s="1">
        <v>2.9</v>
      </c>
      <c r="J81" s="1">
        <v>2.4300000000000002</v>
      </c>
      <c r="K81" s="1">
        <v>35.65</v>
      </c>
      <c r="L81" s="13">
        <v>0</v>
      </c>
      <c r="M81" s="13">
        <v>1</v>
      </c>
      <c r="N81" s="78">
        <v>0</v>
      </c>
      <c r="O81" s="13">
        <v>1</v>
      </c>
    </row>
    <row r="82" spans="1:15" x14ac:dyDescent="0.25">
      <c r="A82">
        <v>3</v>
      </c>
      <c r="B82">
        <v>8</v>
      </c>
      <c r="C82" s="1">
        <v>492</v>
      </c>
      <c r="D82" s="1">
        <v>12.077500000000001</v>
      </c>
      <c r="E82" s="1">
        <v>11.3788</v>
      </c>
      <c r="F82" s="1">
        <v>0.6986</v>
      </c>
      <c r="G82" s="1">
        <v>1</v>
      </c>
      <c r="H82" s="1">
        <v>64.569999999999993</v>
      </c>
      <c r="I82" s="1">
        <v>2.78</v>
      </c>
      <c r="J82" s="1">
        <v>2.34</v>
      </c>
      <c r="K82" s="1">
        <v>35.43</v>
      </c>
      <c r="L82" s="13">
        <v>0</v>
      </c>
      <c r="M82" s="13">
        <v>1</v>
      </c>
      <c r="N82" s="78">
        <v>0</v>
      </c>
      <c r="O82" s="13">
        <v>1</v>
      </c>
    </row>
    <row r="83" spans="1:15" x14ac:dyDescent="0.25">
      <c r="A83">
        <v>3</v>
      </c>
      <c r="B83">
        <v>8</v>
      </c>
      <c r="C83" s="1">
        <v>480</v>
      </c>
      <c r="D83" s="1">
        <v>10.518800000000001</v>
      </c>
      <c r="E83" s="1">
        <v>9.8270999999999997</v>
      </c>
      <c r="F83" s="1">
        <v>0.69159999999999999</v>
      </c>
      <c r="G83" s="1">
        <v>1</v>
      </c>
      <c r="H83" s="1">
        <v>64.44</v>
      </c>
      <c r="I83" s="1">
        <v>2.89</v>
      </c>
      <c r="J83" s="1">
        <v>2.2000000000000002</v>
      </c>
      <c r="K83" s="1">
        <v>35.56</v>
      </c>
      <c r="L83" s="13">
        <v>0</v>
      </c>
      <c r="M83" s="13">
        <v>1</v>
      </c>
      <c r="N83" s="78">
        <v>0</v>
      </c>
      <c r="O83" s="13">
        <v>1</v>
      </c>
    </row>
    <row r="84" spans="1:15" x14ac:dyDescent="0.25">
      <c r="A84">
        <v>3</v>
      </c>
      <c r="B84">
        <v>8</v>
      </c>
      <c r="C84" s="1">
        <v>468</v>
      </c>
      <c r="D84" s="1">
        <v>4.2824</v>
      </c>
      <c r="E84" s="1">
        <v>3.9588999999999999</v>
      </c>
      <c r="F84" s="1">
        <v>0.32350000000000001</v>
      </c>
      <c r="G84" s="1">
        <v>0.47370000000000001</v>
      </c>
      <c r="H84" s="1">
        <v>64.53</v>
      </c>
      <c r="I84" s="1">
        <v>2.76</v>
      </c>
      <c r="J84" s="1">
        <v>2.04</v>
      </c>
      <c r="K84" s="1">
        <v>35.47</v>
      </c>
      <c r="L84" s="13">
        <v>0</v>
      </c>
      <c r="M84" s="13">
        <v>1</v>
      </c>
      <c r="N84" s="78">
        <v>0</v>
      </c>
      <c r="O84" s="13">
        <v>1</v>
      </c>
    </row>
    <row r="85" spans="1:15" x14ac:dyDescent="0.25">
      <c r="A85">
        <v>3</v>
      </c>
      <c r="B85">
        <v>10</v>
      </c>
      <c r="C85" s="1">
        <v>456</v>
      </c>
      <c r="D85" s="1">
        <v>7.6753999999999998</v>
      </c>
      <c r="E85" s="1">
        <v>6.6565000000000003</v>
      </c>
      <c r="F85" s="1">
        <v>1.0188999999999999</v>
      </c>
      <c r="G85" s="1">
        <v>1</v>
      </c>
      <c r="H85" s="1">
        <v>61.29</v>
      </c>
      <c r="I85" s="1">
        <v>3.46</v>
      </c>
      <c r="J85" s="1">
        <v>2.2400000000000002</v>
      </c>
      <c r="K85" s="1">
        <v>38.71</v>
      </c>
      <c r="L85" s="13">
        <v>0</v>
      </c>
      <c r="M85" s="13">
        <v>1</v>
      </c>
      <c r="N85" s="78">
        <v>0</v>
      </c>
      <c r="O85" s="13">
        <v>1</v>
      </c>
    </row>
    <row r="86" spans="1:15" x14ac:dyDescent="0.25">
      <c r="A86">
        <v>3</v>
      </c>
      <c r="B86">
        <v>10</v>
      </c>
      <c r="C86" s="1">
        <v>444</v>
      </c>
      <c r="D86" s="1">
        <v>6.7115999999999998</v>
      </c>
      <c r="E86" s="1">
        <v>5.7226999999999997</v>
      </c>
      <c r="F86" s="1">
        <v>0.9889</v>
      </c>
      <c r="G86" s="1">
        <v>1</v>
      </c>
      <c r="H86" s="1">
        <v>61.31</v>
      </c>
      <c r="I86" s="1">
        <v>3.65</v>
      </c>
      <c r="J86" s="1">
        <v>2.25</v>
      </c>
      <c r="K86" s="1">
        <v>38.69</v>
      </c>
      <c r="L86" s="13">
        <v>0</v>
      </c>
      <c r="M86" s="13">
        <v>1</v>
      </c>
      <c r="N86" s="78">
        <v>0</v>
      </c>
      <c r="O86" s="13">
        <v>1</v>
      </c>
    </row>
    <row r="87" spans="1:15" x14ac:dyDescent="0.25">
      <c r="A87">
        <v>3</v>
      </c>
      <c r="B87">
        <v>10</v>
      </c>
      <c r="C87" s="1">
        <v>432</v>
      </c>
      <c r="D87" s="1">
        <v>5.8541999999999996</v>
      </c>
      <c r="E87" s="1">
        <v>4.8914</v>
      </c>
      <c r="F87" s="1">
        <v>0.96289999999999998</v>
      </c>
      <c r="G87" s="1">
        <v>1</v>
      </c>
      <c r="H87" s="1">
        <v>61.26</v>
      </c>
      <c r="I87" s="1">
        <v>3.74</v>
      </c>
      <c r="J87" s="1">
        <v>2.2200000000000002</v>
      </c>
      <c r="K87" s="1">
        <v>38.74</v>
      </c>
      <c r="L87" s="13">
        <v>0</v>
      </c>
      <c r="M87" s="13">
        <v>1</v>
      </c>
      <c r="N87" s="78">
        <v>0</v>
      </c>
      <c r="O87" s="13">
        <v>1</v>
      </c>
    </row>
    <row r="88" spans="1:15" x14ac:dyDescent="0.25">
      <c r="A88">
        <v>3</v>
      </c>
      <c r="B88">
        <v>10</v>
      </c>
      <c r="C88" s="1">
        <v>420</v>
      </c>
      <c r="D88" s="1">
        <v>5.0233999999999996</v>
      </c>
      <c r="E88" s="1">
        <v>4.0945</v>
      </c>
      <c r="F88" s="1">
        <v>0.92889999999999995</v>
      </c>
      <c r="G88" s="1">
        <v>1</v>
      </c>
      <c r="H88" s="1">
        <v>61.41</v>
      </c>
      <c r="I88" s="1">
        <v>3.66</v>
      </c>
      <c r="J88" s="1">
        <v>2.17</v>
      </c>
      <c r="K88" s="1">
        <v>38.590000000000003</v>
      </c>
      <c r="L88" s="13">
        <v>0</v>
      </c>
      <c r="M88" s="13">
        <v>1</v>
      </c>
      <c r="N88" s="78">
        <v>0</v>
      </c>
      <c r="O88" s="13">
        <v>1</v>
      </c>
    </row>
    <row r="89" spans="1:15" x14ac:dyDescent="0.25">
      <c r="A89">
        <v>3</v>
      </c>
      <c r="B89">
        <v>10</v>
      </c>
      <c r="C89" s="1">
        <v>408</v>
      </c>
      <c r="D89" s="1">
        <v>4.1454000000000004</v>
      </c>
      <c r="E89" s="1">
        <v>3.2557999999999998</v>
      </c>
      <c r="F89" s="1">
        <v>0.88970000000000005</v>
      </c>
      <c r="G89" s="1">
        <v>1</v>
      </c>
      <c r="H89" s="1">
        <v>61.59</v>
      </c>
      <c r="I89" s="1">
        <v>3.41</v>
      </c>
      <c r="J89" s="1">
        <v>2.08</v>
      </c>
      <c r="K89" s="1">
        <v>38.409999999999997</v>
      </c>
      <c r="L89" s="13">
        <v>0</v>
      </c>
      <c r="M89" s="13">
        <v>1</v>
      </c>
      <c r="N89" s="78">
        <v>0</v>
      </c>
      <c r="O89" s="13">
        <v>1</v>
      </c>
    </row>
    <row r="90" spans="1:15" x14ac:dyDescent="0.25">
      <c r="A90">
        <v>3</v>
      </c>
      <c r="B90">
        <v>10</v>
      </c>
      <c r="C90" s="1">
        <v>396</v>
      </c>
      <c r="D90" s="1">
        <v>3.4367000000000001</v>
      </c>
      <c r="E90" s="1">
        <v>2.5785</v>
      </c>
      <c r="F90" s="1">
        <v>0.85819999999999996</v>
      </c>
      <c r="G90" s="1">
        <v>1</v>
      </c>
      <c r="H90" s="1">
        <v>61.6</v>
      </c>
      <c r="I90" s="1">
        <v>3.4</v>
      </c>
      <c r="J90" s="1">
        <v>2.02</v>
      </c>
      <c r="K90" s="1">
        <v>38.4</v>
      </c>
      <c r="L90" s="13">
        <v>0</v>
      </c>
      <c r="M90" s="13">
        <v>1</v>
      </c>
      <c r="N90" s="78">
        <v>0</v>
      </c>
      <c r="O90" s="13">
        <v>1</v>
      </c>
    </row>
    <row r="91" spans="1:15" x14ac:dyDescent="0.25">
      <c r="A91">
        <v>3</v>
      </c>
      <c r="B91">
        <v>10</v>
      </c>
      <c r="C91" s="1">
        <v>384</v>
      </c>
      <c r="D91" s="1">
        <v>2.2667999999999999</v>
      </c>
      <c r="E91" s="1">
        <v>1.6169</v>
      </c>
      <c r="F91" s="1">
        <v>0.64990000000000003</v>
      </c>
      <c r="G91" s="1">
        <v>0.83330000000000004</v>
      </c>
      <c r="H91" s="1">
        <v>61.66</v>
      </c>
      <c r="I91" s="1">
        <v>3.31</v>
      </c>
      <c r="J91" s="1">
        <v>1.92</v>
      </c>
      <c r="K91" s="1">
        <v>38.340000000000003</v>
      </c>
      <c r="L91" s="13">
        <v>0</v>
      </c>
      <c r="M91" s="13">
        <v>1</v>
      </c>
      <c r="N91" s="78">
        <v>0</v>
      </c>
      <c r="O91" s="13">
        <v>1</v>
      </c>
    </row>
    <row r="92" spans="1:15" x14ac:dyDescent="0.25">
      <c r="A92">
        <v>3</v>
      </c>
      <c r="B92">
        <v>14</v>
      </c>
      <c r="C92" s="1">
        <v>492</v>
      </c>
      <c r="D92" s="1">
        <v>2.5939999999999999</v>
      </c>
      <c r="E92" s="1">
        <v>2.456</v>
      </c>
      <c r="F92" s="1">
        <v>0.13800000000000001</v>
      </c>
      <c r="G92" s="1">
        <v>0.64</v>
      </c>
      <c r="H92" s="1">
        <v>58.66</v>
      </c>
      <c r="I92" s="1">
        <v>6.06</v>
      </c>
      <c r="J92" s="1">
        <v>2</v>
      </c>
      <c r="K92" s="1">
        <v>41.34</v>
      </c>
      <c r="L92" s="13">
        <v>0</v>
      </c>
      <c r="M92" s="13">
        <v>1</v>
      </c>
      <c r="N92" s="78">
        <v>0</v>
      </c>
      <c r="O92" s="13">
        <v>1</v>
      </c>
    </row>
    <row r="93" spans="1:15" x14ac:dyDescent="0.25">
      <c r="A93">
        <v>3</v>
      </c>
      <c r="B93">
        <v>14</v>
      </c>
      <c r="C93" s="1">
        <v>480</v>
      </c>
      <c r="D93" s="1">
        <v>3.2985000000000002</v>
      </c>
      <c r="E93" s="1">
        <v>3.0630999999999999</v>
      </c>
      <c r="F93" s="1">
        <v>0.2354</v>
      </c>
      <c r="G93" s="1">
        <v>1</v>
      </c>
      <c r="H93" s="1">
        <v>58.37</v>
      </c>
      <c r="I93" s="1">
        <v>5.88</v>
      </c>
      <c r="J93" s="1">
        <v>2.02</v>
      </c>
      <c r="K93" s="1">
        <v>41.63</v>
      </c>
      <c r="L93" s="13">
        <v>0</v>
      </c>
      <c r="M93" s="13">
        <v>1</v>
      </c>
      <c r="N93" s="78">
        <v>0</v>
      </c>
      <c r="O93" s="13">
        <v>1</v>
      </c>
    </row>
    <row r="94" spans="1:15" x14ac:dyDescent="0.25">
      <c r="A94">
        <v>3</v>
      </c>
      <c r="B94">
        <v>14</v>
      </c>
      <c r="C94" s="1">
        <v>468</v>
      </c>
      <c r="D94" s="1">
        <v>2.6025999999999998</v>
      </c>
      <c r="E94" s="1">
        <v>2.3492000000000002</v>
      </c>
      <c r="F94" s="1">
        <v>0.25340000000000001</v>
      </c>
      <c r="G94" s="1">
        <v>1</v>
      </c>
      <c r="H94" s="1">
        <v>58.4</v>
      </c>
      <c r="I94" s="1">
        <v>5.62</v>
      </c>
      <c r="J94" s="1">
        <v>2</v>
      </c>
      <c r="K94" s="1">
        <v>41.6</v>
      </c>
      <c r="L94" s="13">
        <v>0</v>
      </c>
      <c r="M94" s="13">
        <v>1</v>
      </c>
      <c r="N94" s="78">
        <v>0</v>
      </c>
      <c r="O94" s="13">
        <v>1</v>
      </c>
    </row>
    <row r="95" spans="1:15" x14ac:dyDescent="0.25">
      <c r="A95">
        <v>3</v>
      </c>
      <c r="B95">
        <v>14</v>
      </c>
      <c r="C95" s="1">
        <v>456</v>
      </c>
      <c r="D95" s="1">
        <v>2.0142000000000002</v>
      </c>
      <c r="E95" s="1">
        <v>1.7428999999999999</v>
      </c>
      <c r="F95" s="1">
        <v>0.27129999999999999</v>
      </c>
      <c r="G95" s="1">
        <v>1</v>
      </c>
      <c r="H95" s="1">
        <v>59.16</v>
      </c>
      <c r="I95" s="1">
        <v>4.88</v>
      </c>
      <c r="J95" s="1">
        <v>1.77</v>
      </c>
      <c r="K95" s="1">
        <v>40.840000000000003</v>
      </c>
      <c r="L95" s="13">
        <v>0</v>
      </c>
      <c r="M95" s="13">
        <v>1</v>
      </c>
      <c r="N95" s="78">
        <v>0</v>
      </c>
      <c r="O95" s="13">
        <v>1</v>
      </c>
    </row>
    <row r="96" spans="1:15" x14ac:dyDescent="0.25">
      <c r="A96">
        <v>3</v>
      </c>
      <c r="B96">
        <v>14</v>
      </c>
      <c r="C96" s="1">
        <v>444</v>
      </c>
      <c r="D96" s="1">
        <v>1.5573999999999999</v>
      </c>
      <c r="E96" s="1">
        <v>1.2438</v>
      </c>
      <c r="F96" s="1">
        <v>0.31359999999999999</v>
      </c>
      <c r="G96" s="1">
        <v>1</v>
      </c>
      <c r="H96" s="1">
        <v>59.45</v>
      </c>
      <c r="I96" s="1">
        <v>4.93</v>
      </c>
      <c r="J96" s="1">
        <v>1.58</v>
      </c>
      <c r="K96" s="1">
        <v>40.549999999999997</v>
      </c>
      <c r="L96" s="13">
        <v>0</v>
      </c>
      <c r="M96" s="13">
        <v>1</v>
      </c>
      <c r="N96" s="78">
        <v>0</v>
      </c>
      <c r="O96" s="13">
        <v>1</v>
      </c>
    </row>
    <row r="97" spans="1:15" x14ac:dyDescent="0.25">
      <c r="A97">
        <v>3</v>
      </c>
      <c r="B97">
        <v>14</v>
      </c>
      <c r="C97" s="1">
        <v>432</v>
      </c>
      <c r="D97" s="1">
        <v>1.1587000000000001</v>
      </c>
      <c r="E97" s="1">
        <v>0.82520000000000004</v>
      </c>
      <c r="F97" s="1">
        <v>0.33350000000000002</v>
      </c>
      <c r="G97" s="1">
        <v>1</v>
      </c>
      <c r="H97" s="1">
        <v>59.52</v>
      </c>
      <c r="I97" s="1">
        <v>5.0599999999999996</v>
      </c>
      <c r="J97" s="1">
        <v>1.51</v>
      </c>
      <c r="K97" s="1">
        <v>40.479999999999997</v>
      </c>
      <c r="L97" s="13">
        <v>0</v>
      </c>
      <c r="M97" s="13">
        <v>1</v>
      </c>
      <c r="N97" s="78">
        <v>0</v>
      </c>
      <c r="O97" s="13">
        <v>1</v>
      </c>
    </row>
    <row r="98" spans="1:15" x14ac:dyDescent="0.25">
      <c r="A98">
        <v>3</v>
      </c>
      <c r="B98">
        <v>14</v>
      </c>
      <c r="C98" s="1">
        <v>420</v>
      </c>
      <c r="D98" s="1">
        <v>0.31940000000000002</v>
      </c>
      <c r="E98" s="1">
        <v>0.19289999999999999</v>
      </c>
      <c r="F98" s="1">
        <v>0.12659999999999999</v>
      </c>
      <c r="G98" s="1">
        <v>0.4</v>
      </c>
      <c r="H98" s="1">
        <v>59.48</v>
      </c>
      <c r="I98" s="1">
        <v>5.1100000000000003</v>
      </c>
      <c r="J98" s="1">
        <v>1.41</v>
      </c>
      <c r="K98" s="1">
        <v>40.520000000000003</v>
      </c>
      <c r="L98" s="13">
        <v>0</v>
      </c>
      <c r="M98" s="13">
        <v>1</v>
      </c>
      <c r="N98" s="78">
        <v>0</v>
      </c>
      <c r="O98" s="13">
        <v>1</v>
      </c>
    </row>
    <row r="99" spans="1:15" x14ac:dyDescent="0.25">
      <c r="A99">
        <v>4</v>
      </c>
      <c r="B99">
        <v>2</v>
      </c>
      <c r="C99" s="1">
        <v>396</v>
      </c>
      <c r="D99" s="1">
        <v>1.944</v>
      </c>
      <c r="E99" s="1">
        <v>1.4258</v>
      </c>
      <c r="F99" s="1">
        <v>0.51819999999999999</v>
      </c>
      <c r="G99" s="1">
        <v>0.57140000000000002</v>
      </c>
      <c r="H99" s="1">
        <v>59.21</v>
      </c>
      <c r="I99" s="1">
        <v>5.22</v>
      </c>
      <c r="J99" s="1">
        <v>1.57</v>
      </c>
      <c r="K99" s="1">
        <v>40.79</v>
      </c>
      <c r="L99" s="13">
        <v>0</v>
      </c>
      <c r="M99" s="13">
        <v>1</v>
      </c>
      <c r="N99" s="78">
        <v>1</v>
      </c>
      <c r="O99" s="13">
        <v>0</v>
      </c>
    </row>
    <row r="100" spans="1:15" x14ac:dyDescent="0.25">
      <c r="A100">
        <v>4</v>
      </c>
      <c r="B100">
        <v>2</v>
      </c>
      <c r="C100" s="1">
        <v>384</v>
      </c>
      <c r="D100" s="1">
        <v>2.9510000000000001</v>
      </c>
      <c r="E100" s="1">
        <v>2.1217000000000001</v>
      </c>
      <c r="F100" s="1">
        <v>0.82930000000000004</v>
      </c>
      <c r="G100" s="1">
        <v>1</v>
      </c>
      <c r="H100" s="1">
        <v>59.55</v>
      </c>
      <c r="I100" s="1">
        <v>5.13</v>
      </c>
      <c r="J100" s="1">
        <v>1.49</v>
      </c>
      <c r="K100" s="1">
        <v>40.450000000000003</v>
      </c>
      <c r="L100" s="13">
        <v>0</v>
      </c>
      <c r="M100" s="13">
        <v>1</v>
      </c>
      <c r="N100" s="78">
        <v>1</v>
      </c>
      <c r="O100" s="13">
        <v>0</v>
      </c>
    </row>
    <row r="101" spans="1:15" x14ac:dyDescent="0.25">
      <c r="A101">
        <v>4</v>
      </c>
      <c r="B101">
        <v>2</v>
      </c>
      <c r="C101" s="1">
        <v>372</v>
      </c>
      <c r="D101" s="1">
        <v>2.5335999999999999</v>
      </c>
      <c r="E101" s="1">
        <v>1.8172999999999999</v>
      </c>
      <c r="F101" s="1">
        <v>0.71630000000000005</v>
      </c>
      <c r="G101" s="1">
        <v>1</v>
      </c>
      <c r="H101" s="1">
        <v>59.71</v>
      </c>
      <c r="I101" s="1">
        <v>4.91</v>
      </c>
      <c r="J101" s="1">
        <v>1.35</v>
      </c>
      <c r="K101" s="1">
        <v>40.29</v>
      </c>
      <c r="L101" s="13">
        <v>0</v>
      </c>
      <c r="M101" s="13">
        <v>1</v>
      </c>
      <c r="N101" s="78">
        <v>1</v>
      </c>
      <c r="O101" s="13">
        <v>0</v>
      </c>
    </row>
    <row r="102" spans="1:15" x14ac:dyDescent="0.25">
      <c r="A102">
        <v>4</v>
      </c>
      <c r="B102">
        <v>2</v>
      </c>
      <c r="C102" s="1">
        <v>360</v>
      </c>
      <c r="D102" s="1">
        <v>2.1677</v>
      </c>
      <c r="E102" s="1">
        <v>1.4636</v>
      </c>
      <c r="F102" s="1">
        <v>0.70409999999999995</v>
      </c>
      <c r="G102" s="1">
        <v>1</v>
      </c>
      <c r="H102" s="1">
        <v>59.6</v>
      </c>
      <c r="I102" s="1">
        <v>5.01</v>
      </c>
      <c r="J102" s="1">
        <v>1.27</v>
      </c>
      <c r="K102" s="1">
        <v>40.4</v>
      </c>
      <c r="L102" s="13">
        <v>0</v>
      </c>
      <c r="M102" s="13">
        <v>1</v>
      </c>
      <c r="N102" s="78">
        <v>1</v>
      </c>
      <c r="O102" s="13">
        <v>0</v>
      </c>
    </row>
    <row r="103" spans="1:15" x14ac:dyDescent="0.25">
      <c r="A103">
        <v>4</v>
      </c>
      <c r="B103">
        <v>2</v>
      </c>
      <c r="C103" s="1">
        <v>348</v>
      </c>
      <c r="D103" s="1">
        <v>1.7645999999999999</v>
      </c>
      <c r="E103" s="1">
        <v>1.1283000000000001</v>
      </c>
      <c r="F103" s="1">
        <v>0.63629999999999998</v>
      </c>
      <c r="G103" s="1">
        <v>1</v>
      </c>
      <c r="H103" s="1">
        <v>59.67</v>
      </c>
      <c r="I103" s="1">
        <v>5.25</v>
      </c>
      <c r="J103" s="1">
        <v>1.22</v>
      </c>
      <c r="K103" s="1">
        <v>40.33</v>
      </c>
      <c r="L103" s="13">
        <v>0</v>
      </c>
      <c r="M103" s="13">
        <v>1</v>
      </c>
      <c r="N103" s="78">
        <v>1</v>
      </c>
      <c r="O103" s="13">
        <v>0</v>
      </c>
    </row>
    <row r="104" spans="1:15" x14ac:dyDescent="0.25">
      <c r="A104">
        <v>4</v>
      </c>
      <c r="B104">
        <v>2</v>
      </c>
      <c r="C104" s="1">
        <v>336</v>
      </c>
      <c r="D104" s="1">
        <v>1.3229</v>
      </c>
      <c r="E104" s="1">
        <v>0.71099999999999997</v>
      </c>
      <c r="F104" s="1">
        <v>0.61180000000000001</v>
      </c>
      <c r="G104" s="1">
        <v>1</v>
      </c>
      <c r="H104" s="1">
        <v>59.63</v>
      </c>
      <c r="I104" s="1">
        <v>5.69</v>
      </c>
      <c r="J104" s="1">
        <v>1.19</v>
      </c>
      <c r="K104" s="1">
        <v>40.369999999999997</v>
      </c>
      <c r="L104" s="13">
        <v>0</v>
      </c>
      <c r="M104" s="13">
        <v>1</v>
      </c>
      <c r="N104" s="78">
        <v>1</v>
      </c>
      <c r="O104" s="13">
        <v>0</v>
      </c>
    </row>
    <row r="105" spans="1:15" x14ac:dyDescent="0.25">
      <c r="A105">
        <v>4</v>
      </c>
      <c r="B105">
        <v>2</v>
      </c>
      <c r="C105" s="1">
        <v>324</v>
      </c>
      <c r="D105" s="1">
        <v>0.99260000000000004</v>
      </c>
      <c r="E105" s="1">
        <v>0.54890000000000005</v>
      </c>
      <c r="F105" s="1">
        <v>0.44369999999999998</v>
      </c>
      <c r="G105" s="1">
        <v>1</v>
      </c>
      <c r="H105" s="1">
        <v>59.61</v>
      </c>
      <c r="I105" s="1">
        <v>5.58</v>
      </c>
      <c r="J105" s="1">
        <v>1.29</v>
      </c>
      <c r="K105" s="1">
        <v>40.39</v>
      </c>
      <c r="L105" s="13">
        <v>0</v>
      </c>
      <c r="M105" s="13">
        <v>1</v>
      </c>
      <c r="N105" s="78">
        <v>1</v>
      </c>
      <c r="O105" s="13">
        <v>0</v>
      </c>
    </row>
    <row r="106" spans="1:15" x14ac:dyDescent="0.25">
      <c r="A106">
        <v>4</v>
      </c>
      <c r="B106">
        <v>4</v>
      </c>
      <c r="C106" s="1">
        <v>456</v>
      </c>
      <c r="D106" s="1">
        <v>0.28360000000000002</v>
      </c>
      <c r="E106" s="1">
        <v>0.2137</v>
      </c>
      <c r="F106" s="1">
        <v>6.9800000000000001E-2</v>
      </c>
      <c r="G106" s="1">
        <v>6.25E-2</v>
      </c>
      <c r="H106" s="1">
        <v>58.11</v>
      </c>
      <c r="I106" s="1">
        <v>4.95</v>
      </c>
      <c r="J106" s="1">
        <v>2.29</v>
      </c>
      <c r="K106" s="1">
        <v>41.89</v>
      </c>
      <c r="L106" s="13">
        <v>0</v>
      </c>
      <c r="M106" s="13">
        <v>1</v>
      </c>
      <c r="N106" s="78">
        <v>1</v>
      </c>
      <c r="O106" s="13">
        <v>0</v>
      </c>
    </row>
    <row r="107" spans="1:15" x14ac:dyDescent="0.25">
      <c r="A107">
        <v>4</v>
      </c>
      <c r="B107">
        <v>4</v>
      </c>
      <c r="C107" s="1">
        <v>444</v>
      </c>
      <c r="D107" s="1">
        <v>3.8993000000000002</v>
      </c>
      <c r="E107" s="1">
        <v>2.8100999999999998</v>
      </c>
      <c r="F107" s="1">
        <v>1.0891</v>
      </c>
      <c r="G107" s="1">
        <v>1</v>
      </c>
      <c r="H107" s="1">
        <v>57.95</v>
      </c>
      <c r="I107" s="1">
        <v>5.46</v>
      </c>
      <c r="J107" s="1">
        <v>2.29</v>
      </c>
      <c r="K107" s="1">
        <v>42.05</v>
      </c>
      <c r="L107" s="13">
        <v>0</v>
      </c>
      <c r="M107" s="13">
        <v>1</v>
      </c>
      <c r="N107" s="78">
        <v>1</v>
      </c>
      <c r="O107" s="13">
        <v>0</v>
      </c>
    </row>
    <row r="108" spans="1:15" x14ac:dyDescent="0.25">
      <c r="A108">
        <v>4</v>
      </c>
      <c r="B108">
        <v>4</v>
      </c>
      <c r="C108" s="1">
        <v>432</v>
      </c>
      <c r="D108" s="1">
        <v>3.2824</v>
      </c>
      <c r="E108" s="1">
        <v>2.3081</v>
      </c>
      <c r="F108" s="1">
        <v>0.97430000000000005</v>
      </c>
      <c r="G108" s="1">
        <v>1</v>
      </c>
      <c r="H108" s="1">
        <v>57.66</v>
      </c>
      <c r="I108" s="1">
        <v>5.75</v>
      </c>
      <c r="J108" s="1">
        <v>2.35</v>
      </c>
      <c r="K108" s="1">
        <v>42.34</v>
      </c>
      <c r="L108" s="13">
        <v>0</v>
      </c>
      <c r="M108" s="13">
        <v>1</v>
      </c>
      <c r="N108" s="78">
        <v>1</v>
      </c>
      <c r="O108" s="13">
        <v>0</v>
      </c>
    </row>
    <row r="109" spans="1:15" x14ac:dyDescent="0.25">
      <c r="A109">
        <v>4</v>
      </c>
      <c r="B109">
        <v>4</v>
      </c>
      <c r="C109" s="1">
        <v>420</v>
      </c>
      <c r="D109" s="1">
        <v>2.633</v>
      </c>
      <c r="E109" s="1">
        <v>1.8713</v>
      </c>
      <c r="F109" s="1">
        <v>0.76170000000000004</v>
      </c>
      <c r="G109" s="1">
        <v>1</v>
      </c>
      <c r="H109" s="1">
        <v>57.33</v>
      </c>
      <c r="I109" s="1">
        <v>6.01</v>
      </c>
      <c r="J109" s="1">
        <v>2.4</v>
      </c>
      <c r="K109" s="1">
        <v>42.67</v>
      </c>
      <c r="L109" s="13">
        <v>0</v>
      </c>
      <c r="M109" s="13">
        <v>1</v>
      </c>
      <c r="N109" s="78">
        <v>1</v>
      </c>
      <c r="O109" s="13">
        <v>0</v>
      </c>
    </row>
    <row r="110" spans="1:15" x14ac:dyDescent="0.25">
      <c r="A110">
        <v>4</v>
      </c>
      <c r="B110">
        <v>4</v>
      </c>
      <c r="C110" s="1">
        <v>408</v>
      </c>
      <c r="D110" s="1">
        <v>1.8585</v>
      </c>
      <c r="E110" s="1">
        <v>1.3247</v>
      </c>
      <c r="F110" s="1">
        <v>0.53380000000000005</v>
      </c>
      <c r="G110" s="1">
        <v>1</v>
      </c>
      <c r="H110" s="1">
        <v>57.36</v>
      </c>
      <c r="I110" s="1">
        <v>5.96</v>
      </c>
      <c r="J110" s="1">
        <v>2.5299999999999998</v>
      </c>
      <c r="K110" s="1">
        <v>42.64</v>
      </c>
      <c r="L110" s="13">
        <v>0</v>
      </c>
      <c r="M110" s="13">
        <v>1</v>
      </c>
      <c r="N110" s="78">
        <v>1</v>
      </c>
      <c r="O110" s="13">
        <v>0</v>
      </c>
    </row>
    <row r="111" spans="1:15" x14ac:dyDescent="0.25">
      <c r="A111">
        <v>4</v>
      </c>
      <c r="B111">
        <v>4</v>
      </c>
      <c r="C111" s="1">
        <v>396</v>
      </c>
      <c r="D111" s="1">
        <v>0.93979999999999997</v>
      </c>
      <c r="E111" s="1">
        <v>0.67259999999999998</v>
      </c>
      <c r="F111" s="1">
        <v>0.26719999999999999</v>
      </c>
      <c r="G111" s="1">
        <v>1</v>
      </c>
      <c r="H111" s="1">
        <v>58.21</v>
      </c>
      <c r="I111" s="1">
        <v>5.43</v>
      </c>
      <c r="J111" s="1">
        <v>2.0299999999999998</v>
      </c>
      <c r="K111" s="1">
        <v>41.79</v>
      </c>
      <c r="L111" s="13">
        <v>0</v>
      </c>
      <c r="M111" s="13">
        <v>1</v>
      </c>
      <c r="N111" s="78">
        <v>1</v>
      </c>
      <c r="O111" s="13">
        <v>0</v>
      </c>
    </row>
    <row r="112" spans="1:15" x14ac:dyDescent="0.25">
      <c r="A112">
        <v>4</v>
      </c>
      <c r="B112">
        <v>4</v>
      </c>
      <c r="C112" s="1">
        <v>384</v>
      </c>
      <c r="D112" s="1">
        <v>0.4879</v>
      </c>
      <c r="E112" s="1">
        <v>0.30859999999999999</v>
      </c>
      <c r="F112" s="1">
        <v>0.17929999999999999</v>
      </c>
      <c r="G112" s="1">
        <v>1</v>
      </c>
      <c r="H112" s="1">
        <v>58.15</v>
      </c>
      <c r="I112" s="1">
        <v>5.85</v>
      </c>
      <c r="J112" s="1">
        <v>2.16</v>
      </c>
      <c r="K112" s="1">
        <v>41.85</v>
      </c>
      <c r="L112" s="13">
        <v>0</v>
      </c>
      <c r="M112" s="13">
        <v>1</v>
      </c>
      <c r="N112" s="78">
        <v>1</v>
      </c>
      <c r="O112" s="13">
        <v>0</v>
      </c>
    </row>
    <row r="113" spans="1:15" x14ac:dyDescent="0.25">
      <c r="A113">
        <v>4</v>
      </c>
      <c r="B113">
        <v>4</v>
      </c>
      <c r="C113" s="1">
        <v>372</v>
      </c>
      <c r="D113" s="1">
        <v>0.13539999999999999</v>
      </c>
      <c r="E113" s="1">
        <v>7.9399999999999998E-2</v>
      </c>
      <c r="F113" s="1">
        <v>5.6000000000000001E-2</v>
      </c>
      <c r="G113" s="1">
        <v>0.8</v>
      </c>
      <c r="H113" s="1">
        <v>57.3</v>
      </c>
      <c r="I113" s="1">
        <v>6.88</v>
      </c>
      <c r="J113" s="1">
        <v>2.29</v>
      </c>
      <c r="K113" s="1">
        <v>42.7</v>
      </c>
      <c r="L113" s="13">
        <v>0</v>
      </c>
      <c r="M113" s="13">
        <v>1</v>
      </c>
      <c r="N113" s="78">
        <v>1</v>
      </c>
      <c r="O113" s="13">
        <v>0</v>
      </c>
    </row>
    <row r="114" spans="1:15" x14ac:dyDescent="0.25">
      <c r="A114">
        <v>4</v>
      </c>
      <c r="B114">
        <v>8</v>
      </c>
      <c r="C114" s="1">
        <v>468</v>
      </c>
      <c r="D114" s="1">
        <v>4.7582000000000004</v>
      </c>
      <c r="E114" s="1">
        <v>4.3986999999999998</v>
      </c>
      <c r="F114" s="1">
        <v>0.3594</v>
      </c>
      <c r="G114" s="1">
        <v>0.52629999999999999</v>
      </c>
      <c r="H114" s="1">
        <v>64.53</v>
      </c>
      <c r="I114" s="1">
        <v>2.76</v>
      </c>
      <c r="J114" s="1">
        <v>2.04</v>
      </c>
      <c r="K114" s="1">
        <v>35.47</v>
      </c>
      <c r="L114" s="13">
        <v>0</v>
      </c>
      <c r="M114" s="13">
        <v>1</v>
      </c>
      <c r="N114" s="78">
        <v>0</v>
      </c>
      <c r="O114" s="13">
        <v>1</v>
      </c>
    </row>
    <row r="115" spans="1:15" x14ac:dyDescent="0.25">
      <c r="A115">
        <v>4</v>
      </c>
      <c r="B115">
        <v>8</v>
      </c>
      <c r="C115" s="1">
        <v>456</v>
      </c>
      <c r="D115" s="1">
        <v>7.6879</v>
      </c>
      <c r="E115" s="1">
        <v>7.0404999999999998</v>
      </c>
      <c r="F115" s="1">
        <v>0.64739999999999998</v>
      </c>
      <c r="G115" s="1">
        <v>1</v>
      </c>
      <c r="H115" s="1">
        <v>64.64</v>
      </c>
      <c r="I115" s="1">
        <v>2.4300000000000002</v>
      </c>
      <c r="J115" s="1">
        <v>1.91</v>
      </c>
      <c r="K115" s="1">
        <v>35.36</v>
      </c>
      <c r="L115" s="13">
        <v>0</v>
      </c>
      <c r="M115" s="13">
        <v>1</v>
      </c>
      <c r="N115" s="78">
        <v>0</v>
      </c>
      <c r="O115" s="13">
        <v>1</v>
      </c>
    </row>
    <row r="116" spans="1:15" x14ac:dyDescent="0.25">
      <c r="A116">
        <v>4</v>
      </c>
      <c r="B116">
        <v>8</v>
      </c>
      <c r="C116" s="1">
        <v>444</v>
      </c>
      <c r="D116" s="1">
        <v>6.5258000000000003</v>
      </c>
      <c r="E116" s="1">
        <v>5.8989000000000003</v>
      </c>
      <c r="F116" s="1">
        <v>0.62680000000000002</v>
      </c>
      <c r="G116" s="1">
        <v>1</v>
      </c>
      <c r="H116" s="1">
        <v>64.23</v>
      </c>
      <c r="I116" s="1">
        <v>2.54</v>
      </c>
      <c r="J116" s="1">
        <v>1.94</v>
      </c>
      <c r="K116" s="1">
        <v>35.770000000000003</v>
      </c>
      <c r="L116" s="13">
        <v>0</v>
      </c>
      <c r="M116" s="13">
        <v>1</v>
      </c>
      <c r="N116" s="78">
        <v>0</v>
      </c>
      <c r="O116" s="13">
        <v>1</v>
      </c>
    </row>
    <row r="117" spans="1:15" x14ac:dyDescent="0.25">
      <c r="A117">
        <v>4</v>
      </c>
      <c r="B117">
        <v>8</v>
      </c>
      <c r="C117" s="1">
        <v>432</v>
      </c>
      <c r="D117" s="1">
        <v>5.6087999999999996</v>
      </c>
      <c r="E117" s="1">
        <v>4.9814999999999996</v>
      </c>
      <c r="F117" s="1">
        <v>0.62739999999999996</v>
      </c>
      <c r="G117" s="1">
        <v>1</v>
      </c>
      <c r="H117" s="1">
        <v>64.03</v>
      </c>
      <c r="I117" s="1">
        <v>2.69</v>
      </c>
      <c r="J117" s="1">
        <v>1.97</v>
      </c>
      <c r="K117" s="1">
        <v>35.97</v>
      </c>
      <c r="L117" s="13">
        <v>0</v>
      </c>
      <c r="M117" s="13">
        <v>1</v>
      </c>
      <c r="N117" s="78">
        <v>0</v>
      </c>
      <c r="O117" s="13">
        <v>1</v>
      </c>
    </row>
    <row r="118" spans="1:15" x14ac:dyDescent="0.25">
      <c r="A118">
        <v>4</v>
      </c>
      <c r="B118">
        <v>8</v>
      </c>
      <c r="C118" s="1">
        <v>420</v>
      </c>
      <c r="D118" s="1">
        <v>4.8480999999999996</v>
      </c>
      <c r="E118" s="1">
        <v>4.2154999999999996</v>
      </c>
      <c r="F118" s="1">
        <v>0.63260000000000005</v>
      </c>
      <c r="G118" s="1">
        <v>1</v>
      </c>
      <c r="H118" s="1">
        <v>64.33</v>
      </c>
      <c r="I118" s="1">
        <v>2.79</v>
      </c>
      <c r="J118" s="1">
        <v>1.9</v>
      </c>
      <c r="K118" s="1">
        <v>35.67</v>
      </c>
      <c r="L118" s="13">
        <v>0</v>
      </c>
      <c r="M118" s="13">
        <v>1</v>
      </c>
      <c r="N118" s="78">
        <v>0</v>
      </c>
      <c r="O118" s="13">
        <v>1</v>
      </c>
    </row>
    <row r="119" spans="1:15" x14ac:dyDescent="0.25">
      <c r="A119">
        <v>4</v>
      </c>
      <c r="B119">
        <v>8</v>
      </c>
      <c r="C119" s="1">
        <v>408</v>
      </c>
      <c r="D119" s="1">
        <v>4.1498999999999997</v>
      </c>
      <c r="E119" s="1">
        <v>3.5114000000000001</v>
      </c>
      <c r="F119" s="1">
        <v>0.63849999999999996</v>
      </c>
      <c r="G119" s="1">
        <v>1</v>
      </c>
      <c r="H119" s="1">
        <v>64.66</v>
      </c>
      <c r="I119" s="1">
        <v>2.77</v>
      </c>
      <c r="J119" s="1">
        <v>1.74</v>
      </c>
      <c r="K119" s="1">
        <v>35.340000000000003</v>
      </c>
      <c r="L119" s="13">
        <v>0</v>
      </c>
      <c r="M119" s="13">
        <v>1</v>
      </c>
      <c r="N119" s="78">
        <v>0</v>
      </c>
      <c r="O119" s="13">
        <v>1</v>
      </c>
    </row>
    <row r="120" spans="1:15" x14ac:dyDescent="0.25">
      <c r="A120">
        <v>4</v>
      </c>
      <c r="B120">
        <v>8</v>
      </c>
      <c r="C120" s="1">
        <v>396</v>
      </c>
      <c r="D120" s="1">
        <v>3.5526</v>
      </c>
      <c r="E120" s="1">
        <v>2.9192999999999998</v>
      </c>
      <c r="F120" s="1">
        <v>0.63319999999999999</v>
      </c>
      <c r="G120" s="1">
        <v>1</v>
      </c>
      <c r="H120" s="1">
        <v>64.959999999999994</v>
      </c>
      <c r="I120" s="1">
        <v>2.5299999999999998</v>
      </c>
      <c r="J120" s="1">
        <v>1.66</v>
      </c>
      <c r="K120" s="1">
        <v>35.04</v>
      </c>
      <c r="L120" s="13">
        <v>0</v>
      </c>
      <c r="M120" s="13">
        <v>1</v>
      </c>
      <c r="N120" s="78">
        <v>0</v>
      </c>
      <c r="O120" s="13">
        <v>1</v>
      </c>
    </row>
    <row r="121" spans="1:15" x14ac:dyDescent="0.25">
      <c r="A121">
        <v>4</v>
      </c>
      <c r="B121">
        <v>8</v>
      </c>
      <c r="C121" s="1">
        <v>384</v>
      </c>
      <c r="D121" s="1">
        <v>0.98329999999999995</v>
      </c>
      <c r="E121" s="1">
        <v>0.78090000000000004</v>
      </c>
      <c r="F121" s="1">
        <v>0.2024</v>
      </c>
      <c r="G121" s="1">
        <v>0.33329999999999999</v>
      </c>
      <c r="H121" s="1">
        <v>64.930000000000007</v>
      </c>
      <c r="I121" s="1">
        <v>2.41</v>
      </c>
      <c r="J121" s="1">
        <v>1.56</v>
      </c>
      <c r="K121" s="1">
        <v>35.07</v>
      </c>
      <c r="L121" s="13">
        <v>0</v>
      </c>
      <c r="M121" s="13">
        <v>1</v>
      </c>
      <c r="N121" s="78">
        <v>0</v>
      </c>
      <c r="O121" s="13">
        <v>1</v>
      </c>
    </row>
    <row r="122" spans="1:15" x14ac:dyDescent="0.25">
      <c r="A122">
        <v>4</v>
      </c>
      <c r="B122">
        <v>16</v>
      </c>
      <c r="C122" s="1">
        <v>564</v>
      </c>
      <c r="D122" s="1">
        <v>0.63360000000000005</v>
      </c>
      <c r="E122" s="1">
        <v>0.57530000000000003</v>
      </c>
      <c r="F122" s="1">
        <v>5.8299999999999998E-2</v>
      </c>
      <c r="G122" s="1">
        <v>1</v>
      </c>
      <c r="H122" s="1">
        <v>57.62</v>
      </c>
      <c r="I122" s="1">
        <v>7.57</v>
      </c>
      <c r="J122" s="1">
        <v>2.38</v>
      </c>
      <c r="K122" s="1">
        <v>42.38</v>
      </c>
      <c r="L122" s="13">
        <v>0</v>
      </c>
      <c r="M122" s="13">
        <v>1</v>
      </c>
      <c r="N122" s="78">
        <v>0</v>
      </c>
      <c r="O122" s="13">
        <v>1</v>
      </c>
    </row>
    <row r="123" spans="1:15" x14ac:dyDescent="0.25">
      <c r="A123">
        <v>4</v>
      </c>
      <c r="B123">
        <v>16</v>
      </c>
      <c r="C123" s="1">
        <v>552</v>
      </c>
      <c r="D123" s="1">
        <v>1.2623</v>
      </c>
      <c r="E123" s="1">
        <v>1.1880999999999999</v>
      </c>
      <c r="F123" s="1">
        <v>7.4099999999999999E-2</v>
      </c>
      <c r="G123" s="1">
        <v>1</v>
      </c>
      <c r="H123" s="1">
        <v>57.72</v>
      </c>
      <c r="I123" s="1">
        <v>7.58</v>
      </c>
      <c r="J123" s="1">
        <v>2.31</v>
      </c>
      <c r="K123" s="1">
        <v>42.28</v>
      </c>
      <c r="L123" s="13">
        <v>0</v>
      </c>
      <c r="M123" s="13">
        <v>1</v>
      </c>
      <c r="N123" s="78">
        <v>0</v>
      </c>
      <c r="O123" s="13">
        <v>1</v>
      </c>
    </row>
    <row r="124" spans="1:15" x14ac:dyDescent="0.25">
      <c r="A124">
        <v>4</v>
      </c>
      <c r="B124">
        <v>16</v>
      </c>
      <c r="C124" s="1">
        <v>540</v>
      </c>
      <c r="D124" s="1">
        <v>1.415</v>
      </c>
      <c r="E124" s="1">
        <v>1.3407</v>
      </c>
      <c r="F124" s="1">
        <v>7.4300000000000005E-2</v>
      </c>
      <c r="G124" s="1">
        <v>1</v>
      </c>
      <c r="H124" s="1">
        <v>57.94</v>
      </c>
      <c r="I124" s="1">
        <v>7.44</v>
      </c>
      <c r="J124" s="1">
        <v>2.25</v>
      </c>
      <c r="K124" s="1">
        <v>42.06</v>
      </c>
      <c r="L124" s="13">
        <v>0</v>
      </c>
      <c r="M124" s="13">
        <v>1</v>
      </c>
      <c r="N124" s="78">
        <v>0</v>
      </c>
      <c r="O124" s="13">
        <v>1</v>
      </c>
    </row>
    <row r="125" spans="1:15" x14ac:dyDescent="0.25">
      <c r="A125">
        <v>4</v>
      </c>
      <c r="B125">
        <v>16</v>
      </c>
      <c r="C125" s="1">
        <v>528</v>
      </c>
      <c r="D125" s="1">
        <v>1.1052999999999999</v>
      </c>
      <c r="E125" s="1">
        <v>1.0306</v>
      </c>
      <c r="F125" s="1">
        <v>7.4700000000000003E-2</v>
      </c>
      <c r="G125" s="1">
        <v>1</v>
      </c>
      <c r="H125" s="1">
        <v>58.12</v>
      </c>
      <c r="I125" s="1">
        <v>7.25</v>
      </c>
      <c r="J125" s="1">
        <v>2.2400000000000002</v>
      </c>
      <c r="K125" s="1">
        <v>41.88</v>
      </c>
      <c r="L125" s="13">
        <v>0</v>
      </c>
      <c r="M125" s="13">
        <v>1</v>
      </c>
      <c r="N125" s="78">
        <v>0</v>
      </c>
      <c r="O125" s="13">
        <v>1</v>
      </c>
    </row>
    <row r="126" spans="1:15" x14ac:dyDescent="0.25">
      <c r="A126">
        <v>4</v>
      </c>
      <c r="B126">
        <v>18</v>
      </c>
      <c r="C126" s="1">
        <v>540</v>
      </c>
      <c r="D126" s="1">
        <v>0.42580000000000001</v>
      </c>
      <c r="E126" s="1">
        <v>0.40760000000000002</v>
      </c>
      <c r="F126" s="1">
        <v>1.83E-2</v>
      </c>
      <c r="G126" s="1">
        <v>0.71430000000000005</v>
      </c>
      <c r="H126" s="1">
        <v>58.1</v>
      </c>
      <c r="I126" s="1">
        <v>7</v>
      </c>
      <c r="J126" s="1">
        <v>2.52</v>
      </c>
      <c r="K126" s="1">
        <v>41.9</v>
      </c>
      <c r="L126" s="13">
        <v>0</v>
      </c>
      <c r="M126" s="13">
        <v>1</v>
      </c>
      <c r="N126" s="78">
        <v>0</v>
      </c>
      <c r="O126" s="13">
        <v>1</v>
      </c>
    </row>
    <row r="127" spans="1:15" x14ac:dyDescent="0.25">
      <c r="A127">
        <v>4</v>
      </c>
      <c r="B127">
        <v>18</v>
      </c>
      <c r="C127" s="1">
        <v>528</v>
      </c>
      <c r="D127" s="1">
        <v>1.7649999999999999</v>
      </c>
      <c r="E127" s="1">
        <v>1.6348</v>
      </c>
      <c r="F127" s="1">
        <v>0.13009999999999999</v>
      </c>
      <c r="G127" s="1">
        <v>1</v>
      </c>
      <c r="H127" s="1">
        <v>58.89</v>
      </c>
      <c r="I127" s="1">
        <v>6.77</v>
      </c>
      <c r="J127" s="1">
        <v>2.25</v>
      </c>
      <c r="K127" s="1">
        <v>41.11</v>
      </c>
      <c r="L127" s="13">
        <v>0</v>
      </c>
      <c r="M127" s="13">
        <v>1</v>
      </c>
      <c r="N127" s="78">
        <v>0</v>
      </c>
      <c r="O127" s="13">
        <v>1</v>
      </c>
    </row>
    <row r="128" spans="1:15" x14ac:dyDescent="0.25">
      <c r="A128">
        <v>4</v>
      </c>
      <c r="B128">
        <v>18</v>
      </c>
      <c r="C128" s="1">
        <v>516</v>
      </c>
      <c r="D128" s="1">
        <v>1.8947000000000001</v>
      </c>
      <c r="E128" s="1">
        <v>1.7375</v>
      </c>
      <c r="F128" s="1">
        <v>0.15720000000000001</v>
      </c>
      <c r="G128" s="1">
        <v>1</v>
      </c>
      <c r="H128" s="1">
        <v>59.2</v>
      </c>
      <c r="I128" s="1">
        <v>6.79</v>
      </c>
      <c r="J128" s="1">
        <v>2.0699999999999998</v>
      </c>
      <c r="K128" s="1">
        <v>40.799999999999997</v>
      </c>
      <c r="L128" s="13">
        <v>0</v>
      </c>
      <c r="M128" s="13">
        <v>1</v>
      </c>
      <c r="N128" s="78">
        <v>0</v>
      </c>
      <c r="O128" s="13">
        <v>1</v>
      </c>
    </row>
    <row r="129" spans="1:17" x14ac:dyDescent="0.25">
      <c r="A129">
        <v>4</v>
      </c>
      <c r="B129">
        <v>18</v>
      </c>
      <c r="C129" s="1">
        <v>504</v>
      </c>
      <c r="D129" s="1">
        <v>1.3704000000000001</v>
      </c>
      <c r="E129" s="1">
        <v>1.2074</v>
      </c>
      <c r="F129" s="1">
        <v>0.16300000000000001</v>
      </c>
      <c r="G129" s="1">
        <v>1</v>
      </c>
      <c r="H129" s="1">
        <v>60.46</v>
      </c>
      <c r="I129" s="1">
        <v>5.31</v>
      </c>
      <c r="J129" s="1">
        <v>2.0299999999999998</v>
      </c>
      <c r="K129" s="1">
        <v>39.54</v>
      </c>
      <c r="L129" s="13">
        <v>0</v>
      </c>
      <c r="M129" s="13">
        <v>1</v>
      </c>
      <c r="N129" s="78">
        <v>0</v>
      </c>
      <c r="O129" s="13">
        <v>1</v>
      </c>
    </row>
    <row r="130" spans="1:17" x14ac:dyDescent="0.25">
      <c r="A130">
        <v>4</v>
      </c>
      <c r="B130">
        <v>18</v>
      </c>
      <c r="C130" s="1">
        <v>492</v>
      </c>
      <c r="D130" s="1">
        <v>0.91259999999999997</v>
      </c>
      <c r="E130" s="1">
        <v>0.754</v>
      </c>
      <c r="F130" s="1">
        <v>0.1585</v>
      </c>
      <c r="G130" s="1">
        <v>1</v>
      </c>
      <c r="H130" s="1">
        <v>61.44</v>
      </c>
      <c r="I130" s="1">
        <v>4.21</v>
      </c>
      <c r="J130" s="1">
        <v>2.06</v>
      </c>
      <c r="K130" s="1">
        <v>38.56</v>
      </c>
      <c r="L130" s="13">
        <v>0</v>
      </c>
      <c r="M130" s="13">
        <v>1</v>
      </c>
      <c r="N130" s="78">
        <v>0</v>
      </c>
      <c r="O130" s="13">
        <v>1</v>
      </c>
    </row>
    <row r="131" spans="1:17" x14ac:dyDescent="0.25">
      <c r="A131">
        <v>4</v>
      </c>
      <c r="B131">
        <v>18</v>
      </c>
      <c r="C131" s="1">
        <v>480</v>
      </c>
      <c r="D131" s="1">
        <v>0.2384</v>
      </c>
      <c r="E131" s="1">
        <v>0.1726</v>
      </c>
      <c r="F131" s="1">
        <v>6.5799999999999997E-2</v>
      </c>
      <c r="G131" s="1">
        <v>0.45450000000000002</v>
      </c>
      <c r="H131" s="1">
        <v>60.8</v>
      </c>
      <c r="I131" s="1">
        <v>4.49</v>
      </c>
      <c r="J131" s="1">
        <v>2.13</v>
      </c>
      <c r="K131" s="1">
        <v>39.200000000000003</v>
      </c>
      <c r="L131" s="13">
        <v>0</v>
      </c>
      <c r="M131" s="13">
        <v>1</v>
      </c>
      <c r="N131" s="78">
        <v>0</v>
      </c>
      <c r="O131" s="13">
        <v>1</v>
      </c>
    </row>
    <row r="132" spans="1:17" x14ac:dyDescent="0.25">
      <c r="A132">
        <v>4</v>
      </c>
      <c r="B132">
        <v>20</v>
      </c>
      <c r="C132" s="1">
        <v>540</v>
      </c>
      <c r="D132" s="1">
        <v>0.94899999999999995</v>
      </c>
      <c r="E132" s="1">
        <v>0.86960000000000004</v>
      </c>
      <c r="F132" s="1">
        <v>7.9399999999999998E-2</v>
      </c>
      <c r="G132" s="1">
        <v>1</v>
      </c>
      <c r="H132" s="1">
        <v>57.63</v>
      </c>
      <c r="I132" s="1">
        <v>5.77</v>
      </c>
      <c r="J132" s="1">
        <v>2.63</v>
      </c>
      <c r="K132" s="1">
        <v>42.37</v>
      </c>
      <c r="L132" s="13">
        <v>0</v>
      </c>
      <c r="M132" s="13">
        <v>1</v>
      </c>
      <c r="N132" s="78">
        <v>0</v>
      </c>
      <c r="O132" s="13">
        <v>1</v>
      </c>
    </row>
    <row r="133" spans="1:17" x14ac:dyDescent="0.25">
      <c r="A133">
        <v>4</v>
      </c>
      <c r="B133">
        <v>20</v>
      </c>
      <c r="C133" s="1">
        <v>528</v>
      </c>
      <c r="D133" s="1">
        <v>2.7265000000000001</v>
      </c>
      <c r="E133" s="1">
        <v>2.4975000000000001</v>
      </c>
      <c r="F133" s="1">
        <v>0.22900000000000001</v>
      </c>
      <c r="G133" s="1">
        <v>1</v>
      </c>
      <c r="H133" s="1">
        <v>57.97</v>
      </c>
      <c r="I133" s="1">
        <v>5.91</v>
      </c>
      <c r="J133" s="1">
        <v>2.65</v>
      </c>
      <c r="K133" s="1">
        <v>42.03</v>
      </c>
      <c r="L133" s="13">
        <v>0</v>
      </c>
      <c r="M133" s="13">
        <v>1</v>
      </c>
      <c r="N133" s="78">
        <v>0</v>
      </c>
      <c r="O133" s="13">
        <v>1</v>
      </c>
    </row>
    <row r="134" spans="1:17" x14ac:dyDescent="0.25">
      <c r="A134">
        <v>4</v>
      </c>
      <c r="B134">
        <v>20</v>
      </c>
      <c r="C134" s="1">
        <v>516</v>
      </c>
      <c r="D134" s="1">
        <v>3.9009999999999998</v>
      </c>
      <c r="E134" s="1">
        <v>3.5535999999999999</v>
      </c>
      <c r="F134" s="1">
        <v>0.34739999999999999</v>
      </c>
      <c r="G134" s="1">
        <v>1</v>
      </c>
      <c r="H134" s="1">
        <v>58.49</v>
      </c>
      <c r="I134" s="1">
        <v>5.61</v>
      </c>
      <c r="J134" s="1">
        <v>2.59</v>
      </c>
      <c r="K134" s="1">
        <v>41.51</v>
      </c>
      <c r="L134" s="13">
        <v>0</v>
      </c>
      <c r="M134" s="13">
        <v>1</v>
      </c>
      <c r="N134" s="78">
        <v>0</v>
      </c>
      <c r="O134" s="13">
        <v>1</v>
      </c>
    </row>
    <row r="135" spans="1:17" x14ac:dyDescent="0.25">
      <c r="A135">
        <v>4</v>
      </c>
      <c r="B135">
        <v>20</v>
      </c>
      <c r="C135" s="1">
        <v>504</v>
      </c>
      <c r="D135" s="1">
        <v>2.8548</v>
      </c>
      <c r="E135" s="1">
        <v>2.5133000000000001</v>
      </c>
      <c r="F135" s="1">
        <v>0.34150000000000003</v>
      </c>
      <c r="G135" s="1">
        <v>1</v>
      </c>
      <c r="H135" s="1">
        <v>58.49</v>
      </c>
      <c r="I135" s="1">
        <v>5.74</v>
      </c>
      <c r="J135" s="1">
        <v>2.61</v>
      </c>
      <c r="K135" s="1">
        <v>41.51</v>
      </c>
      <c r="L135" s="13">
        <v>0</v>
      </c>
      <c r="M135" s="13">
        <v>1</v>
      </c>
      <c r="N135" s="78">
        <v>0</v>
      </c>
      <c r="O135" s="13">
        <v>1</v>
      </c>
    </row>
    <row r="136" spans="1:17" x14ac:dyDescent="0.25">
      <c r="A136">
        <v>4</v>
      </c>
      <c r="B136">
        <v>20</v>
      </c>
      <c r="C136" s="1">
        <v>492</v>
      </c>
      <c r="D136" s="1">
        <v>1.7609999999999999</v>
      </c>
      <c r="E136" s="1">
        <v>1.4882</v>
      </c>
      <c r="F136" s="1">
        <v>0.2727</v>
      </c>
      <c r="G136" s="1">
        <v>0.88</v>
      </c>
      <c r="H136" s="1">
        <v>58.59</v>
      </c>
      <c r="I136" s="1">
        <v>5.78</v>
      </c>
      <c r="J136" s="1">
        <v>2.4300000000000002</v>
      </c>
      <c r="K136" s="1">
        <v>41.41</v>
      </c>
      <c r="L136" s="13">
        <v>0</v>
      </c>
      <c r="M136" s="13">
        <v>1</v>
      </c>
      <c r="N136" s="78">
        <v>0</v>
      </c>
      <c r="O136" s="13">
        <v>1</v>
      </c>
      <c r="Q136" s="1"/>
    </row>
    <row r="137" spans="1:17" x14ac:dyDescent="0.25">
      <c r="A137">
        <v>5</v>
      </c>
      <c r="B137">
        <v>2</v>
      </c>
      <c r="C137" s="1">
        <v>312</v>
      </c>
      <c r="D137" s="1">
        <v>0.67630000000000001</v>
      </c>
      <c r="E137" s="1">
        <v>0.43219999999999997</v>
      </c>
      <c r="F137" s="1">
        <v>0.24410000000000001</v>
      </c>
      <c r="G137" s="1">
        <v>1</v>
      </c>
      <c r="H137" s="1">
        <v>59.6</v>
      </c>
      <c r="I137" s="1">
        <v>5.64</v>
      </c>
      <c r="J137" s="1">
        <v>1.24</v>
      </c>
      <c r="K137" s="1">
        <v>40.4</v>
      </c>
      <c r="L137" s="13">
        <v>0</v>
      </c>
      <c r="M137" s="13">
        <v>1</v>
      </c>
      <c r="N137" s="78">
        <v>1</v>
      </c>
      <c r="O137" s="13">
        <v>0</v>
      </c>
      <c r="Q137" s="1"/>
    </row>
    <row r="138" spans="1:17" x14ac:dyDescent="0.25">
      <c r="A138">
        <v>5</v>
      </c>
      <c r="B138">
        <v>2</v>
      </c>
      <c r="C138" s="1">
        <v>300</v>
      </c>
      <c r="D138" s="1">
        <v>0.31419999999999998</v>
      </c>
      <c r="E138" s="1">
        <v>0.2044</v>
      </c>
      <c r="F138" s="1">
        <v>0.10979999999999999</v>
      </c>
      <c r="G138" s="1">
        <v>1</v>
      </c>
      <c r="H138" s="1">
        <v>58.88</v>
      </c>
      <c r="I138" s="1">
        <v>6.61</v>
      </c>
      <c r="J138" s="1">
        <v>1.22</v>
      </c>
      <c r="K138" s="1">
        <v>41.12</v>
      </c>
      <c r="L138" s="13">
        <v>0</v>
      </c>
      <c r="M138" s="13">
        <v>1</v>
      </c>
      <c r="N138" s="78">
        <v>1</v>
      </c>
      <c r="O138" s="13">
        <v>0</v>
      </c>
      <c r="Q138" s="1"/>
    </row>
    <row r="139" spans="1:17" x14ac:dyDescent="0.25">
      <c r="A139">
        <v>5</v>
      </c>
      <c r="B139">
        <v>4</v>
      </c>
      <c r="C139" s="1">
        <v>372</v>
      </c>
      <c r="D139" s="1">
        <v>3.3799999999999997E-2</v>
      </c>
      <c r="E139" s="1">
        <v>1.9800000000000002E-2</v>
      </c>
      <c r="F139" s="1">
        <v>1.4E-2</v>
      </c>
      <c r="G139" s="1">
        <v>0.2</v>
      </c>
      <c r="H139" s="1">
        <v>57.3</v>
      </c>
      <c r="I139" s="1">
        <v>6.88</v>
      </c>
      <c r="J139" s="1">
        <v>2.29</v>
      </c>
      <c r="K139" s="1">
        <v>42.7</v>
      </c>
      <c r="L139" s="13">
        <v>0</v>
      </c>
      <c r="M139" s="13">
        <v>1</v>
      </c>
      <c r="N139" s="78">
        <v>1</v>
      </c>
      <c r="O139" s="13">
        <v>0</v>
      </c>
      <c r="Q139" s="1"/>
    </row>
    <row r="140" spans="1:17" x14ac:dyDescent="0.25">
      <c r="A140">
        <v>5</v>
      </c>
      <c r="B140">
        <v>4</v>
      </c>
      <c r="C140" s="1">
        <v>360</v>
      </c>
      <c r="D140" s="1">
        <v>6.9099999999999995E-2</v>
      </c>
      <c r="E140" s="1">
        <v>2.6100000000000002E-2</v>
      </c>
      <c r="F140" s="1">
        <v>4.2999999999999997E-2</v>
      </c>
      <c r="G140" s="1">
        <v>0</v>
      </c>
      <c r="H140" s="1">
        <v>57.89</v>
      </c>
      <c r="I140" s="1">
        <v>5.36</v>
      </c>
      <c r="J140" s="1">
        <v>2.19</v>
      </c>
      <c r="K140" s="1">
        <v>42.11</v>
      </c>
      <c r="L140" s="13">
        <v>0</v>
      </c>
      <c r="M140" s="13">
        <v>1</v>
      </c>
      <c r="N140" s="78">
        <v>1</v>
      </c>
      <c r="O140" s="13">
        <v>0</v>
      </c>
    </row>
    <row r="141" spans="1:17" x14ac:dyDescent="0.25">
      <c r="A141">
        <v>5</v>
      </c>
      <c r="B141">
        <v>5</v>
      </c>
      <c r="C141" s="1">
        <v>540</v>
      </c>
      <c r="D141" s="1">
        <v>2.47E-2</v>
      </c>
      <c r="E141" s="1">
        <v>2.47E-2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3">
        <v>1</v>
      </c>
      <c r="M141" s="13">
        <v>0</v>
      </c>
      <c r="N141" s="78">
        <v>1</v>
      </c>
      <c r="O141" s="13">
        <v>0</v>
      </c>
    </row>
    <row r="142" spans="1:17" x14ac:dyDescent="0.25">
      <c r="A142">
        <v>5</v>
      </c>
      <c r="B142">
        <v>5</v>
      </c>
      <c r="C142" s="1">
        <v>528</v>
      </c>
      <c r="D142" s="1">
        <v>0.96640000000000004</v>
      </c>
      <c r="E142" s="1">
        <v>0.96609999999999996</v>
      </c>
      <c r="F142" s="1">
        <v>2.9999999999999997E-4</v>
      </c>
      <c r="G142" s="1">
        <v>1</v>
      </c>
      <c r="H142" s="1">
        <v>55.96</v>
      </c>
      <c r="I142" s="1">
        <v>5.86</v>
      </c>
      <c r="J142" s="1">
        <v>3.12</v>
      </c>
      <c r="K142" s="1">
        <v>44.04</v>
      </c>
      <c r="L142" s="13">
        <v>1</v>
      </c>
      <c r="M142" s="13">
        <v>0</v>
      </c>
      <c r="N142" s="78">
        <v>1</v>
      </c>
      <c r="O142" s="13">
        <v>0</v>
      </c>
    </row>
    <row r="143" spans="1:17" x14ac:dyDescent="0.25">
      <c r="A143">
        <v>5</v>
      </c>
      <c r="B143">
        <v>5</v>
      </c>
      <c r="C143" s="1">
        <v>516</v>
      </c>
      <c r="D143" s="1">
        <v>1.8976</v>
      </c>
      <c r="E143" s="1">
        <v>1.8956999999999999</v>
      </c>
      <c r="F143" s="1">
        <v>1.9E-3</v>
      </c>
      <c r="G143" s="1">
        <v>1</v>
      </c>
      <c r="H143" s="1">
        <v>56.14</v>
      </c>
      <c r="I143" s="1">
        <v>5.87</v>
      </c>
      <c r="J143" s="1">
        <v>2.79</v>
      </c>
      <c r="K143" s="1">
        <v>43.86</v>
      </c>
      <c r="L143" s="13">
        <v>1</v>
      </c>
      <c r="M143" s="13">
        <v>0</v>
      </c>
      <c r="N143" s="78">
        <v>1</v>
      </c>
      <c r="O143" s="13">
        <v>0</v>
      </c>
    </row>
    <row r="144" spans="1:17" x14ac:dyDescent="0.25">
      <c r="A144">
        <v>5</v>
      </c>
      <c r="B144">
        <v>5</v>
      </c>
      <c r="C144" s="1">
        <v>504</v>
      </c>
      <c r="D144" s="1">
        <v>0.84970000000000001</v>
      </c>
      <c r="E144" s="1">
        <v>0.84940000000000004</v>
      </c>
      <c r="F144" s="1">
        <v>2.9999999999999997E-4</v>
      </c>
      <c r="G144" s="1">
        <v>1</v>
      </c>
      <c r="H144" s="1">
        <v>56.27</v>
      </c>
      <c r="I144" s="1">
        <v>5.67</v>
      </c>
      <c r="J144" s="1">
        <v>2.48</v>
      </c>
      <c r="K144" s="1">
        <v>43.73</v>
      </c>
      <c r="L144" s="13">
        <v>1</v>
      </c>
      <c r="M144" s="13">
        <v>0</v>
      </c>
      <c r="N144" s="78">
        <v>1</v>
      </c>
      <c r="O144" s="13">
        <v>0</v>
      </c>
    </row>
    <row r="145" spans="1:15" x14ac:dyDescent="0.25">
      <c r="A145">
        <v>5</v>
      </c>
      <c r="B145">
        <v>5</v>
      </c>
      <c r="C145" s="1">
        <v>492</v>
      </c>
      <c r="D145" s="1">
        <v>0.15</v>
      </c>
      <c r="E145" s="1">
        <v>0.14979999999999999</v>
      </c>
      <c r="F145" s="1">
        <v>2.0000000000000001E-4</v>
      </c>
      <c r="G145" s="1">
        <v>1</v>
      </c>
      <c r="H145" s="1">
        <v>56.71</v>
      </c>
      <c r="I145" s="1">
        <v>6.4</v>
      </c>
      <c r="J145" s="1">
        <v>2.04</v>
      </c>
      <c r="K145" s="1">
        <v>43.29</v>
      </c>
      <c r="L145" s="13">
        <v>1</v>
      </c>
      <c r="M145" s="13">
        <v>0</v>
      </c>
      <c r="N145" s="78">
        <v>1</v>
      </c>
      <c r="O145" s="13">
        <v>0</v>
      </c>
    </row>
    <row r="146" spans="1:15" x14ac:dyDescent="0.25">
      <c r="A146">
        <v>5</v>
      </c>
      <c r="B146">
        <v>6</v>
      </c>
      <c r="C146" s="1">
        <v>528</v>
      </c>
      <c r="D146" s="1">
        <v>1.41E-2</v>
      </c>
      <c r="E146" s="1">
        <v>1.4E-2</v>
      </c>
      <c r="F146" s="1">
        <v>1E-4</v>
      </c>
      <c r="G146" s="1">
        <v>0</v>
      </c>
      <c r="H146" s="1">
        <v>55.96</v>
      </c>
      <c r="I146" s="1">
        <v>5.85</v>
      </c>
      <c r="J146" s="1">
        <v>3.12</v>
      </c>
      <c r="K146" s="1">
        <v>44.04</v>
      </c>
      <c r="L146" s="13">
        <v>0</v>
      </c>
      <c r="M146" s="13">
        <v>1</v>
      </c>
      <c r="N146" s="78">
        <v>1</v>
      </c>
      <c r="O146" s="13">
        <v>0</v>
      </c>
    </row>
    <row r="147" spans="1:15" x14ac:dyDescent="0.25">
      <c r="A147">
        <v>5</v>
      </c>
      <c r="B147">
        <v>6</v>
      </c>
      <c r="C147" s="1">
        <v>516</v>
      </c>
      <c r="D147" s="1">
        <v>0.46310000000000001</v>
      </c>
      <c r="E147" s="1">
        <v>0.4486</v>
      </c>
      <c r="F147" s="1">
        <v>1.4500000000000001E-2</v>
      </c>
      <c r="G147" s="1">
        <v>1</v>
      </c>
      <c r="H147" s="1">
        <v>56.08</v>
      </c>
      <c r="I147" s="1">
        <v>5.95</v>
      </c>
      <c r="J147" s="1">
        <v>2.93</v>
      </c>
      <c r="K147" s="1">
        <v>43.92</v>
      </c>
      <c r="L147" s="13">
        <v>0</v>
      </c>
      <c r="M147" s="13">
        <v>1</v>
      </c>
      <c r="N147" s="78">
        <v>1</v>
      </c>
      <c r="O147" s="13">
        <v>0</v>
      </c>
    </row>
    <row r="148" spans="1:15" x14ac:dyDescent="0.25">
      <c r="A148">
        <v>5</v>
      </c>
      <c r="B148">
        <v>6</v>
      </c>
      <c r="C148" s="1">
        <v>504</v>
      </c>
      <c r="D148" s="1">
        <v>2.6164000000000001</v>
      </c>
      <c r="E148" s="1">
        <v>2.4878</v>
      </c>
      <c r="F148" s="1">
        <v>0.1285</v>
      </c>
      <c r="G148" s="1">
        <v>1</v>
      </c>
      <c r="H148" s="1">
        <v>56.02</v>
      </c>
      <c r="I148" s="1">
        <v>6.27</v>
      </c>
      <c r="J148" s="1">
        <v>2.61</v>
      </c>
      <c r="K148" s="1">
        <v>43.98</v>
      </c>
      <c r="L148" s="13">
        <v>0</v>
      </c>
      <c r="M148" s="13">
        <v>1</v>
      </c>
      <c r="N148" s="78">
        <v>1</v>
      </c>
      <c r="O148" s="13">
        <v>0</v>
      </c>
    </row>
    <row r="149" spans="1:15" x14ac:dyDescent="0.25">
      <c r="A149">
        <v>5</v>
      </c>
      <c r="B149">
        <v>6</v>
      </c>
      <c r="C149" s="1">
        <v>492</v>
      </c>
      <c r="D149" s="1">
        <v>5.7958999999999996</v>
      </c>
      <c r="E149" s="1">
        <v>5.3719999999999999</v>
      </c>
      <c r="F149" s="1">
        <v>0.42399999999999999</v>
      </c>
      <c r="G149" s="1">
        <v>1</v>
      </c>
      <c r="H149" s="1">
        <v>56.24</v>
      </c>
      <c r="I149" s="1">
        <v>6.36</v>
      </c>
      <c r="J149" s="1">
        <v>2.48</v>
      </c>
      <c r="K149" s="1">
        <v>43.76</v>
      </c>
      <c r="L149" s="13">
        <v>0</v>
      </c>
      <c r="M149" s="13">
        <v>1</v>
      </c>
      <c r="N149" s="78">
        <v>1</v>
      </c>
      <c r="O149" s="13">
        <v>0</v>
      </c>
    </row>
    <row r="150" spans="1:15" x14ac:dyDescent="0.25">
      <c r="A150">
        <v>5</v>
      </c>
      <c r="B150">
        <v>6</v>
      </c>
      <c r="C150" s="1">
        <v>480</v>
      </c>
      <c r="D150" s="1">
        <v>7.6626000000000003</v>
      </c>
      <c r="E150" s="1">
        <v>7.0316000000000001</v>
      </c>
      <c r="F150" s="1">
        <v>0.63090000000000002</v>
      </c>
      <c r="G150" s="1">
        <v>1</v>
      </c>
      <c r="H150" s="1">
        <v>56.28</v>
      </c>
      <c r="I150" s="1">
        <v>6.39</v>
      </c>
      <c r="J150" s="1">
        <v>2.5499999999999998</v>
      </c>
      <c r="K150" s="1">
        <v>43.72</v>
      </c>
      <c r="L150" s="13">
        <v>0</v>
      </c>
      <c r="M150" s="13">
        <v>1</v>
      </c>
      <c r="N150" s="78">
        <v>1</v>
      </c>
      <c r="O150" s="13">
        <v>0</v>
      </c>
    </row>
    <row r="151" spans="1:15" x14ac:dyDescent="0.25">
      <c r="A151">
        <v>5</v>
      </c>
      <c r="B151">
        <v>6</v>
      </c>
      <c r="C151" s="1">
        <v>468</v>
      </c>
      <c r="D151" s="1">
        <v>6.3071000000000002</v>
      </c>
      <c r="E151" s="1">
        <v>5.5381999999999998</v>
      </c>
      <c r="F151" s="1">
        <v>0.76890000000000003</v>
      </c>
      <c r="G151" s="1">
        <v>1</v>
      </c>
      <c r="H151" s="1">
        <v>56.58</v>
      </c>
      <c r="I151" s="1">
        <v>5.93</v>
      </c>
      <c r="J151" s="1">
        <v>2.65</v>
      </c>
      <c r="K151" s="1">
        <v>43.42</v>
      </c>
      <c r="L151" s="13">
        <v>0</v>
      </c>
      <c r="M151" s="13">
        <v>1</v>
      </c>
      <c r="N151" s="78">
        <v>1</v>
      </c>
      <c r="O151" s="13">
        <v>0</v>
      </c>
    </row>
    <row r="152" spans="1:15" x14ac:dyDescent="0.25">
      <c r="A152">
        <v>5</v>
      </c>
      <c r="B152">
        <v>6</v>
      </c>
      <c r="C152" s="1">
        <v>456</v>
      </c>
      <c r="D152" s="1">
        <v>5.2473999999999998</v>
      </c>
      <c r="E152" s="1">
        <v>4.4080000000000004</v>
      </c>
      <c r="F152" s="1">
        <v>0.83940000000000003</v>
      </c>
      <c r="G152" s="1">
        <v>1</v>
      </c>
      <c r="H152" s="1">
        <v>56.49</v>
      </c>
      <c r="I152" s="1">
        <v>6.05</v>
      </c>
      <c r="J152" s="1">
        <v>2.73</v>
      </c>
      <c r="K152" s="1">
        <v>43.51</v>
      </c>
      <c r="L152" s="13">
        <v>0</v>
      </c>
      <c r="M152" s="13">
        <v>1</v>
      </c>
      <c r="N152" s="78">
        <v>1</v>
      </c>
      <c r="O152" s="13">
        <v>0</v>
      </c>
    </row>
    <row r="153" spans="1:15" x14ac:dyDescent="0.25">
      <c r="A153">
        <v>5</v>
      </c>
      <c r="B153">
        <v>6</v>
      </c>
      <c r="C153" s="1">
        <v>444</v>
      </c>
      <c r="D153" s="1">
        <v>4.3045</v>
      </c>
      <c r="E153" s="1">
        <v>3.31</v>
      </c>
      <c r="F153" s="1">
        <v>0.99450000000000005</v>
      </c>
      <c r="G153" s="1">
        <v>1</v>
      </c>
      <c r="H153" s="1">
        <v>57.1</v>
      </c>
      <c r="I153" s="1">
        <v>5.61</v>
      </c>
      <c r="J153" s="1">
        <v>2.4900000000000002</v>
      </c>
      <c r="K153" s="1">
        <v>42.9</v>
      </c>
      <c r="L153" s="13">
        <v>0</v>
      </c>
      <c r="M153" s="13">
        <v>1</v>
      </c>
      <c r="N153" s="78">
        <v>1</v>
      </c>
      <c r="O153" s="13">
        <v>0</v>
      </c>
    </row>
    <row r="154" spans="1:15" x14ac:dyDescent="0.25">
      <c r="A154">
        <v>5</v>
      </c>
      <c r="B154">
        <v>8</v>
      </c>
      <c r="C154" s="1">
        <v>384</v>
      </c>
      <c r="D154" s="1">
        <v>1.9665999999999999</v>
      </c>
      <c r="E154" s="1">
        <v>1.5618000000000001</v>
      </c>
      <c r="F154" s="1">
        <v>0.40479999999999999</v>
      </c>
      <c r="G154" s="1">
        <v>0.66669999999999996</v>
      </c>
      <c r="H154" s="1">
        <v>64.930000000000007</v>
      </c>
      <c r="I154" s="1">
        <v>2.41</v>
      </c>
      <c r="J154" s="1">
        <v>1.56</v>
      </c>
      <c r="K154" s="1">
        <v>35.07</v>
      </c>
      <c r="L154" s="13">
        <v>0</v>
      </c>
      <c r="M154" s="13">
        <v>1</v>
      </c>
      <c r="N154" s="78">
        <v>0</v>
      </c>
      <c r="O154" s="13">
        <v>1</v>
      </c>
    </row>
    <row r="155" spans="1:15" x14ac:dyDescent="0.25">
      <c r="A155">
        <v>5</v>
      </c>
      <c r="B155">
        <v>8</v>
      </c>
      <c r="C155" s="1">
        <v>372</v>
      </c>
      <c r="D155" s="1">
        <v>2.3875999999999999</v>
      </c>
      <c r="E155" s="1">
        <v>1.8431999999999999</v>
      </c>
      <c r="F155" s="1">
        <v>0.54449999999999998</v>
      </c>
      <c r="G155" s="1">
        <v>1</v>
      </c>
      <c r="H155" s="1">
        <v>64.87</v>
      </c>
      <c r="I155" s="1">
        <v>2.36</v>
      </c>
      <c r="J155" s="1">
        <v>1.44</v>
      </c>
      <c r="K155" s="1">
        <v>35.130000000000003</v>
      </c>
      <c r="L155" s="13">
        <v>0</v>
      </c>
      <c r="M155" s="13">
        <v>1</v>
      </c>
      <c r="N155" s="78">
        <v>0</v>
      </c>
      <c r="O155" s="13">
        <v>1</v>
      </c>
    </row>
    <row r="156" spans="1:15" x14ac:dyDescent="0.25">
      <c r="A156">
        <v>5</v>
      </c>
      <c r="B156">
        <v>8</v>
      </c>
      <c r="C156" s="1">
        <v>360</v>
      </c>
      <c r="D156" s="1">
        <v>1.8576999999999999</v>
      </c>
      <c r="E156" s="1">
        <v>1.3943000000000001</v>
      </c>
      <c r="F156" s="1">
        <v>0.46329999999999999</v>
      </c>
      <c r="G156" s="1">
        <v>1</v>
      </c>
      <c r="H156" s="1">
        <v>64.900000000000006</v>
      </c>
      <c r="I156" s="1">
        <v>2.2200000000000002</v>
      </c>
      <c r="J156" s="1">
        <v>1.46</v>
      </c>
      <c r="K156" s="1">
        <v>35.1</v>
      </c>
      <c r="L156" s="13">
        <v>0</v>
      </c>
      <c r="M156" s="13">
        <v>1</v>
      </c>
      <c r="N156" s="78">
        <v>0</v>
      </c>
      <c r="O156" s="13">
        <v>1</v>
      </c>
    </row>
    <row r="157" spans="1:15" x14ac:dyDescent="0.25">
      <c r="A157">
        <v>5</v>
      </c>
      <c r="B157">
        <v>8</v>
      </c>
      <c r="C157" s="1">
        <v>348</v>
      </c>
      <c r="D157" s="1">
        <v>1.0316000000000001</v>
      </c>
      <c r="E157" s="1">
        <v>0.70740000000000003</v>
      </c>
      <c r="F157" s="1">
        <v>0.32419999999999999</v>
      </c>
      <c r="G157" s="1">
        <v>1</v>
      </c>
      <c r="H157" s="1">
        <v>65.14</v>
      </c>
      <c r="I157" s="1">
        <v>2.0499999999999998</v>
      </c>
      <c r="J157" s="1">
        <v>1.46</v>
      </c>
      <c r="K157" s="1">
        <v>34.86</v>
      </c>
      <c r="L157" s="13">
        <v>0</v>
      </c>
      <c r="M157" s="13">
        <v>1</v>
      </c>
      <c r="N157" s="78">
        <v>0</v>
      </c>
      <c r="O157" s="13">
        <v>1</v>
      </c>
    </row>
    <row r="158" spans="1:15" x14ac:dyDescent="0.25">
      <c r="A158">
        <v>5</v>
      </c>
      <c r="B158">
        <v>8</v>
      </c>
      <c r="C158" s="1">
        <v>336</v>
      </c>
      <c r="D158" s="1">
        <v>0.39319999999999999</v>
      </c>
      <c r="E158" s="1">
        <v>0.2465</v>
      </c>
      <c r="F158" s="1">
        <v>0.14680000000000001</v>
      </c>
      <c r="G158" s="1">
        <v>1</v>
      </c>
      <c r="H158" s="1">
        <v>65.81</v>
      </c>
      <c r="I158" s="1">
        <v>1.94</v>
      </c>
      <c r="J158" s="1">
        <v>1.47</v>
      </c>
      <c r="K158" s="1">
        <v>34.19</v>
      </c>
      <c r="L158" s="13">
        <v>0</v>
      </c>
      <c r="M158" s="13">
        <v>1</v>
      </c>
      <c r="N158" s="78">
        <v>0</v>
      </c>
      <c r="O158" s="13">
        <v>1</v>
      </c>
    </row>
    <row r="159" spans="1:15" x14ac:dyDescent="0.25">
      <c r="A159">
        <v>5</v>
      </c>
      <c r="B159">
        <v>8</v>
      </c>
      <c r="C159" s="1">
        <v>324</v>
      </c>
      <c r="D159" s="1">
        <v>0.1139</v>
      </c>
      <c r="E159" s="1">
        <v>7.0499999999999993E-2</v>
      </c>
      <c r="F159" s="1">
        <v>4.3299999999999998E-2</v>
      </c>
      <c r="G159" s="1">
        <v>1</v>
      </c>
      <c r="H159" s="1">
        <v>66.12</v>
      </c>
      <c r="I159" s="1">
        <v>1.87</v>
      </c>
      <c r="J159" s="1">
        <v>1.45</v>
      </c>
      <c r="K159" s="1">
        <v>33.880000000000003</v>
      </c>
      <c r="L159" s="13">
        <v>0</v>
      </c>
      <c r="M159" s="13">
        <v>1</v>
      </c>
      <c r="N159" s="78">
        <v>0</v>
      </c>
      <c r="O159" s="13">
        <v>1</v>
      </c>
    </row>
    <row r="160" spans="1:15" x14ac:dyDescent="0.25">
      <c r="A160">
        <v>5</v>
      </c>
      <c r="B160">
        <v>10</v>
      </c>
      <c r="C160" s="1">
        <v>384</v>
      </c>
      <c r="D160" s="1">
        <v>0.45340000000000003</v>
      </c>
      <c r="E160" s="1">
        <v>0.32340000000000002</v>
      </c>
      <c r="F160" s="1">
        <v>0.13</v>
      </c>
      <c r="G160" s="1">
        <v>0.16669999999999999</v>
      </c>
      <c r="H160" s="1">
        <v>61.66</v>
      </c>
      <c r="I160" s="1">
        <v>3.31</v>
      </c>
      <c r="J160" s="1">
        <v>1.92</v>
      </c>
      <c r="K160" s="1">
        <v>38.340000000000003</v>
      </c>
      <c r="L160" s="13">
        <v>0</v>
      </c>
      <c r="M160" s="13">
        <v>1</v>
      </c>
      <c r="N160" s="78">
        <v>0</v>
      </c>
      <c r="O160" s="13">
        <v>1</v>
      </c>
    </row>
    <row r="161" spans="1:15" x14ac:dyDescent="0.25">
      <c r="A161">
        <v>5</v>
      </c>
      <c r="B161">
        <v>10</v>
      </c>
      <c r="C161" s="1">
        <v>372</v>
      </c>
      <c r="D161" s="1">
        <v>1.9673</v>
      </c>
      <c r="E161" s="1">
        <v>1.3428</v>
      </c>
      <c r="F161" s="1">
        <v>0.62450000000000006</v>
      </c>
      <c r="G161" s="1">
        <v>1</v>
      </c>
      <c r="H161" s="1">
        <v>62.08</v>
      </c>
      <c r="I161" s="1">
        <v>3.31</v>
      </c>
      <c r="J161" s="1">
        <v>1.89</v>
      </c>
      <c r="K161" s="1">
        <v>37.92</v>
      </c>
      <c r="L161" s="13">
        <v>0</v>
      </c>
      <c r="M161" s="13">
        <v>1</v>
      </c>
      <c r="N161" s="78">
        <v>0</v>
      </c>
      <c r="O161" s="13">
        <v>1</v>
      </c>
    </row>
    <row r="162" spans="1:15" x14ac:dyDescent="0.25">
      <c r="A162">
        <v>5</v>
      </c>
      <c r="B162">
        <v>10</v>
      </c>
      <c r="C162" s="1">
        <v>360</v>
      </c>
      <c r="D162" s="1">
        <v>1.0949</v>
      </c>
      <c r="E162" s="1">
        <v>0.7258</v>
      </c>
      <c r="F162" s="1">
        <v>0.36909999999999998</v>
      </c>
      <c r="G162" s="1">
        <v>1</v>
      </c>
      <c r="H162" s="1">
        <v>62.09</v>
      </c>
      <c r="I162" s="1">
        <v>3.51</v>
      </c>
      <c r="J162" s="1">
        <v>1.81</v>
      </c>
      <c r="K162" s="1">
        <v>37.909999999999997</v>
      </c>
      <c r="L162" s="13">
        <v>0</v>
      </c>
      <c r="M162" s="13">
        <v>1</v>
      </c>
      <c r="N162" s="78">
        <v>0</v>
      </c>
      <c r="O162" s="13">
        <v>1</v>
      </c>
    </row>
    <row r="163" spans="1:15" x14ac:dyDescent="0.25">
      <c r="A163">
        <v>5</v>
      </c>
      <c r="B163">
        <v>10</v>
      </c>
      <c r="C163" s="1">
        <v>348</v>
      </c>
      <c r="D163" s="1">
        <v>0.5827</v>
      </c>
      <c r="E163" s="1">
        <v>0.32279999999999998</v>
      </c>
      <c r="F163" s="1">
        <v>0.25990000000000002</v>
      </c>
      <c r="G163" s="1">
        <v>1</v>
      </c>
      <c r="H163" s="1">
        <v>62.14</v>
      </c>
      <c r="I163" s="1">
        <v>3.92</v>
      </c>
      <c r="J163" s="1">
        <v>1.75</v>
      </c>
      <c r="K163" s="1">
        <v>37.86</v>
      </c>
      <c r="L163" s="13">
        <v>0</v>
      </c>
      <c r="M163" s="13">
        <v>1</v>
      </c>
      <c r="N163" s="78">
        <v>0</v>
      </c>
      <c r="O163" s="13">
        <v>1</v>
      </c>
    </row>
    <row r="164" spans="1:15" x14ac:dyDescent="0.25">
      <c r="A164">
        <v>5</v>
      </c>
      <c r="B164">
        <v>10</v>
      </c>
      <c r="C164" s="1">
        <v>336</v>
      </c>
      <c r="D164" s="1">
        <v>0.30359999999999998</v>
      </c>
      <c r="E164" s="1">
        <v>0.11990000000000001</v>
      </c>
      <c r="F164" s="1">
        <v>0.1837</v>
      </c>
      <c r="G164" s="1">
        <v>1</v>
      </c>
      <c r="H164" s="1">
        <v>62.9</v>
      </c>
      <c r="I164" s="1">
        <v>4.16</v>
      </c>
      <c r="J164" s="1">
        <v>1.57</v>
      </c>
      <c r="K164" s="1">
        <v>37.1</v>
      </c>
      <c r="L164" s="13">
        <v>0</v>
      </c>
      <c r="M164" s="13">
        <v>1</v>
      </c>
      <c r="N164" s="78">
        <v>0</v>
      </c>
      <c r="O164" s="13">
        <v>1</v>
      </c>
    </row>
    <row r="165" spans="1:15" x14ac:dyDescent="0.25">
      <c r="A165">
        <v>5</v>
      </c>
      <c r="B165">
        <v>10</v>
      </c>
      <c r="C165" s="1">
        <v>324</v>
      </c>
      <c r="D165" s="1">
        <v>9.01E-2</v>
      </c>
      <c r="E165" s="1">
        <v>2.5399999999999999E-2</v>
      </c>
      <c r="F165" s="1">
        <v>6.4799999999999996E-2</v>
      </c>
      <c r="G165" s="1">
        <v>0</v>
      </c>
      <c r="H165" s="1">
        <v>62.75</v>
      </c>
      <c r="I165" s="1">
        <v>4.62</v>
      </c>
      <c r="J165" s="1">
        <v>1.39</v>
      </c>
      <c r="K165" s="1">
        <v>37.25</v>
      </c>
      <c r="L165" s="13">
        <v>0</v>
      </c>
      <c r="M165" s="13">
        <v>1</v>
      </c>
      <c r="N165" s="78">
        <v>0</v>
      </c>
      <c r="O165" s="13">
        <v>1</v>
      </c>
    </row>
    <row r="166" spans="1:15" x14ac:dyDescent="0.25">
      <c r="A166">
        <v>5</v>
      </c>
      <c r="B166">
        <v>11</v>
      </c>
      <c r="C166" s="1">
        <v>528</v>
      </c>
      <c r="D166" s="1">
        <v>1.9E-3</v>
      </c>
      <c r="E166" s="1">
        <v>1.9E-3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3">
        <v>1</v>
      </c>
      <c r="M166" s="13">
        <v>0</v>
      </c>
      <c r="N166" s="78">
        <v>0</v>
      </c>
      <c r="O166" s="13">
        <v>1</v>
      </c>
    </row>
    <row r="167" spans="1:15" x14ac:dyDescent="0.25">
      <c r="A167">
        <v>5</v>
      </c>
      <c r="B167">
        <v>11</v>
      </c>
      <c r="C167" s="1">
        <v>516</v>
      </c>
      <c r="D167" s="1">
        <v>7.1999999999999998E-3</v>
      </c>
      <c r="E167" s="1">
        <v>7.1999999999999998E-3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3">
        <v>1</v>
      </c>
      <c r="M167" s="13">
        <v>0</v>
      </c>
      <c r="N167" s="78">
        <v>0</v>
      </c>
      <c r="O167" s="13">
        <v>1</v>
      </c>
    </row>
    <row r="168" spans="1:15" ht="14.25" customHeight="1" x14ac:dyDescent="0.25">
      <c r="A168">
        <v>5</v>
      </c>
      <c r="B168">
        <v>12</v>
      </c>
      <c r="C168" s="1">
        <v>528</v>
      </c>
      <c r="D168" s="1">
        <v>1.46E-2</v>
      </c>
      <c r="E168" s="1">
        <v>1.3299999999999999E-2</v>
      </c>
      <c r="F168" s="1">
        <v>1.2999999999999999E-3</v>
      </c>
      <c r="G168" s="1">
        <v>0</v>
      </c>
      <c r="H168" s="1">
        <v>57.44</v>
      </c>
      <c r="I168" s="1">
        <v>5.8</v>
      </c>
      <c r="J168" s="1">
        <v>2.46</v>
      </c>
      <c r="K168" s="1">
        <v>42.56</v>
      </c>
      <c r="L168" s="13">
        <v>0</v>
      </c>
      <c r="M168" s="13">
        <v>1</v>
      </c>
      <c r="N168" s="78">
        <v>0</v>
      </c>
      <c r="O168" s="13">
        <v>1</v>
      </c>
    </row>
    <row r="169" spans="1:15" x14ac:dyDescent="0.25">
      <c r="A169">
        <v>5</v>
      </c>
      <c r="B169">
        <v>12</v>
      </c>
      <c r="C169" s="1">
        <v>516</v>
      </c>
      <c r="D169" s="1">
        <v>2.0358000000000001</v>
      </c>
      <c r="E169" s="1">
        <v>1.8291999999999999</v>
      </c>
      <c r="F169" s="1">
        <v>0.20660000000000001</v>
      </c>
      <c r="G169" s="1">
        <v>1</v>
      </c>
      <c r="H169" s="1">
        <v>60.16</v>
      </c>
      <c r="I169" s="1">
        <v>5.54</v>
      </c>
      <c r="J169" s="1">
        <v>2.35</v>
      </c>
      <c r="K169" s="1">
        <v>39.840000000000003</v>
      </c>
      <c r="L169" s="13">
        <v>0</v>
      </c>
      <c r="M169" s="13">
        <v>1</v>
      </c>
      <c r="N169" s="78">
        <v>0</v>
      </c>
      <c r="O169" s="13">
        <v>1</v>
      </c>
    </row>
    <row r="170" spans="1:15" x14ac:dyDescent="0.25">
      <c r="A170">
        <v>5</v>
      </c>
      <c r="B170">
        <v>12</v>
      </c>
      <c r="C170" s="1">
        <v>504</v>
      </c>
      <c r="D170" s="1">
        <v>3.2877000000000001</v>
      </c>
      <c r="E170" s="1">
        <v>2.9946999999999999</v>
      </c>
      <c r="F170" s="1">
        <v>0.29299999999999998</v>
      </c>
      <c r="G170" s="1">
        <v>1</v>
      </c>
      <c r="H170" s="1">
        <v>60.42</v>
      </c>
      <c r="I170" s="1">
        <v>5.45</v>
      </c>
      <c r="J170" s="1">
        <v>2.33</v>
      </c>
      <c r="K170" s="1">
        <v>39.58</v>
      </c>
      <c r="L170" s="13">
        <v>0</v>
      </c>
      <c r="M170" s="13">
        <v>1</v>
      </c>
      <c r="N170" s="78">
        <v>0</v>
      </c>
      <c r="O170" s="13">
        <v>1</v>
      </c>
    </row>
    <row r="171" spans="1:15" x14ac:dyDescent="0.25">
      <c r="A171">
        <v>5</v>
      </c>
      <c r="B171">
        <v>12</v>
      </c>
      <c r="C171" s="1">
        <v>492</v>
      </c>
      <c r="D171" s="1">
        <v>2.9119999999999999</v>
      </c>
      <c r="E171" s="1">
        <v>2.5653000000000001</v>
      </c>
      <c r="F171" s="1">
        <v>0.34670000000000001</v>
      </c>
      <c r="G171" s="1">
        <v>1</v>
      </c>
      <c r="H171" s="1">
        <v>60.65</v>
      </c>
      <c r="I171" s="1">
        <v>5.48</v>
      </c>
      <c r="J171" s="1">
        <v>2.29</v>
      </c>
      <c r="K171" s="1">
        <v>39.35</v>
      </c>
      <c r="L171" s="13">
        <v>0</v>
      </c>
      <c r="M171" s="13">
        <v>1</v>
      </c>
      <c r="N171" s="78">
        <v>0</v>
      </c>
      <c r="O171" s="13">
        <v>1</v>
      </c>
    </row>
    <row r="172" spans="1:15" x14ac:dyDescent="0.25">
      <c r="A172">
        <v>5</v>
      </c>
      <c r="B172">
        <v>12</v>
      </c>
      <c r="C172" s="1">
        <v>480</v>
      </c>
      <c r="D172" s="1">
        <v>2.5979999999999999</v>
      </c>
      <c r="E172" s="1">
        <v>2.2096</v>
      </c>
      <c r="F172" s="1">
        <v>0.38840000000000002</v>
      </c>
      <c r="G172" s="1">
        <v>1</v>
      </c>
      <c r="H172" s="1">
        <v>60.81</v>
      </c>
      <c r="I172" s="1">
        <v>5.68</v>
      </c>
      <c r="J172" s="1">
        <v>2.2000000000000002</v>
      </c>
      <c r="K172" s="1">
        <v>39.19</v>
      </c>
      <c r="L172" s="13">
        <v>0</v>
      </c>
      <c r="M172" s="13">
        <v>1</v>
      </c>
      <c r="N172" s="78">
        <v>0</v>
      </c>
      <c r="O172" s="13">
        <v>1</v>
      </c>
    </row>
    <row r="173" spans="1:15" x14ac:dyDescent="0.25">
      <c r="A173">
        <v>5</v>
      </c>
      <c r="B173">
        <v>12</v>
      </c>
      <c r="C173" s="1">
        <v>468</v>
      </c>
      <c r="D173" s="1">
        <v>2.3087</v>
      </c>
      <c r="E173" s="1">
        <v>1.8898999999999999</v>
      </c>
      <c r="F173" s="1">
        <v>0.41880000000000001</v>
      </c>
      <c r="G173" s="1">
        <v>1</v>
      </c>
      <c r="H173" s="1">
        <v>60.75</v>
      </c>
      <c r="I173" s="1">
        <v>6.01</v>
      </c>
      <c r="J173" s="1">
        <v>2.0699999999999998</v>
      </c>
      <c r="K173" s="1">
        <v>39.25</v>
      </c>
      <c r="L173" s="13">
        <v>0</v>
      </c>
      <c r="M173" s="13">
        <v>1</v>
      </c>
      <c r="N173" s="78">
        <v>0</v>
      </c>
      <c r="O173" s="13">
        <v>1</v>
      </c>
    </row>
    <row r="174" spans="1:15" x14ac:dyDescent="0.25">
      <c r="A174">
        <v>5</v>
      </c>
      <c r="B174">
        <v>12</v>
      </c>
      <c r="C174" s="1">
        <v>456</v>
      </c>
      <c r="D174" s="1">
        <v>1.9843</v>
      </c>
      <c r="E174" s="1">
        <v>1.5419</v>
      </c>
      <c r="F174" s="1">
        <v>0.44240000000000002</v>
      </c>
      <c r="G174" s="1">
        <v>1</v>
      </c>
      <c r="H174" s="1">
        <v>60.28</v>
      </c>
      <c r="I174" s="1">
        <v>6.4</v>
      </c>
      <c r="J174" s="1">
        <v>1.89</v>
      </c>
      <c r="K174" s="1">
        <v>39.72</v>
      </c>
      <c r="L174" s="13">
        <v>0</v>
      </c>
      <c r="M174" s="13">
        <v>1</v>
      </c>
      <c r="N174" s="78">
        <v>0</v>
      </c>
      <c r="O174" s="13">
        <v>1</v>
      </c>
    </row>
    <row r="175" spans="1:15" x14ac:dyDescent="0.25">
      <c r="A175">
        <v>5</v>
      </c>
      <c r="B175">
        <v>12</v>
      </c>
      <c r="C175" s="1">
        <v>444</v>
      </c>
      <c r="D175" s="1">
        <v>1.5884</v>
      </c>
      <c r="E175" s="1">
        <v>1.1601999999999999</v>
      </c>
      <c r="F175" s="1">
        <v>0.42820000000000003</v>
      </c>
      <c r="G175" s="1">
        <v>1</v>
      </c>
      <c r="H175" s="1">
        <v>59.64</v>
      </c>
      <c r="I175" s="1">
        <v>6.74</v>
      </c>
      <c r="J175" s="1">
        <v>1.83</v>
      </c>
      <c r="K175" s="1">
        <v>40.36</v>
      </c>
      <c r="L175" s="13">
        <v>0</v>
      </c>
      <c r="M175" s="13">
        <v>1</v>
      </c>
      <c r="N175" s="78">
        <v>0</v>
      </c>
      <c r="O175" s="13">
        <v>1</v>
      </c>
    </row>
    <row r="176" spans="1:15" x14ac:dyDescent="0.25">
      <c r="A176">
        <v>5</v>
      </c>
      <c r="B176">
        <v>14</v>
      </c>
      <c r="C176" s="1">
        <v>420</v>
      </c>
      <c r="D176" s="1">
        <v>0.47920000000000001</v>
      </c>
      <c r="E176" s="1">
        <v>0.2893</v>
      </c>
      <c r="F176" s="1">
        <v>0.1898</v>
      </c>
      <c r="G176" s="1">
        <v>0.6</v>
      </c>
      <c r="H176" s="1">
        <v>59.48</v>
      </c>
      <c r="I176" s="1">
        <v>5.1100000000000003</v>
      </c>
      <c r="J176" s="1">
        <v>1.41</v>
      </c>
      <c r="K176" s="1">
        <v>40.520000000000003</v>
      </c>
      <c r="L176" s="13">
        <v>0</v>
      </c>
      <c r="M176" s="13">
        <v>1</v>
      </c>
      <c r="N176" s="78">
        <v>0</v>
      </c>
      <c r="O176" s="13">
        <v>1</v>
      </c>
    </row>
    <row r="177" spans="1:15" x14ac:dyDescent="0.25">
      <c r="A177">
        <v>5</v>
      </c>
      <c r="B177">
        <v>14</v>
      </c>
      <c r="C177" s="1">
        <v>408</v>
      </c>
      <c r="D177" s="1">
        <v>0.29849999999999999</v>
      </c>
      <c r="E177" s="1">
        <v>0.13780000000000001</v>
      </c>
      <c r="F177" s="1">
        <v>0.16070000000000001</v>
      </c>
      <c r="G177" s="1">
        <v>1</v>
      </c>
      <c r="H177" s="1">
        <v>59.97</v>
      </c>
      <c r="I177" s="1">
        <v>4.5599999999999996</v>
      </c>
      <c r="J177" s="1">
        <v>1.33</v>
      </c>
      <c r="K177" s="1">
        <v>40.03</v>
      </c>
      <c r="L177" s="13">
        <v>0</v>
      </c>
      <c r="M177" s="13">
        <v>1</v>
      </c>
      <c r="N177" s="78">
        <v>0</v>
      </c>
      <c r="O177" s="13">
        <v>1</v>
      </c>
    </row>
    <row r="178" spans="1:15" x14ac:dyDescent="0.25">
      <c r="A178">
        <v>5</v>
      </c>
      <c r="B178">
        <v>16</v>
      </c>
      <c r="C178" s="1">
        <v>516</v>
      </c>
      <c r="D178" s="1">
        <v>0.71230000000000004</v>
      </c>
      <c r="E178" s="1">
        <v>0.64759999999999995</v>
      </c>
      <c r="F178" s="1">
        <v>6.4699999999999994E-2</v>
      </c>
      <c r="G178" s="1">
        <v>1</v>
      </c>
      <c r="H178" s="1">
        <v>58.37</v>
      </c>
      <c r="I178" s="1">
        <v>7.08</v>
      </c>
      <c r="J178" s="1">
        <v>2.15</v>
      </c>
      <c r="K178" s="1">
        <v>41.63</v>
      </c>
      <c r="L178" s="13">
        <v>0</v>
      </c>
      <c r="M178" s="13">
        <v>1</v>
      </c>
      <c r="N178" s="78">
        <v>0</v>
      </c>
      <c r="O178" s="13">
        <v>1</v>
      </c>
    </row>
    <row r="179" spans="1:15" x14ac:dyDescent="0.25">
      <c r="A179">
        <v>5</v>
      </c>
      <c r="B179">
        <v>16</v>
      </c>
      <c r="C179" s="1">
        <v>504</v>
      </c>
      <c r="D179" s="1">
        <v>0.40150000000000002</v>
      </c>
      <c r="E179" s="1">
        <v>0.35420000000000001</v>
      </c>
      <c r="F179" s="1">
        <v>4.7300000000000002E-2</v>
      </c>
      <c r="G179" s="1">
        <v>1</v>
      </c>
      <c r="H179" s="1">
        <v>58.14</v>
      </c>
      <c r="I179" s="1">
        <v>7.26</v>
      </c>
      <c r="J179" s="1">
        <v>2.2000000000000002</v>
      </c>
      <c r="K179" s="1">
        <v>41.86</v>
      </c>
      <c r="L179" s="13">
        <v>0</v>
      </c>
      <c r="M179" s="13">
        <v>1</v>
      </c>
      <c r="N179" s="78">
        <v>0</v>
      </c>
      <c r="O179" s="13">
        <v>1</v>
      </c>
    </row>
    <row r="180" spans="1:15" x14ac:dyDescent="0.25">
      <c r="A180">
        <v>5</v>
      </c>
      <c r="B180">
        <v>16</v>
      </c>
      <c r="C180" s="1">
        <v>492</v>
      </c>
      <c r="D180" s="1">
        <v>0.1875</v>
      </c>
      <c r="E180" s="1">
        <v>0.16450000000000001</v>
      </c>
      <c r="F180" s="1">
        <v>2.29E-2</v>
      </c>
      <c r="G180" s="1">
        <v>1</v>
      </c>
      <c r="H180" s="1">
        <v>58.48</v>
      </c>
      <c r="I180" s="1">
        <v>6.46</v>
      </c>
      <c r="J180" s="1">
        <v>2.2400000000000002</v>
      </c>
      <c r="K180" s="1">
        <v>41.52</v>
      </c>
      <c r="L180" s="13">
        <v>0</v>
      </c>
      <c r="M180" s="13">
        <v>1</v>
      </c>
      <c r="N180" s="78">
        <v>0</v>
      </c>
      <c r="O180" s="13">
        <v>1</v>
      </c>
    </row>
    <row r="181" spans="1:15" x14ac:dyDescent="0.25">
      <c r="A181">
        <v>5</v>
      </c>
      <c r="B181">
        <v>16</v>
      </c>
      <c r="C181" s="1">
        <v>480</v>
      </c>
      <c r="D181" s="1">
        <v>6.4199999999999993E-2</v>
      </c>
      <c r="E181" s="1">
        <v>5.2699999999999997E-2</v>
      </c>
      <c r="F181" s="1">
        <v>1.15E-2</v>
      </c>
      <c r="G181" s="1">
        <v>0</v>
      </c>
      <c r="H181" s="1">
        <v>58.41</v>
      </c>
      <c r="I181" s="1">
        <v>6.79</v>
      </c>
      <c r="J181" s="1">
        <v>2.16</v>
      </c>
      <c r="K181" s="1">
        <v>41.59</v>
      </c>
      <c r="L181" s="13">
        <v>0</v>
      </c>
      <c r="M181" s="13">
        <v>1</v>
      </c>
      <c r="N181" s="78">
        <v>0</v>
      </c>
      <c r="O181" s="13">
        <v>1</v>
      </c>
    </row>
    <row r="182" spans="1:15" x14ac:dyDescent="0.25">
      <c r="A182">
        <v>5</v>
      </c>
      <c r="B182">
        <v>18</v>
      </c>
      <c r="C182" s="1">
        <v>480</v>
      </c>
      <c r="D182" s="1">
        <v>0.28610000000000002</v>
      </c>
      <c r="E182" s="1">
        <v>0.2072</v>
      </c>
      <c r="F182" s="1">
        <v>7.8899999999999998E-2</v>
      </c>
      <c r="G182" s="1">
        <v>0.54549999999999998</v>
      </c>
      <c r="H182" s="1">
        <v>60.8</v>
      </c>
      <c r="I182" s="1">
        <v>4.49</v>
      </c>
      <c r="J182" s="1">
        <v>2.13</v>
      </c>
      <c r="K182" s="1">
        <v>39.200000000000003</v>
      </c>
      <c r="L182" s="13">
        <v>0</v>
      </c>
      <c r="M182" s="13">
        <v>1</v>
      </c>
      <c r="N182" s="78">
        <v>0</v>
      </c>
      <c r="O182" s="13">
        <v>1</v>
      </c>
    </row>
    <row r="183" spans="1:15" x14ac:dyDescent="0.25">
      <c r="A183">
        <v>5</v>
      </c>
      <c r="B183">
        <v>18</v>
      </c>
      <c r="C183" s="1">
        <v>468</v>
      </c>
      <c r="D183" s="1">
        <v>0.21429999999999999</v>
      </c>
      <c r="E183" s="1">
        <v>0.1045</v>
      </c>
      <c r="F183" s="1">
        <v>0.10979999999999999</v>
      </c>
      <c r="G183" s="1">
        <v>1</v>
      </c>
      <c r="H183" s="1">
        <v>60.75</v>
      </c>
      <c r="I183" s="1">
        <v>4.59</v>
      </c>
      <c r="J183" s="1">
        <v>2.23</v>
      </c>
      <c r="K183" s="1">
        <v>39.25</v>
      </c>
      <c r="L183" s="13">
        <v>0</v>
      </c>
      <c r="M183" s="13">
        <v>1</v>
      </c>
      <c r="N183" s="78">
        <v>0</v>
      </c>
      <c r="O183" s="13">
        <v>1</v>
      </c>
    </row>
    <row r="184" spans="1:15" x14ac:dyDescent="0.25">
      <c r="A184">
        <v>5</v>
      </c>
      <c r="B184">
        <v>18</v>
      </c>
      <c r="C184" s="1">
        <v>456</v>
      </c>
      <c r="D184" s="1">
        <v>5.8299999999999998E-2</v>
      </c>
      <c r="E184" s="1">
        <v>1.9400000000000001E-2</v>
      </c>
      <c r="F184" s="1">
        <v>3.8899999999999997E-2</v>
      </c>
      <c r="G184" s="1">
        <v>0</v>
      </c>
      <c r="H184" s="1">
        <v>61.12</v>
      </c>
      <c r="I184" s="1">
        <v>4.51</v>
      </c>
      <c r="J184" s="1">
        <v>2.29</v>
      </c>
      <c r="K184" s="1">
        <v>38.880000000000003</v>
      </c>
      <c r="L184" s="13">
        <v>0</v>
      </c>
      <c r="M184" s="13">
        <v>1</v>
      </c>
      <c r="N184" s="78">
        <v>0</v>
      </c>
      <c r="O184" s="13">
        <v>1</v>
      </c>
    </row>
    <row r="185" spans="1:15" x14ac:dyDescent="0.25">
      <c r="A185">
        <v>5</v>
      </c>
      <c r="B185">
        <v>20</v>
      </c>
      <c r="C185" s="1">
        <v>492</v>
      </c>
      <c r="D185" s="1">
        <v>0.24010000000000001</v>
      </c>
      <c r="E185" s="1">
        <v>0.2029</v>
      </c>
      <c r="F185" s="1">
        <v>3.7199999999999997E-2</v>
      </c>
      <c r="G185" s="1">
        <v>0.12</v>
      </c>
      <c r="H185" s="1">
        <v>58.59</v>
      </c>
      <c r="I185" s="1">
        <v>5.78</v>
      </c>
      <c r="J185" s="1">
        <v>2.4300000000000002</v>
      </c>
      <c r="K185" s="1">
        <v>41.41</v>
      </c>
      <c r="L185" s="13">
        <v>0</v>
      </c>
      <c r="M185" s="13">
        <v>1</v>
      </c>
      <c r="N185" s="78">
        <v>0</v>
      </c>
      <c r="O185" s="13">
        <v>1</v>
      </c>
    </row>
    <row r="186" spans="1:15" x14ac:dyDescent="0.25">
      <c r="A186">
        <v>5</v>
      </c>
      <c r="B186">
        <v>20</v>
      </c>
      <c r="C186" s="1">
        <v>480</v>
      </c>
      <c r="D186" s="1">
        <v>1.2831999999999999</v>
      </c>
      <c r="E186" s="1">
        <v>1.0093000000000001</v>
      </c>
      <c r="F186" s="1">
        <v>0.27389999999999998</v>
      </c>
      <c r="G186" s="1">
        <v>1</v>
      </c>
      <c r="H186" s="1">
        <v>58.91</v>
      </c>
      <c r="I186" s="1">
        <v>5.66</v>
      </c>
      <c r="J186" s="1">
        <v>2.2000000000000002</v>
      </c>
      <c r="K186" s="1">
        <v>41.09</v>
      </c>
      <c r="L186" s="13">
        <v>0</v>
      </c>
      <c r="M186" s="13">
        <v>1</v>
      </c>
      <c r="N186" s="78">
        <v>0</v>
      </c>
      <c r="O186" s="13">
        <v>1</v>
      </c>
    </row>
    <row r="187" spans="1:15" x14ac:dyDescent="0.25">
      <c r="A187">
        <v>5</v>
      </c>
      <c r="B187">
        <v>20</v>
      </c>
      <c r="C187" s="1">
        <v>468</v>
      </c>
      <c r="D187" s="1">
        <v>0.5998</v>
      </c>
      <c r="E187" s="1">
        <v>0.38950000000000001</v>
      </c>
      <c r="F187" s="1">
        <v>0.2104</v>
      </c>
      <c r="G187" s="1">
        <v>1</v>
      </c>
      <c r="H187" s="1">
        <v>59.17</v>
      </c>
      <c r="I187" s="1">
        <v>5.22</v>
      </c>
      <c r="J187" s="1">
        <v>2.1</v>
      </c>
      <c r="K187" s="1">
        <v>40.83</v>
      </c>
      <c r="L187" s="13">
        <v>0</v>
      </c>
      <c r="M187" s="13">
        <v>1</v>
      </c>
      <c r="N187" s="78">
        <v>0</v>
      </c>
      <c r="O187" s="13">
        <v>1</v>
      </c>
    </row>
    <row r="188" spans="1:15" x14ac:dyDescent="0.25">
      <c r="A188">
        <v>5</v>
      </c>
      <c r="B188">
        <v>20</v>
      </c>
      <c r="C188" s="1">
        <v>456</v>
      </c>
      <c r="D188" s="1">
        <v>0.20899999999999999</v>
      </c>
      <c r="E188" s="1">
        <v>7.8799999999999995E-2</v>
      </c>
      <c r="F188" s="1">
        <v>0.13020000000000001</v>
      </c>
      <c r="G188" s="1">
        <v>1</v>
      </c>
      <c r="H188" s="1">
        <v>59.07</v>
      </c>
      <c r="I188" s="1">
        <v>5.2</v>
      </c>
      <c r="J188" s="1">
        <v>2.23</v>
      </c>
      <c r="K188" s="1">
        <v>40.93</v>
      </c>
      <c r="L188" s="13">
        <v>0</v>
      </c>
      <c r="M188" s="13">
        <v>1</v>
      </c>
      <c r="N188" s="78">
        <v>0</v>
      </c>
      <c r="O188" s="13">
        <v>1</v>
      </c>
    </row>
    <row r="189" spans="1:15" x14ac:dyDescent="0.25">
      <c r="A189">
        <v>5</v>
      </c>
      <c r="B189">
        <v>20</v>
      </c>
      <c r="C189" s="1">
        <v>444</v>
      </c>
      <c r="D189" s="1">
        <v>4.6300000000000001E-2</v>
      </c>
      <c r="E189" s="1">
        <v>1.3899999999999999E-2</v>
      </c>
      <c r="F189" s="1">
        <v>3.2500000000000001E-2</v>
      </c>
      <c r="G189" s="1">
        <v>0</v>
      </c>
      <c r="H189" s="1">
        <v>59.44</v>
      </c>
      <c r="I189" s="1">
        <v>4.95</v>
      </c>
      <c r="J189" s="1">
        <v>2.2799999999999998</v>
      </c>
      <c r="K189" s="1">
        <v>40.56</v>
      </c>
      <c r="L189" s="13">
        <v>0</v>
      </c>
      <c r="M189" s="13">
        <v>1</v>
      </c>
      <c r="N189" s="78">
        <v>0</v>
      </c>
      <c r="O189" s="13">
        <v>1</v>
      </c>
    </row>
    <row r="190" spans="1:15" x14ac:dyDescent="0.25">
      <c r="A190">
        <v>6</v>
      </c>
      <c r="B190">
        <v>6</v>
      </c>
      <c r="C190" s="1">
        <v>432</v>
      </c>
      <c r="D190" s="1">
        <v>3.4979</v>
      </c>
      <c r="E190" s="1">
        <v>2.4851000000000001</v>
      </c>
      <c r="F190" s="1">
        <v>1.0127999999999999</v>
      </c>
      <c r="G190" s="1">
        <v>1</v>
      </c>
      <c r="H190" s="1">
        <v>58.01</v>
      </c>
      <c r="I190" s="1">
        <v>4.5599999999999996</v>
      </c>
      <c r="J190" s="1">
        <v>2.12</v>
      </c>
      <c r="K190" s="1">
        <v>41.99</v>
      </c>
      <c r="L190" s="13">
        <v>0</v>
      </c>
      <c r="M190" s="13">
        <v>1</v>
      </c>
      <c r="N190" s="78">
        <v>1</v>
      </c>
      <c r="O190" s="13">
        <v>0</v>
      </c>
    </row>
    <row r="191" spans="1:15" x14ac:dyDescent="0.25">
      <c r="A191">
        <v>6</v>
      </c>
      <c r="B191">
        <v>6</v>
      </c>
      <c r="C191" s="1">
        <v>420</v>
      </c>
      <c r="D191" s="1">
        <v>2.7271000000000001</v>
      </c>
      <c r="E191" s="1">
        <v>1.8251999999999999</v>
      </c>
      <c r="F191" s="1">
        <v>0.90190000000000003</v>
      </c>
      <c r="G191" s="1">
        <v>1</v>
      </c>
      <c r="H191" s="1">
        <v>58.06</v>
      </c>
      <c r="I191" s="1">
        <v>4.66</v>
      </c>
      <c r="J191" s="1">
        <v>2.16</v>
      </c>
      <c r="K191" s="1">
        <v>41.94</v>
      </c>
      <c r="L191" s="13">
        <v>0</v>
      </c>
      <c r="M191" s="13">
        <v>1</v>
      </c>
      <c r="N191" s="78">
        <v>1</v>
      </c>
      <c r="O191" s="13">
        <v>0</v>
      </c>
    </row>
    <row r="192" spans="1:15" x14ac:dyDescent="0.25">
      <c r="A192">
        <v>6</v>
      </c>
      <c r="B192">
        <v>6</v>
      </c>
      <c r="C192" s="1">
        <v>408</v>
      </c>
      <c r="D192" s="1">
        <v>2.0535000000000001</v>
      </c>
      <c r="E192" s="1">
        <v>1.2246999999999999</v>
      </c>
      <c r="F192" s="1">
        <v>0.82869999999999999</v>
      </c>
      <c r="G192" s="1">
        <v>1</v>
      </c>
      <c r="H192" s="1">
        <v>57.69</v>
      </c>
      <c r="I192" s="1">
        <v>5.08</v>
      </c>
      <c r="J192" s="1">
        <v>2.2400000000000002</v>
      </c>
      <c r="K192" s="1">
        <v>42.31</v>
      </c>
      <c r="L192" s="13">
        <v>0</v>
      </c>
      <c r="M192" s="13">
        <v>1</v>
      </c>
      <c r="N192" s="78">
        <v>1</v>
      </c>
      <c r="O192" s="13">
        <v>0</v>
      </c>
    </row>
    <row r="193" spans="1:15" x14ac:dyDescent="0.25">
      <c r="A193">
        <v>6</v>
      </c>
      <c r="B193">
        <v>6</v>
      </c>
      <c r="C193" s="1">
        <v>396</v>
      </c>
      <c r="D193" s="1">
        <v>1.5618000000000001</v>
      </c>
      <c r="E193" s="1">
        <v>0.83919999999999995</v>
      </c>
      <c r="F193" s="1">
        <v>0.72260000000000002</v>
      </c>
      <c r="G193" s="1">
        <v>1</v>
      </c>
      <c r="H193" s="1">
        <v>57.27</v>
      </c>
      <c r="I193" s="1">
        <v>5.59</v>
      </c>
      <c r="J193" s="1">
        <v>2.14</v>
      </c>
      <c r="K193" s="1">
        <v>42.73</v>
      </c>
      <c r="L193" s="13">
        <v>0</v>
      </c>
      <c r="M193" s="13">
        <v>1</v>
      </c>
      <c r="N193" s="78">
        <v>1</v>
      </c>
      <c r="O193" s="13">
        <v>0</v>
      </c>
    </row>
    <row r="194" spans="1:15" x14ac:dyDescent="0.25">
      <c r="A194">
        <v>6</v>
      </c>
      <c r="B194">
        <v>6</v>
      </c>
      <c r="C194" s="1">
        <v>384</v>
      </c>
      <c r="D194" s="1">
        <v>1.0245</v>
      </c>
      <c r="E194" s="1">
        <v>0.49719999999999998</v>
      </c>
      <c r="F194" s="1">
        <v>0.52729999999999999</v>
      </c>
      <c r="G194" s="1">
        <v>1</v>
      </c>
      <c r="H194" s="1">
        <v>57.36</v>
      </c>
      <c r="I194" s="1">
        <v>5.71</v>
      </c>
      <c r="J194" s="1">
        <v>1.94</v>
      </c>
      <c r="K194" s="1">
        <v>42.64</v>
      </c>
      <c r="L194" s="13">
        <v>0</v>
      </c>
      <c r="M194" s="13">
        <v>1</v>
      </c>
      <c r="N194" s="78">
        <v>1</v>
      </c>
      <c r="O194" s="13">
        <v>0</v>
      </c>
    </row>
    <row r="195" spans="1:15" x14ac:dyDescent="0.25">
      <c r="A195">
        <v>6</v>
      </c>
      <c r="B195">
        <v>6</v>
      </c>
      <c r="C195" s="1">
        <v>372</v>
      </c>
      <c r="D195" s="1">
        <v>0.52749999999999997</v>
      </c>
      <c r="E195" s="1">
        <v>0.22239999999999999</v>
      </c>
      <c r="F195" s="1">
        <v>0.30499999999999999</v>
      </c>
      <c r="G195" s="1">
        <v>1</v>
      </c>
      <c r="H195" s="1">
        <v>56.89</v>
      </c>
      <c r="I195" s="1">
        <v>5.93</v>
      </c>
      <c r="J195" s="1">
        <v>2</v>
      </c>
      <c r="K195" s="1">
        <v>43.11</v>
      </c>
      <c r="L195" s="13">
        <v>0</v>
      </c>
      <c r="M195" s="13">
        <v>1</v>
      </c>
      <c r="N195" s="78">
        <v>1</v>
      </c>
      <c r="O195" s="13">
        <v>0</v>
      </c>
    </row>
    <row r="196" spans="1:15" x14ac:dyDescent="0.25">
      <c r="A196">
        <v>6</v>
      </c>
      <c r="B196">
        <v>6</v>
      </c>
      <c r="C196" s="1">
        <v>360</v>
      </c>
      <c r="D196" s="1">
        <v>0.1469</v>
      </c>
      <c r="E196" s="1">
        <v>4.7699999999999999E-2</v>
      </c>
      <c r="F196" s="1">
        <v>9.9199999999999997E-2</v>
      </c>
      <c r="G196" s="1">
        <v>1</v>
      </c>
      <c r="H196" s="1">
        <v>57.03</v>
      </c>
      <c r="I196" s="1">
        <v>5.6</v>
      </c>
      <c r="J196" s="1">
        <v>2.31</v>
      </c>
      <c r="K196" s="1">
        <v>42.97</v>
      </c>
      <c r="L196" s="13">
        <v>0</v>
      </c>
      <c r="M196" s="13">
        <v>1</v>
      </c>
      <c r="N196" s="78">
        <v>1</v>
      </c>
      <c r="O196" s="13">
        <v>0</v>
      </c>
    </row>
    <row r="197" spans="1:15" x14ac:dyDescent="0.25">
      <c r="A197">
        <v>6</v>
      </c>
      <c r="B197">
        <v>12</v>
      </c>
      <c r="C197" s="1">
        <v>432</v>
      </c>
      <c r="D197" s="1">
        <v>1.2696000000000001</v>
      </c>
      <c r="E197" s="1">
        <v>0.91369999999999996</v>
      </c>
      <c r="F197" s="1">
        <v>0.35589999999999999</v>
      </c>
      <c r="G197" s="1">
        <v>1</v>
      </c>
      <c r="H197" s="1">
        <v>58.47</v>
      </c>
      <c r="I197" s="1">
        <v>6.86</v>
      </c>
      <c r="J197" s="1">
        <v>1.75</v>
      </c>
      <c r="K197" s="1">
        <v>41.53</v>
      </c>
      <c r="L197" s="13">
        <v>0</v>
      </c>
      <c r="M197" s="13">
        <v>1</v>
      </c>
      <c r="N197" s="78">
        <v>0</v>
      </c>
      <c r="O197" s="13">
        <v>1</v>
      </c>
    </row>
    <row r="198" spans="1:15" x14ac:dyDescent="0.25">
      <c r="A198">
        <v>6</v>
      </c>
      <c r="B198">
        <v>12</v>
      </c>
      <c r="C198" s="1">
        <v>420</v>
      </c>
      <c r="D198" s="1">
        <v>0.92410000000000003</v>
      </c>
      <c r="E198" s="1">
        <v>0.67949999999999999</v>
      </c>
      <c r="F198" s="1">
        <v>0.24460000000000001</v>
      </c>
      <c r="G198" s="1">
        <v>1</v>
      </c>
      <c r="H198" s="1">
        <v>57.38</v>
      </c>
      <c r="I198" s="1">
        <v>7.01</v>
      </c>
      <c r="J198" s="1">
        <v>1.71</v>
      </c>
      <c r="K198" s="1">
        <v>42.62</v>
      </c>
      <c r="L198" s="13">
        <v>0</v>
      </c>
      <c r="M198" s="13">
        <v>1</v>
      </c>
      <c r="N198" s="78">
        <v>0</v>
      </c>
      <c r="O198" s="13">
        <v>1</v>
      </c>
    </row>
    <row r="199" spans="1:15" x14ac:dyDescent="0.25">
      <c r="A199">
        <v>6</v>
      </c>
      <c r="B199">
        <v>12</v>
      </c>
      <c r="C199" s="1">
        <v>408</v>
      </c>
      <c r="D199" s="1">
        <v>0.52039999999999997</v>
      </c>
      <c r="E199" s="1">
        <v>0.40360000000000001</v>
      </c>
      <c r="F199" s="1">
        <v>0.1168</v>
      </c>
      <c r="G199" s="1">
        <v>1</v>
      </c>
      <c r="H199" s="1">
        <v>57.59</v>
      </c>
      <c r="I199" s="1">
        <v>6.51</v>
      </c>
      <c r="J199" s="1">
        <v>1.71</v>
      </c>
      <c r="K199" s="1">
        <v>42.41</v>
      </c>
      <c r="L199" s="13">
        <v>0</v>
      </c>
      <c r="M199" s="13">
        <v>1</v>
      </c>
      <c r="N199" s="78">
        <v>0</v>
      </c>
      <c r="O199" s="13">
        <v>1</v>
      </c>
    </row>
    <row r="200" spans="1:15" x14ac:dyDescent="0.25">
      <c r="A200">
        <v>6</v>
      </c>
      <c r="B200">
        <v>12</v>
      </c>
      <c r="C200" s="1">
        <v>396</v>
      </c>
      <c r="D200" s="1">
        <v>0.26290000000000002</v>
      </c>
      <c r="E200" s="1">
        <v>0.18310000000000001</v>
      </c>
      <c r="F200" s="1">
        <v>7.9899999999999999E-2</v>
      </c>
      <c r="G200" s="1">
        <v>1</v>
      </c>
      <c r="H200" s="1">
        <v>57.53</v>
      </c>
      <c r="I200" s="1">
        <v>6.55</v>
      </c>
      <c r="J200" s="1">
        <v>1.66</v>
      </c>
      <c r="K200" s="1">
        <v>42.47</v>
      </c>
      <c r="L200" s="13">
        <v>0</v>
      </c>
      <c r="M200" s="13">
        <v>1</v>
      </c>
      <c r="N200" s="78">
        <v>0</v>
      </c>
      <c r="O200" s="13">
        <v>1</v>
      </c>
    </row>
    <row r="201" spans="1:15" x14ac:dyDescent="0.25">
      <c r="A201">
        <v>6</v>
      </c>
      <c r="B201">
        <v>12</v>
      </c>
      <c r="C201" s="1">
        <v>384</v>
      </c>
      <c r="D201" s="1">
        <v>6.7400000000000002E-2</v>
      </c>
      <c r="E201" s="1">
        <v>3.5200000000000002E-2</v>
      </c>
      <c r="F201" s="1">
        <v>3.2099999999999997E-2</v>
      </c>
      <c r="G201" s="1">
        <v>0</v>
      </c>
      <c r="H201" s="1">
        <v>58.59</v>
      </c>
      <c r="I201" s="1">
        <v>6.33</v>
      </c>
      <c r="J201" s="1">
        <v>1.43</v>
      </c>
      <c r="K201" s="1">
        <v>41.41</v>
      </c>
      <c r="L201" s="13">
        <v>0</v>
      </c>
      <c r="M201" s="13">
        <v>1</v>
      </c>
      <c r="N201" s="78">
        <v>0</v>
      </c>
      <c r="O201" s="13">
        <v>1</v>
      </c>
    </row>
    <row r="202" spans="1:15" x14ac:dyDescent="0.25">
      <c r="I202" s="1"/>
      <c r="J202" s="1"/>
      <c r="K202" s="1"/>
    </row>
    <row r="203" spans="1:15" x14ac:dyDescent="0.25">
      <c r="I203" s="1"/>
      <c r="J203" s="1"/>
      <c r="K203" s="1"/>
    </row>
    <row r="204" spans="1:15" x14ac:dyDescent="0.25">
      <c r="I204" s="1"/>
      <c r="J204" s="1"/>
      <c r="K204" s="1"/>
    </row>
    <row r="205" spans="1:15" x14ac:dyDescent="0.25">
      <c r="I205" s="1"/>
      <c r="J205" s="1"/>
      <c r="K205" s="1"/>
    </row>
    <row r="206" spans="1:15" x14ac:dyDescent="0.25">
      <c r="I206" s="1"/>
      <c r="J206" s="1"/>
      <c r="K206" s="1"/>
    </row>
    <row r="207" spans="1:15" x14ac:dyDescent="0.25">
      <c r="I207" s="1"/>
      <c r="J207" s="1"/>
      <c r="K207" s="1"/>
    </row>
    <row r="208" spans="1:15" x14ac:dyDescent="0.25">
      <c r="I208" s="1"/>
      <c r="J208" s="1"/>
      <c r="K208" s="1"/>
    </row>
    <row r="209" spans="9:11" x14ac:dyDescent="0.25">
      <c r="I209" s="1"/>
      <c r="J209" s="1"/>
      <c r="K209" s="1"/>
    </row>
    <row r="210" spans="9:11" x14ac:dyDescent="0.25">
      <c r="I210" s="1"/>
      <c r="J210" s="1"/>
      <c r="K210" s="1"/>
    </row>
    <row r="211" spans="9:11" x14ac:dyDescent="0.25">
      <c r="I211" s="1"/>
      <c r="J211" s="1"/>
      <c r="K211" s="1"/>
    </row>
    <row r="212" spans="9:11" x14ac:dyDescent="0.25">
      <c r="I212" s="1"/>
      <c r="J212" s="1"/>
      <c r="K212" s="1"/>
    </row>
    <row r="213" spans="9:11" x14ac:dyDescent="0.25">
      <c r="I213" s="1"/>
      <c r="J213" s="1"/>
      <c r="K213" s="1"/>
    </row>
    <row r="214" spans="9:11" x14ac:dyDescent="0.25">
      <c r="I214" s="1"/>
      <c r="J214" s="1"/>
      <c r="K214" s="1"/>
    </row>
    <row r="215" spans="9:11" x14ac:dyDescent="0.25">
      <c r="I215" s="1"/>
      <c r="J215" s="1"/>
      <c r="K215" s="1"/>
    </row>
    <row r="216" spans="9:11" x14ac:dyDescent="0.25">
      <c r="I216" s="1"/>
      <c r="J216" s="1"/>
      <c r="K216" s="1"/>
    </row>
    <row r="217" spans="9:11" x14ac:dyDescent="0.25">
      <c r="I217" s="1"/>
      <c r="J217" s="1"/>
      <c r="K217" s="1"/>
    </row>
    <row r="218" spans="9:11" x14ac:dyDescent="0.25">
      <c r="I218" s="1"/>
      <c r="J218" s="1"/>
      <c r="K218" s="1"/>
    </row>
    <row r="219" spans="9:11" x14ac:dyDescent="0.25">
      <c r="I219" s="1"/>
      <c r="J219" s="1"/>
      <c r="K219" s="1"/>
    </row>
    <row r="220" spans="9:11" x14ac:dyDescent="0.25">
      <c r="I220" s="1"/>
      <c r="J220" s="1"/>
      <c r="K220" s="1"/>
    </row>
    <row r="221" spans="9:11" x14ac:dyDescent="0.25">
      <c r="I221" s="1"/>
      <c r="J221" s="1"/>
      <c r="K221" s="1"/>
    </row>
    <row r="222" spans="9:11" x14ac:dyDescent="0.25">
      <c r="I222" s="1"/>
      <c r="J222" s="1"/>
      <c r="K222" s="1"/>
    </row>
    <row r="223" spans="9:11" x14ac:dyDescent="0.25">
      <c r="I223" s="1"/>
      <c r="J223" s="1"/>
      <c r="K223" s="1"/>
    </row>
    <row r="224" spans="9:11" x14ac:dyDescent="0.25">
      <c r="I224" s="1"/>
      <c r="J224" s="1"/>
      <c r="K224" s="1"/>
    </row>
    <row r="225" spans="9:11" x14ac:dyDescent="0.25">
      <c r="I225" s="1"/>
      <c r="J225" s="1"/>
      <c r="K225" s="1"/>
    </row>
    <row r="226" spans="9:11" x14ac:dyDescent="0.25">
      <c r="I226" s="1"/>
      <c r="J226" s="1"/>
      <c r="K226" s="1"/>
    </row>
    <row r="227" spans="9:11" x14ac:dyDescent="0.25">
      <c r="I227" s="1"/>
      <c r="J227" s="1"/>
      <c r="K227" s="1"/>
    </row>
    <row r="228" spans="9:11" x14ac:dyDescent="0.25">
      <c r="I228" s="1"/>
      <c r="J228" s="1"/>
      <c r="K228" s="1"/>
    </row>
    <row r="229" spans="9:11" x14ac:dyDescent="0.25">
      <c r="I229" s="1"/>
      <c r="J229" s="1"/>
      <c r="K229" s="1"/>
    </row>
    <row r="230" spans="9:11" x14ac:dyDescent="0.25">
      <c r="I230" s="1"/>
      <c r="J230" s="1"/>
      <c r="K230" s="1"/>
    </row>
    <row r="231" spans="9:11" x14ac:dyDescent="0.25">
      <c r="I231" s="1"/>
      <c r="J231" s="1"/>
      <c r="K231" s="1"/>
    </row>
    <row r="232" spans="9:11" x14ac:dyDescent="0.25">
      <c r="I232" s="1"/>
      <c r="J232" s="1"/>
      <c r="K232" s="1"/>
    </row>
    <row r="233" spans="9:11" x14ac:dyDescent="0.25">
      <c r="I233" s="1"/>
      <c r="J233" s="1"/>
      <c r="K233" s="1"/>
    </row>
    <row r="234" spans="9:11" x14ac:dyDescent="0.25">
      <c r="I234" s="1"/>
      <c r="J234" s="1"/>
      <c r="K234" s="1"/>
    </row>
    <row r="235" spans="9:11" x14ac:dyDescent="0.25">
      <c r="I235" s="1"/>
      <c r="J235" s="1"/>
      <c r="K235" s="1"/>
    </row>
    <row r="236" spans="9:11" x14ac:dyDescent="0.25">
      <c r="I236" s="1"/>
      <c r="J236" s="1"/>
      <c r="K236" s="1"/>
    </row>
    <row r="237" spans="9:11" x14ac:dyDescent="0.25">
      <c r="I237" s="1"/>
      <c r="J237" s="1"/>
      <c r="K237" s="1"/>
    </row>
    <row r="238" spans="9:11" x14ac:dyDescent="0.25">
      <c r="I238" s="1"/>
      <c r="J238" s="1"/>
      <c r="K238" s="1"/>
    </row>
    <row r="239" spans="9:11" x14ac:dyDescent="0.25">
      <c r="I239" s="1"/>
      <c r="J239" s="1"/>
      <c r="K239" s="1"/>
    </row>
    <row r="240" spans="9:11" x14ac:dyDescent="0.25">
      <c r="I240" s="1"/>
      <c r="J240" s="1"/>
      <c r="K240" s="1"/>
    </row>
    <row r="241" spans="9:11" x14ac:dyDescent="0.25">
      <c r="I241" s="1"/>
      <c r="J241" s="1"/>
      <c r="K241" s="1"/>
    </row>
    <row r="242" spans="9:11" x14ac:dyDescent="0.25">
      <c r="I242" s="1"/>
      <c r="J242" s="1"/>
      <c r="K242" s="1"/>
    </row>
    <row r="243" spans="9:11" x14ac:dyDescent="0.25">
      <c r="I243" s="1"/>
      <c r="J243" s="1"/>
      <c r="K243" s="1"/>
    </row>
    <row r="244" spans="9:11" x14ac:dyDescent="0.25">
      <c r="I244" s="1"/>
      <c r="J244" s="1"/>
      <c r="K244" s="1"/>
    </row>
    <row r="245" spans="9:11" x14ac:dyDescent="0.25">
      <c r="I245" s="1"/>
      <c r="J245" s="1"/>
      <c r="K245" s="1"/>
    </row>
    <row r="246" spans="9:11" x14ac:dyDescent="0.25">
      <c r="I246" s="1"/>
      <c r="J246" s="1"/>
      <c r="K246" s="1"/>
    </row>
    <row r="247" spans="9:11" x14ac:dyDescent="0.25">
      <c r="I247" s="1"/>
      <c r="J247" s="1"/>
      <c r="K247" s="1"/>
    </row>
    <row r="248" spans="9:11" x14ac:dyDescent="0.25">
      <c r="I248" s="1"/>
      <c r="J248" s="1"/>
      <c r="K248" s="1"/>
    </row>
    <row r="249" spans="9:11" x14ac:dyDescent="0.25">
      <c r="I249" s="1"/>
      <c r="J249" s="1"/>
      <c r="K249" s="1"/>
    </row>
    <row r="250" spans="9:11" x14ac:dyDescent="0.25">
      <c r="I250" s="1"/>
      <c r="J250" s="1"/>
      <c r="K250" s="1"/>
    </row>
    <row r="251" spans="9:11" x14ac:dyDescent="0.25">
      <c r="I251" s="1"/>
      <c r="J251" s="1"/>
      <c r="K251" s="1"/>
    </row>
    <row r="252" spans="9:11" x14ac:dyDescent="0.25">
      <c r="I252" s="1"/>
      <c r="J252" s="1"/>
      <c r="K252" s="1"/>
    </row>
    <row r="253" spans="9:11" x14ac:dyDescent="0.25">
      <c r="I253" s="1"/>
      <c r="J253" s="1"/>
      <c r="K253" s="1"/>
    </row>
    <row r="254" spans="9:11" x14ac:dyDescent="0.25">
      <c r="I254" s="1"/>
      <c r="J254" s="1"/>
      <c r="K254" s="1"/>
    </row>
    <row r="255" spans="9:11" x14ac:dyDescent="0.25">
      <c r="I255" s="1"/>
      <c r="J255" s="1"/>
      <c r="K255" s="1"/>
    </row>
    <row r="256" spans="9:11" x14ac:dyDescent="0.25">
      <c r="I256" s="1"/>
      <c r="J256" s="1"/>
      <c r="K256" s="1"/>
    </row>
    <row r="257" spans="9:11" x14ac:dyDescent="0.25">
      <c r="I257" s="1"/>
      <c r="J257" s="1"/>
      <c r="K257" s="1"/>
    </row>
    <row r="258" spans="9:11" x14ac:dyDescent="0.25">
      <c r="I258" s="1"/>
      <c r="J258" s="1"/>
      <c r="K258" s="1"/>
    </row>
    <row r="259" spans="9:11" x14ac:dyDescent="0.25">
      <c r="I259" s="1"/>
      <c r="J259" s="1"/>
      <c r="K259" s="1"/>
    </row>
    <row r="260" spans="9:11" x14ac:dyDescent="0.25">
      <c r="I260" s="1"/>
      <c r="J260" s="1"/>
      <c r="K260" s="1"/>
    </row>
    <row r="261" spans="9:11" x14ac:dyDescent="0.25">
      <c r="I261" s="1"/>
      <c r="J261" s="1"/>
      <c r="K261" s="1"/>
    </row>
    <row r="262" spans="9:11" x14ac:dyDescent="0.25">
      <c r="I262" s="1"/>
      <c r="J262" s="1"/>
      <c r="K262" s="1"/>
    </row>
    <row r="263" spans="9:11" x14ac:dyDescent="0.25">
      <c r="I263" s="1"/>
      <c r="J263" s="1"/>
      <c r="K263" s="1"/>
    </row>
    <row r="264" spans="9:11" x14ac:dyDescent="0.25">
      <c r="I264" s="1"/>
      <c r="J264" s="1"/>
      <c r="K264" s="1"/>
    </row>
    <row r="265" spans="9:11" x14ac:dyDescent="0.25">
      <c r="I265" s="1"/>
      <c r="J265" s="1"/>
      <c r="K265" s="1"/>
    </row>
    <row r="266" spans="9:11" x14ac:dyDescent="0.25">
      <c r="I266" s="1"/>
      <c r="J266" s="1"/>
      <c r="K266" s="1"/>
    </row>
    <row r="267" spans="9:11" x14ac:dyDescent="0.25">
      <c r="I267" s="1"/>
      <c r="J267" s="1"/>
      <c r="K267" s="1"/>
    </row>
    <row r="268" spans="9:11" x14ac:dyDescent="0.25">
      <c r="I268" s="1"/>
      <c r="J268" s="1"/>
      <c r="K268" s="1"/>
    </row>
    <row r="269" spans="9:11" x14ac:dyDescent="0.25">
      <c r="I269" s="1"/>
      <c r="J269" s="1"/>
      <c r="K269" s="1"/>
    </row>
    <row r="270" spans="9:11" x14ac:dyDescent="0.25">
      <c r="I270" s="1"/>
      <c r="J270" s="1"/>
      <c r="K270" s="1"/>
    </row>
    <row r="271" spans="9:11" x14ac:dyDescent="0.25">
      <c r="I271" s="1"/>
      <c r="J271" s="1"/>
      <c r="K271" s="1"/>
    </row>
    <row r="272" spans="9:11" x14ac:dyDescent="0.25">
      <c r="I272" s="1"/>
      <c r="J272" s="1"/>
      <c r="K272" s="1"/>
    </row>
    <row r="273" spans="9:11" x14ac:dyDescent="0.25">
      <c r="I273" s="1"/>
      <c r="J273" s="1"/>
      <c r="K273" s="1"/>
    </row>
    <row r="274" spans="9:11" x14ac:dyDescent="0.25">
      <c r="I274" s="1"/>
      <c r="J274" s="1"/>
      <c r="K274" s="1"/>
    </row>
    <row r="275" spans="9:11" x14ac:dyDescent="0.25">
      <c r="I275" s="1"/>
      <c r="J275" s="1"/>
      <c r="K275" s="1"/>
    </row>
    <row r="276" spans="9:11" x14ac:dyDescent="0.25">
      <c r="I276" s="1"/>
      <c r="J276" s="1"/>
      <c r="K276" s="1"/>
    </row>
    <row r="277" spans="9:11" x14ac:dyDescent="0.25">
      <c r="I277" s="1"/>
      <c r="J277" s="1"/>
      <c r="K277" s="1"/>
    </row>
    <row r="278" spans="9:11" x14ac:dyDescent="0.25">
      <c r="I278" s="1"/>
      <c r="J278" s="1"/>
      <c r="K278" s="1"/>
    </row>
    <row r="279" spans="9:11" x14ac:dyDescent="0.25">
      <c r="I279" s="1"/>
      <c r="J279" s="1"/>
      <c r="K279" s="1"/>
    </row>
    <row r="280" spans="9:11" x14ac:dyDescent="0.25">
      <c r="I280" s="1"/>
      <c r="J280" s="1"/>
      <c r="K280" s="1"/>
    </row>
    <row r="281" spans="9:11" x14ac:dyDescent="0.25">
      <c r="I281" s="1"/>
      <c r="J281" s="1"/>
      <c r="K281" s="1"/>
    </row>
    <row r="282" spans="9:11" x14ac:dyDescent="0.25">
      <c r="I282" s="1"/>
      <c r="J282" s="1"/>
      <c r="K282" s="1"/>
    </row>
    <row r="283" spans="9:11" x14ac:dyDescent="0.25">
      <c r="I283" s="1"/>
      <c r="J283" s="1"/>
      <c r="K283" s="1"/>
    </row>
    <row r="284" spans="9:11" x14ac:dyDescent="0.25">
      <c r="I284" s="1"/>
      <c r="J284" s="1"/>
      <c r="K284" s="1"/>
    </row>
    <row r="285" spans="9:11" x14ac:dyDescent="0.25">
      <c r="I285" s="1"/>
      <c r="J285" s="1"/>
      <c r="K285" s="1"/>
    </row>
    <row r="286" spans="9:11" x14ac:dyDescent="0.25">
      <c r="I286" s="1"/>
      <c r="J286" s="1"/>
      <c r="K286" s="1"/>
    </row>
    <row r="287" spans="9:11" x14ac:dyDescent="0.25">
      <c r="I287" s="1"/>
      <c r="J287" s="1"/>
      <c r="K287" s="1"/>
    </row>
    <row r="288" spans="9:11" x14ac:dyDescent="0.25">
      <c r="I288" s="1"/>
      <c r="J288" s="1"/>
      <c r="K288" s="1"/>
    </row>
    <row r="289" spans="9:11" x14ac:dyDescent="0.25">
      <c r="I289" s="1"/>
      <c r="J289" s="1"/>
      <c r="K289" s="1"/>
    </row>
    <row r="290" spans="9:11" x14ac:dyDescent="0.25">
      <c r="I290" s="1"/>
      <c r="J290" s="1"/>
      <c r="K290" s="1"/>
    </row>
    <row r="291" spans="9:11" x14ac:dyDescent="0.25">
      <c r="I291" s="1"/>
      <c r="J291" s="1"/>
      <c r="K291" s="1"/>
    </row>
    <row r="292" spans="9:11" x14ac:dyDescent="0.25">
      <c r="I292" s="1"/>
      <c r="J292" s="1"/>
      <c r="K292" s="1"/>
    </row>
    <row r="293" spans="9:11" x14ac:dyDescent="0.25">
      <c r="I293" s="1"/>
      <c r="J293" s="1"/>
      <c r="K293" s="1"/>
    </row>
    <row r="294" spans="9:11" x14ac:dyDescent="0.25">
      <c r="I294" s="1"/>
      <c r="J294" s="1"/>
      <c r="K294" s="1"/>
    </row>
    <row r="295" spans="9:11" x14ac:dyDescent="0.25">
      <c r="I295" s="1"/>
      <c r="J295" s="1"/>
      <c r="K295" s="1"/>
    </row>
    <row r="296" spans="9:11" x14ac:dyDescent="0.25">
      <c r="I296" s="1"/>
      <c r="J296" s="1"/>
      <c r="K296" s="1"/>
    </row>
    <row r="297" spans="9:11" x14ac:dyDescent="0.25">
      <c r="I297" s="1"/>
      <c r="J297" s="1"/>
      <c r="K297" s="1"/>
    </row>
    <row r="298" spans="9:11" x14ac:dyDescent="0.25">
      <c r="I298" s="1"/>
      <c r="J298" s="1"/>
      <c r="K298" s="1"/>
    </row>
    <row r="299" spans="9:11" x14ac:dyDescent="0.25">
      <c r="I299" s="1"/>
      <c r="J299" s="1"/>
      <c r="K299" s="1"/>
    </row>
    <row r="300" spans="9:11" x14ac:dyDescent="0.25">
      <c r="I300" s="1"/>
      <c r="J300" s="1"/>
      <c r="K300" s="1"/>
    </row>
    <row r="301" spans="9:11" x14ac:dyDescent="0.25">
      <c r="I301" s="1"/>
      <c r="J301" s="1"/>
      <c r="K301" s="1"/>
    </row>
    <row r="302" spans="9:11" x14ac:dyDescent="0.25">
      <c r="I302" s="1"/>
      <c r="J302" s="1"/>
      <c r="K302" s="1"/>
    </row>
    <row r="303" spans="9:11" x14ac:dyDescent="0.25">
      <c r="I303" s="1"/>
      <c r="J303" s="1"/>
      <c r="K303" s="1"/>
    </row>
    <row r="304" spans="9:11" x14ac:dyDescent="0.25">
      <c r="I304" s="1"/>
      <c r="J304" s="1"/>
      <c r="K304" s="1"/>
    </row>
    <row r="305" spans="9:11" x14ac:dyDescent="0.25">
      <c r="I305" s="1"/>
      <c r="J305" s="1"/>
      <c r="K305" s="1"/>
    </row>
    <row r="306" spans="9:11" x14ac:dyDescent="0.25">
      <c r="I306" s="1"/>
      <c r="J306" s="1"/>
      <c r="K306" s="1"/>
    </row>
    <row r="307" spans="9:11" x14ac:dyDescent="0.25">
      <c r="I307" s="1"/>
      <c r="J307" s="1"/>
      <c r="K307" s="1"/>
    </row>
    <row r="308" spans="9:11" x14ac:dyDescent="0.25">
      <c r="I308" s="1"/>
      <c r="J308" s="1"/>
      <c r="K308" s="1"/>
    </row>
    <row r="309" spans="9:11" x14ac:dyDescent="0.25">
      <c r="I309" s="1"/>
      <c r="J309" s="1"/>
      <c r="K309" s="1"/>
    </row>
    <row r="310" spans="9:11" x14ac:dyDescent="0.25">
      <c r="I310" s="1"/>
      <c r="J310" s="1"/>
      <c r="K310" s="1"/>
    </row>
    <row r="311" spans="9:11" x14ac:dyDescent="0.25">
      <c r="I311" s="1"/>
      <c r="J311" s="1"/>
      <c r="K311" s="1"/>
    </row>
    <row r="312" spans="9:11" x14ac:dyDescent="0.25">
      <c r="I312" s="1"/>
      <c r="J312" s="1"/>
      <c r="K312" s="1"/>
    </row>
    <row r="313" spans="9:11" x14ac:dyDescent="0.25">
      <c r="I313" s="1"/>
      <c r="J313" s="1"/>
      <c r="K313" s="1"/>
    </row>
    <row r="314" spans="9:11" x14ac:dyDescent="0.25">
      <c r="I314" s="1"/>
      <c r="J314" s="1"/>
      <c r="K314" s="1"/>
    </row>
    <row r="315" spans="9:11" x14ac:dyDescent="0.25">
      <c r="I315" s="1"/>
      <c r="J315" s="1"/>
      <c r="K315" s="1"/>
    </row>
    <row r="316" spans="9:11" x14ac:dyDescent="0.25">
      <c r="I316" s="1"/>
      <c r="J316" s="1"/>
      <c r="K316" s="1"/>
    </row>
    <row r="317" spans="9:11" x14ac:dyDescent="0.25">
      <c r="I317" s="1"/>
      <c r="J317" s="1"/>
      <c r="K317" s="1"/>
    </row>
    <row r="318" spans="9:11" x14ac:dyDescent="0.25">
      <c r="I318" s="1"/>
      <c r="J318" s="1"/>
      <c r="K318" s="1"/>
    </row>
    <row r="319" spans="9:11" x14ac:dyDescent="0.25">
      <c r="I319" s="1"/>
      <c r="J319" s="1"/>
      <c r="K319" s="1"/>
    </row>
    <row r="320" spans="9:11" x14ac:dyDescent="0.25">
      <c r="I320" s="1"/>
      <c r="J320" s="1"/>
      <c r="K320" s="1"/>
    </row>
    <row r="321" spans="9:11" x14ac:dyDescent="0.25">
      <c r="I321" s="1"/>
      <c r="J321" s="1"/>
      <c r="K321" s="1"/>
    </row>
    <row r="322" spans="9:11" x14ac:dyDescent="0.25">
      <c r="I322" s="1"/>
      <c r="J322" s="1"/>
      <c r="K322" s="1"/>
    </row>
    <row r="323" spans="9:11" x14ac:dyDescent="0.25">
      <c r="I323" s="1"/>
      <c r="J323" s="1"/>
      <c r="K323" s="1"/>
    </row>
    <row r="324" spans="9:11" x14ac:dyDescent="0.25">
      <c r="I324" s="1"/>
      <c r="J324" s="1"/>
      <c r="K324" s="1"/>
    </row>
    <row r="325" spans="9:11" x14ac:dyDescent="0.25">
      <c r="I325" s="1"/>
      <c r="J325" s="1"/>
      <c r="K325" s="1"/>
    </row>
    <row r="326" spans="9:11" x14ac:dyDescent="0.25">
      <c r="I326" s="1"/>
      <c r="J326" s="1"/>
      <c r="K326" s="1"/>
    </row>
    <row r="327" spans="9:11" x14ac:dyDescent="0.25">
      <c r="I327" s="1"/>
      <c r="J327" s="1"/>
      <c r="K327" s="1"/>
    </row>
    <row r="328" spans="9:11" x14ac:dyDescent="0.25">
      <c r="I328" s="1"/>
      <c r="J328" s="1"/>
      <c r="K328" s="1"/>
    </row>
    <row r="329" spans="9:11" x14ac:dyDescent="0.25">
      <c r="I329" s="1"/>
      <c r="J329" s="1"/>
      <c r="K329" s="1"/>
    </row>
    <row r="330" spans="9:11" x14ac:dyDescent="0.25">
      <c r="I330" s="1"/>
      <c r="J330" s="1"/>
      <c r="K330" s="1"/>
    </row>
    <row r="331" spans="9:11" x14ac:dyDescent="0.25">
      <c r="I331" s="1"/>
      <c r="J331" s="1"/>
      <c r="K331" s="1"/>
    </row>
    <row r="332" spans="9:11" x14ac:dyDescent="0.25">
      <c r="I332" s="1"/>
      <c r="J332" s="1"/>
      <c r="K332" s="1"/>
    </row>
    <row r="333" spans="9:11" x14ac:dyDescent="0.25">
      <c r="I333" s="1"/>
      <c r="J333" s="1"/>
      <c r="K333" s="1"/>
    </row>
    <row r="334" spans="9:11" x14ac:dyDescent="0.25">
      <c r="I334" s="1"/>
      <c r="J334" s="1"/>
      <c r="K334" s="1"/>
    </row>
    <row r="335" spans="9:11" x14ac:dyDescent="0.25">
      <c r="I335" s="1"/>
      <c r="J335" s="1"/>
      <c r="K335" s="1"/>
    </row>
    <row r="336" spans="9:11" x14ac:dyDescent="0.25">
      <c r="I336" s="1"/>
      <c r="J336" s="1"/>
      <c r="K336" s="1"/>
    </row>
    <row r="337" spans="9:11" x14ac:dyDescent="0.25">
      <c r="I337" s="1"/>
      <c r="J337" s="1"/>
      <c r="K337" s="1"/>
    </row>
    <row r="338" spans="9:11" x14ac:dyDescent="0.25">
      <c r="I338" s="1"/>
      <c r="J338" s="1"/>
      <c r="K338" s="1"/>
    </row>
    <row r="339" spans="9:11" x14ac:dyDescent="0.25">
      <c r="I339" s="1"/>
      <c r="J339" s="1"/>
      <c r="K339" s="1"/>
    </row>
    <row r="340" spans="9:11" x14ac:dyDescent="0.25">
      <c r="I340" s="1"/>
      <c r="J340" s="1"/>
      <c r="K340" s="1"/>
    </row>
    <row r="341" spans="9:11" x14ac:dyDescent="0.25">
      <c r="I341" s="1"/>
      <c r="J341" s="1"/>
      <c r="K341" s="1"/>
    </row>
    <row r="342" spans="9:11" x14ac:dyDescent="0.25">
      <c r="I342" s="1"/>
      <c r="J342" s="1"/>
      <c r="K342" s="1"/>
    </row>
    <row r="343" spans="9:11" x14ac:dyDescent="0.25">
      <c r="I343" s="1"/>
      <c r="J343" s="1"/>
      <c r="K343" s="1"/>
    </row>
    <row r="344" spans="9:11" x14ac:dyDescent="0.25">
      <c r="I344" s="1"/>
      <c r="J344" s="1"/>
      <c r="K344" s="1"/>
    </row>
    <row r="345" spans="9:11" x14ac:dyDescent="0.25">
      <c r="I345" s="1"/>
      <c r="J345" s="1"/>
      <c r="K345" s="1"/>
    </row>
    <row r="346" spans="9:11" x14ac:dyDescent="0.25">
      <c r="I346" s="1"/>
      <c r="J346" s="1"/>
      <c r="K346" s="1"/>
    </row>
    <row r="347" spans="9:11" x14ac:dyDescent="0.25">
      <c r="I347" s="1"/>
      <c r="J347" s="1"/>
      <c r="K347" s="1"/>
    </row>
    <row r="348" spans="9:11" x14ac:dyDescent="0.25">
      <c r="I348" s="1"/>
      <c r="J348" s="1"/>
      <c r="K348" s="1"/>
    </row>
    <row r="349" spans="9:11" x14ac:dyDescent="0.25">
      <c r="I349" s="1"/>
      <c r="J349" s="1"/>
      <c r="K349" s="1"/>
    </row>
    <row r="350" spans="9:11" x14ac:dyDescent="0.25">
      <c r="I350" s="1"/>
      <c r="J350" s="1"/>
      <c r="K350" s="1"/>
    </row>
    <row r="351" spans="9:11" x14ac:dyDescent="0.25">
      <c r="I351" s="1"/>
      <c r="J351" s="1"/>
      <c r="K351" s="1"/>
    </row>
    <row r="352" spans="9:11" x14ac:dyDescent="0.25">
      <c r="I352" s="1"/>
      <c r="J352" s="1"/>
      <c r="K352" s="1"/>
    </row>
    <row r="353" spans="9:11" x14ac:dyDescent="0.25">
      <c r="I353" s="1"/>
      <c r="J353" s="1"/>
      <c r="K353" s="1"/>
    </row>
    <row r="354" spans="9:11" x14ac:dyDescent="0.25">
      <c r="I354" s="1"/>
      <c r="J354" s="1"/>
      <c r="K354" s="1"/>
    </row>
    <row r="355" spans="9:11" x14ac:dyDescent="0.25">
      <c r="I355" s="1"/>
      <c r="J355" s="1"/>
      <c r="K355" s="1"/>
    </row>
    <row r="356" spans="9:11" x14ac:dyDescent="0.25">
      <c r="I356" s="1"/>
      <c r="J356" s="1"/>
      <c r="K356" s="1"/>
    </row>
    <row r="357" spans="9:11" x14ac:dyDescent="0.25">
      <c r="I357" s="1"/>
      <c r="J357" s="1"/>
      <c r="K357" s="1"/>
    </row>
    <row r="358" spans="9:11" x14ac:dyDescent="0.25">
      <c r="I358" s="1"/>
      <c r="J358" s="1"/>
      <c r="K358" s="1"/>
    </row>
    <row r="359" spans="9:11" x14ac:dyDescent="0.25">
      <c r="I359" s="1"/>
      <c r="J359" s="1"/>
      <c r="K359" s="1"/>
    </row>
    <row r="360" spans="9:11" x14ac:dyDescent="0.25">
      <c r="I360" s="1"/>
      <c r="J360" s="1"/>
      <c r="K360" s="1"/>
    </row>
    <row r="361" spans="9:11" x14ac:dyDescent="0.25">
      <c r="I361" s="1"/>
      <c r="J361" s="1"/>
      <c r="K361" s="1"/>
    </row>
    <row r="362" spans="9:11" x14ac:dyDescent="0.25">
      <c r="I362" s="1"/>
      <c r="J362" s="1"/>
      <c r="K362" s="1"/>
    </row>
    <row r="363" spans="9:11" x14ac:dyDescent="0.25">
      <c r="I363" s="1"/>
      <c r="J363" s="1"/>
      <c r="K363" s="1"/>
    </row>
    <row r="364" spans="9:11" x14ac:dyDescent="0.25">
      <c r="I364" s="1"/>
      <c r="J364" s="1"/>
      <c r="K364" s="1"/>
    </row>
    <row r="365" spans="9:11" x14ac:dyDescent="0.25">
      <c r="I365" s="1"/>
      <c r="J365" s="1"/>
      <c r="K365" s="1"/>
    </row>
    <row r="366" spans="9:11" x14ac:dyDescent="0.25">
      <c r="I366" s="1"/>
      <c r="J366" s="1"/>
      <c r="K366" s="1"/>
    </row>
    <row r="367" spans="9:11" x14ac:dyDescent="0.25">
      <c r="I367" s="1"/>
      <c r="J367" s="1"/>
      <c r="K36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Pit Inventory</vt:lpstr>
      <vt:lpstr>Setup</vt:lpstr>
      <vt:lpstr>Inventory</vt:lpstr>
      <vt:lpstr>Precedence</vt:lpstr>
      <vt:lpstr>Schedule</vt:lpstr>
      <vt:lpstr>Results</vt:lpstr>
    </vt:vector>
  </TitlesOfParts>
  <Company>SNOWDEN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Cooper</dc:creator>
  <cp:lastModifiedBy>AlanCooper</cp:lastModifiedBy>
  <cp:lastPrinted>2014-09-18T05:59:52Z</cp:lastPrinted>
  <dcterms:created xsi:type="dcterms:W3CDTF">2011-12-06T23:35:16Z</dcterms:created>
  <dcterms:modified xsi:type="dcterms:W3CDTF">2016-07-26T11:45:24Z</dcterms:modified>
</cp:coreProperties>
</file>